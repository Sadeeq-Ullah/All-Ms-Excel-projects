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TAR COMPUTER\Downloads\Documents\Excel space\Projects\Customer Data Cleaning\"/>
    </mc:Choice>
  </mc:AlternateContent>
  <xr:revisionPtr revIDLastSave="0" documentId="13_ncr:1_{2808834F-4165-4710-9231-55E7704947D0}" xr6:coauthVersionLast="47" xr6:coauthVersionMax="47" xr10:uidLastSave="{00000000-0000-0000-0000-000000000000}"/>
  <bookViews>
    <workbookView xWindow="-120" yWindow="-120" windowWidth="20730" windowHeight="11760" activeTab="1" xr2:uid="{1C1E2E45-62DF-4F61-81B6-C18DEF1D0417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J34" i="1"/>
  <c r="K34" i="1" s="1"/>
  <c r="J3" i="1"/>
  <c r="K3" i="1" s="1"/>
  <c r="J4" i="1"/>
  <c r="K4" i="1" s="1"/>
  <c r="J5" i="1"/>
  <c r="K5" i="1" s="1"/>
  <c r="J6" i="1"/>
  <c r="K6" i="1" s="1"/>
  <c r="J7" i="1"/>
  <c r="K7" i="1" s="1"/>
  <c r="J8" i="1"/>
  <c r="K8" i="1" s="1"/>
  <c r="J9" i="1"/>
  <c r="K9" i="1" s="1"/>
  <c r="J10" i="1"/>
  <c r="K10" i="1" s="1"/>
  <c r="J11" i="1"/>
  <c r="K11" i="1" s="1"/>
  <c r="J12" i="1"/>
  <c r="K12" i="1" s="1"/>
  <c r="J13" i="1"/>
  <c r="K13" i="1" s="1"/>
  <c r="J14" i="1"/>
  <c r="K14" i="1" s="1"/>
  <c r="J15" i="1"/>
  <c r="K15" i="1" s="1"/>
  <c r="J16" i="1"/>
  <c r="K16" i="1" s="1"/>
  <c r="J17" i="1"/>
  <c r="K17" i="1" s="1"/>
  <c r="J18" i="1"/>
  <c r="K18" i="1" s="1"/>
  <c r="J19" i="1"/>
  <c r="K19" i="1" s="1"/>
  <c r="J20" i="1"/>
  <c r="K20" i="1" s="1"/>
  <c r="J21" i="1"/>
  <c r="K21" i="1" s="1"/>
  <c r="J22" i="1"/>
  <c r="K22" i="1" s="1"/>
  <c r="J23" i="1"/>
  <c r="K23" i="1" s="1"/>
  <c r="J24" i="1"/>
  <c r="K24" i="1" s="1"/>
  <c r="J25" i="1"/>
  <c r="K25" i="1" s="1"/>
  <c r="J26" i="1"/>
  <c r="K26" i="1" s="1"/>
  <c r="J27" i="1"/>
  <c r="K27" i="1" s="1"/>
  <c r="J28" i="1"/>
  <c r="K28" i="1" s="1"/>
  <c r="J29" i="1"/>
  <c r="K29" i="1" s="1"/>
  <c r="J30" i="1"/>
  <c r="K30" i="1" s="1"/>
  <c r="J31" i="1"/>
  <c r="K31" i="1" s="1"/>
  <c r="J32" i="1"/>
  <c r="K32" i="1" s="1"/>
  <c r="J33" i="1"/>
  <c r="K33" i="1" s="1"/>
  <c r="J35" i="1"/>
  <c r="K35" i="1" s="1"/>
  <c r="J36" i="1"/>
  <c r="K36" i="1" s="1"/>
  <c r="J37" i="1"/>
  <c r="M37" i="1" s="1"/>
  <c r="J38" i="1"/>
  <c r="K38" i="1" s="1"/>
  <c r="J39" i="1"/>
  <c r="K39" i="1" s="1"/>
  <c r="J40" i="1"/>
  <c r="K40" i="1" s="1"/>
  <c r="J41" i="1"/>
  <c r="K41" i="1" s="1"/>
  <c r="J42" i="1"/>
  <c r="M42" i="1" s="1"/>
  <c r="J43" i="1"/>
  <c r="K43" i="1" s="1"/>
  <c r="J44" i="1"/>
  <c r="K44" i="1" s="1"/>
  <c r="J45" i="1"/>
  <c r="M45" i="1" s="1"/>
  <c r="J46" i="1"/>
  <c r="K46" i="1" s="1"/>
  <c r="J47" i="1"/>
  <c r="K47" i="1" s="1"/>
  <c r="J48" i="1"/>
  <c r="K48" i="1" s="1"/>
  <c r="J49" i="1"/>
  <c r="K49" i="1" s="1"/>
  <c r="J50" i="1"/>
  <c r="M50" i="1" s="1"/>
  <c r="J51" i="1"/>
  <c r="K51" i="1" s="1"/>
  <c r="J52" i="1"/>
  <c r="K52" i="1" s="1"/>
  <c r="J2" i="1"/>
  <c r="M2" i="1" s="1"/>
  <c r="K2" i="1" l="1"/>
  <c r="I2" i="1" s="1"/>
  <c r="M34" i="1"/>
  <c r="K45" i="1"/>
  <c r="K37" i="1"/>
  <c r="M25" i="1"/>
  <c r="M21" i="1"/>
  <c r="M13" i="1"/>
  <c r="M5" i="1"/>
  <c r="K50" i="1"/>
  <c r="K42" i="1"/>
  <c r="M49" i="1"/>
  <c r="M41" i="1"/>
  <c r="M33" i="1"/>
  <c r="M28" i="1"/>
  <c r="M24" i="1"/>
  <c r="M20" i="1"/>
  <c r="M16" i="1"/>
  <c r="M12" i="1"/>
  <c r="M8" i="1"/>
  <c r="M4" i="1"/>
  <c r="M38" i="1"/>
  <c r="M29" i="1"/>
  <c r="M17" i="1"/>
  <c r="M9" i="1"/>
  <c r="M52" i="1"/>
  <c r="M48" i="1"/>
  <c r="M44" i="1"/>
  <c r="M40" i="1"/>
  <c r="M36" i="1"/>
  <c r="M32" i="1"/>
  <c r="M27" i="1"/>
  <c r="M23" i="1"/>
  <c r="M19" i="1"/>
  <c r="M15" i="1"/>
  <c r="M11" i="1"/>
  <c r="M7" i="1"/>
  <c r="M3" i="1"/>
  <c r="M46" i="1"/>
  <c r="M51" i="1"/>
  <c r="M47" i="1"/>
  <c r="M43" i="1"/>
  <c r="M39" i="1"/>
  <c r="M35" i="1"/>
  <c r="M31" i="1"/>
  <c r="M26" i="1"/>
  <c r="M22" i="1"/>
  <c r="M18" i="1"/>
  <c r="M14" i="1"/>
  <c r="M10" i="1"/>
  <c r="M6" i="1"/>
  <c r="M30" i="1"/>
</calcChain>
</file>

<file path=xl/sharedStrings.xml><?xml version="1.0" encoding="utf-8"?>
<sst xmlns="http://schemas.openxmlformats.org/spreadsheetml/2006/main" count="642" uniqueCount="251">
  <si>
    <t>InvoiceID,InvoiceDate,ClientName,City,Item,Category,Qty,UnitPrice,DiscountPct,TaxPct,Currency,PaymentStatus,SalesRep,EnteredBy,Notes</t>
  </si>
  <si>
    <t>QT-1001,1/2/26,Al-Habib Store,Quetta,Rice 5kg,Grocery,10,420,0,5,PKR,Paid,Salman,Ayesha,-</t>
  </si>
  <si>
    <t>QT-1002,02-Jan-2026,Al Noor Mart,Quetta,Sugar 1kg,Grocery,25,120,5,5,PKR,paid,Salman,Ayesha,late entry</t>
  </si>
  <si>
    <t>QT-1003,Jan-03-26,Bismillah Traders,Pishin,Wheat Flour 10kg,Grocery,8,980,,5,PKR,Unpaid,Imran,Kashif,</t>
  </si>
  <si>
    <t>QT-1004,1/4/2026,Rehman Shop,Quetta,Tea 500g,Grocery,12,760,0,5,PKR,Paid,Salman,Ayesha,</t>
  </si>
  <si>
    <t>QT-1005,04-01-26,Al-Habib Store,Quetta,Cooking Oil 1L,Grocery,15,610,2,5,PKR,Paid,Salman,Ayesha,ok</t>
  </si>
  <si>
    <t>QT-1006,5-Jan-26,City Cash &amp; Carry,Quetta,Biscuits Pack,Grocery,30,95,0,5,PKR,PAID,Imran,Kashif,</t>
  </si>
  <si>
    <t>QT-1007,06/01/2026,Al Noor Mart,Quetta,Milk 1L,Dairy,40,185,0,5,PKR,Unpaid,Imran,Kashif,check rate</t>
  </si>
  <si>
    <t>QT-1008,7-1-26,Bismillah Traders,Pishin,Yogurt 500g,Dairy,18,210,0,5,PKR,Paid,Salman,Ayesha,</t>
  </si>
  <si>
    <t>QT-1009,08-Jan-26,Rehman Shop,Quetta,Butter 200g,Dairy,9,390,,5,PKR,Paid,Salman,Ayesha,</t>
  </si>
  <si>
    <t>QT-1010,9/1/26,Al-Habib Store,Quetta,Cheese 250g,Dairy,6,520,0,5,PKR,paid,Imran,Kashif,</t>
  </si>
  <si>
    <t>QT-1011,10-Jan-2026,City Cash &amp; Carry,Quetta,Eggs Dozen,Poultry,22,340,0,5,PKR,Paid,Salman,Ayesha,</t>
  </si>
  <si>
    <t>QT-1012,11-01-26,Al Noor Mart,Quetta,Chicken 1kg,Poultry,14,620,3,5,PKR,Unpaid,Imran,Kashif,</t>
  </si>
  <si>
    <t>QT-1013,12/01/2026,Bismillah Traders,Pishin,Beef 1kg,Meat,7,980,0,5,PKR,Paid,Salman,Ayesha,</t>
  </si>
  <si>
    <t>QT-1014,13-Jan-26,Rehman Shop,Quetta,Mutton 1kg,Meat,5,1450,,5,PKR,Paid,Salman,Ayesha,</t>
  </si>
  <si>
    <t>QT-1015,14/1/26,Al-Habib Store,Quetta,Frozen Peas 1kg,Frozen,11,410,0,5,PKR,PAID,Imran,Kashif,</t>
  </si>
  <si>
    <t>QT-1016,15-Jan-2026,City Cash &amp; Carry,Quetta,French Fries 1kg,Frozen,16,460,0,5,PKR,Paid,Salman,Ayesha,</t>
  </si>
  <si>
    <t>QT-1017,16-01-26,Al Noor Mart,Quetta,Ice Cream 1L,Frozen,9,720,5,5,PKR,Unpaid,Imran,Kashif,</t>
  </si>
  <si>
    <t>QT-1018,17/01/26,Bismillah Traders,Pishin,Soft Drink 1.5L,Beverage,28,180,0,5,PKR,Paid,Salman,Ayesha,</t>
  </si>
  <si>
    <t>QT-1019,18-Jan-26,Rehman Shop,Quetta,Juice 1L,Beverage,20,210,,5,PKR,Paid,Salman,Ayesha,</t>
  </si>
  <si>
    <t>QT-1020,19/1/26,Al-Habib Store,Quetta,Water 1.5L,Beverage,50,85,0,5,PKR,paid,Imran,Kashif,</t>
  </si>
  <si>
    <t>QT-1021,20-Jan-2026,City Cash &amp; Carry,Quetta,Energy Drink,Beverage,12,260,0,5,PKR,Paid,Salman,Ayesha,</t>
  </si>
  <si>
    <t>QT-1022,21-01-26,Al Noor Mart,Quetta,Soap Bar,Personal Care,35,110,0,5,PKR,Unpaid,Imran,Kashif,</t>
  </si>
  <si>
    <t>QT-1023,22/01/26,Bismillah Traders,Pishin,Shampoo 200ml,Personal Care,14,320,2,5,PKR,Paid,Salman,Ayesha,</t>
  </si>
  <si>
    <t>QT-1024,23-Jan-26,Rehman Shop,Quetta,Toothpaste,Personal Care,18,190,,5,PKR,Paid,Salman,Ayesha,</t>
  </si>
  <si>
    <t>QT-1025,24/1/26,Al-Habib Store,Quetta,Detergent 1kg,Home Care,16,450,0,5,PKR,PAID,Imran,Kashif,</t>
  </si>
  <si>
    <t>QT-1026,25-Jan-2026,City Cash &amp; Carry,Quetta,Floor Cleaner,Home Care,10,380,0,5,PKR,Paid,Salman,Ayesha,</t>
  </si>
  <si>
    <t>QT-1027,26-01-26,Al Noor Mart,Quetta,Hand Wash,Home Care,22,210,0,5,PKR,Unpaid,Imran,Kashif,</t>
  </si>
  <si>
    <t>QT-1028,27/01/26,Bismillah Traders,Pishin,Toilet Paper,Home Care,40,95,,5,PKR,Paid,Salman,Ayesha,</t>
  </si>
  <si>
    <t>QT-1029,28-Jan-26,Rehman Shop,Quetta,Kitchen Towel,Home Care,30,75,0,5,PKR,Paid,Salman,Ayesha,</t>
  </si>
  <si>
    <t>QT-1030,29/1/26,Al-Habib Store,Quetta,Garbage Bags,Home Care,25,130,0,5,PKR,paid,Imran,Kashif,</t>
  </si>
  <si>
    <t>QT-1031,30-Jan-2026,City Cash &amp; Carry,Quetta,Notebook A4,Stationery,45,160,0,5,PKR,Paid,Salman,Ayesha,</t>
  </si>
  <si>
    <t>QT-1032,31-01-26,Al Noor Mart,Quetta,Ball Pen,Stationery,100,35,0,5,PKR,Unpaid,Imran,Kashif,</t>
  </si>
  <si>
    <t>QT-1033,01/02/26,Bismillah Traders,Pishin,Marker,Stationery,28,95,,5,PKR,Paid,Salman,Ayesha,</t>
  </si>
  <si>
    <t>QT-1034,2-Feb-26,Rehman Shop,Quetta,Stapler,Stationery,12,260,0,5,PKR,Paid,Salman,Ayesha,</t>
  </si>
  <si>
    <t>QT-1035,03-02-26,Al-Habib Store,Quetta,Calculator,Electronics,6,1450,0,5,PKR,PAID,Imran,Kashif,</t>
  </si>
  <si>
    <t>QT-1036,04/02/26,City Cash &amp; Carry,Quetta,USB Drive 32GB,Electronics,10,1250,5,5,PKR,Paid,Salman,Ayesha,</t>
  </si>
  <si>
    <t>QT-1037,5-Feb-26,Al Noor Mart,Quetta,Mouse,Electronics,14,780,0,5,PKR,Unpaid,Imran,Kashif,</t>
  </si>
  <si>
    <t>QT-1038,06-02-26,Bismillah Traders,Pishin,Keyboard,Electronics,9,1350,,5,PKR,Paid,Salman,Ayesha,</t>
  </si>
  <si>
    <t>QT-1039,07/02/26,Rehman Shop,Quetta,Extension Cable,Electronics,11,620,0,5,PKR,Paid,Salman,Ayesha,</t>
  </si>
  <si>
    <t>QT-1040,08-Feb-26,Al-Habib Store,Quetta,LED Bulb,Electronics,26,210,0,5,PKR,paid,Imran,Kashif,</t>
  </si>
  <si>
    <t>QT-1041,09-02-26,City Cash &amp; Carry,Quetta,Power Strip,Electronics,8,1650,0,5,PKR,Paid,Salman,Ayesha,</t>
  </si>
  <si>
    <t>QT-1042,10/02/26,Al Noor Mart,Quetta,Table Lamp,Electronics,5,2350,,5,PKR,Unpaid,Imran,Kashif,</t>
  </si>
  <si>
    <t>QT-1043,11-Feb-26,Bismillah Traders,Pishin,Wall Clock,Electronics,7,1850,0,5,PKR,Paid,Salman,Ayesha,</t>
  </si>
  <si>
    <t>QT-1044,12-02-26,Rehman Shop,Quetta,Battery AA Pack,Electronics,20,320,0,5,PKR,Paid,Salman,Ayesha,</t>
  </si>
  <si>
    <t>QT-1045,13/02/26,Al-Habib Store,Quetta,Flashlight,Electronics,9,980,0,5,PKR,PAID,Imran,Kashif,</t>
  </si>
  <si>
    <t>QT-1046,14-Feb-26,City Cash &amp; Carry,Quetta,Phone Charger,Electronics,11,1450,5,5,PKR,Paid,Salman,Ayesha,</t>
  </si>
  <si>
    <t>QT-1047,15-02-26,Al Noor Mart,Quetta,Headphones,Electronics,6,2650,,5,PKR,Unpaid,Imran,Kashif,</t>
  </si>
  <si>
    <t>QT-1048,16/02/26,Bismillah Traders,Pishin,Bluetooth Speaker,Electronics,4,4200,0,5,PKR,Paid,Salman,Ayesha,</t>
  </si>
  <si>
    <t>QT-1049,17-Feb-26,Rehman Shop,Quetta,Router,Electronics,3,6850,0,5,PKR,Paid,Salman,Ayesha,</t>
  </si>
  <si>
    <t>QT-1050,18-02-26,Al-Habib Store,Quetta,Extension Lead,Electronics,10,750,0,5,PKR,paid,Imran,Kashif,</t>
  </si>
  <si>
    <t>QT-1005,04-01-26,Al-Habib Store,Quetta,Cooking Oil 1L,Grocery,15,610,2,5,PKR,Paid,Salman,Ayesha,duplicate?</t>
  </si>
  <si>
    <t>InvoiceID</t>
  </si>
  <si>
    <t>InvoiceDate</t>
  </si>
  <si>
    <t>ClientName</t>
  </si>
  <si>
    <t>City</t>
  </si>
  <si>
    <t>Item</t>
  </si>
  <si>
    <t>Category</t>
  </si>
  <si>
    <t>Qty</t>
  </si>
  <si>
    <t>UnitPrice</t>
  </si>
  <si>
    <t>DiscountPct</t>
  </si>
  <si>
    <t>TaxPct</t>
  </si>
  <si>
    <t>Currency</t>
  </si>
  <si>
    <t>PaymentStatus</t>
  </si>
  <si>
    <t>SalesRep</t>
  </si>
  <si>
    <t>EnteredBy</t>
  </si>
  <si>
    <t>Notes</t>
  </si>
  <si>
    <t>QT-1001</t>
  </si>
  <si>
    <t>Al-Habib Store</t>
  </si>
  <si>
    <t>Quetta</t>
  </si>
  <si>
    <t>Rice 5kg</t>
  </si>
  <si>
    <t>Grocery</t>
  </si>
  <si>
    <t>PKR</t>
  </si>
  <si>
    <t>Paid</t>
  </si>
  <si>
    <t>Salman</t>
  </si>
  <si>
    <t>Ayesha</t>
  </si>
  <si>
    <t>-</t>
  </si>
  <si>
    <t>QT-1002</t>
  </si>
  <si>
    <t>Al Noor Mart</t>
  </si>
  <si>
    <t>Sugar 1kg</t>
  </si>
  <si>
    <t>late entry</t>
  </si>
  <si>
    <t>QT-1003</t>
  </si>
  <si>
    <t>Bismillah Traders</t>
  </si>
  <si>
    <t>Pishin</t>
  </si>
  <si>
    <t>Wheat Flour 10kg</t>
  </si>
  <si>
    <t>Unpaid</t>
  </si>
  <si>
    <t>Imran</t>
  </si>
  <si>
    <t>Kashif</t>
  </si>
  <si>
    <t>QT-1004</t>
  </si>
  <si>
    <t>Rehman Shop</t>
  </si>
  <si>
    <t>Tea 500g</t>
  </si>
  <si>
    <t>QT-1005</t>
  </si>
  <si>
    <t>Cooking Oil 1L</t>
  </si>
  <si>
    <t>ok</t>
  </si>
  <si>
    <t>QT-1006</t>
  </si>
  <si>
    <t>City Cash &amp; Carry</t>
  </si>
  <si>
    <t>Biscuits Pack</t>
  </si>
  <si>
    <t>QT-1007</t>
  </si>
  <si>
    <t>Milk 1L</t>
  </si>
  <si>
    <t>Dairy</t>
  </si>
  <si>
    <t>check rate</t>
  </si>
  <si>
    <t>QT-1008</t>
  </si>
  <si>
    <t>Yogurt 500g</t>
  </si>
  <si>
    <t>QT-1009</t>
  </si>
  <si>
    <t>Butter 200g</t>
  </si>
  <si>
    <t>QT-1010</t>
  </si>
  <si>
    <t>Cheese 250g</t>
  </si>
  <si>
    <t>QT-1011</t>
  </si>
  <si>
    <t>Eggs Dozen</t>
  </si>
  <si>
    <t>Poultry</t>
  </si>
  <si>
    <t>QT-1012</t>
  </si>
  <si>
    <t>Chicken 1kg</t>
  </si>
  <si>
    <t>QT-1013</t>
  </si>
  <si>
    <t>Beef 1kg</t>
  </si>
  <si>
    <t>Meat</t>
  </si>
  <si>
    <t>QT-1014</t>
  </si>
  <si>
    <t>Mutton 1kg</t>
  </si>
  <si>
    <t>QT-1015</t>
  </si>
  <si>
    <t>Frozen Peas 1kg</t>
  </si>
  <si>
    <t>Frozen</t>
  </si>
  <si>
    <t>QT-1016</t>
  </si>
  <si>
    <t>French Fries 1kg</t>
  </si>
  <si>
    <t>QT-1017</t>
  </si>
  <si>
    <t>Ice Cream 1L</t>
  </si>
  <si>
    <t>QT-1018</t>
  </si>
  <si>
    <t>Soft Drink 1.5L</t>
  </si>
  <si>
    <t>Beverage</t>
  </si>
  <si>
    <t>QT-1019</t>
  </si>
  <si>
    <t>Juice 1L</t>
  </si>
  <si>
    <t>QT-1020</t>
  </si>
  <si>
    <t>Water 1.5L</t>
  </si>
  <si>
    <t>QT-1021</t>
  </si>
  <si>
    <t>Energy Drink</t>
  </si>
  <si>
    <t>QT-1022</t>
  </si>
  <si>
    <t>Soap Bar</t>
  </si>
  <si>
    <t>Personal Care</t>
  </si>
  <si>
    <t>QT-1023</t>
  </si>
  <si>
    <t>Shampoo 200ml</t>
  </si>
  <si>
    <t>QT-1024</t>
  </si>
  <si>
    <t>Toothpaste</t>
  </si>
  <si>
    <t>QT-1025</t>
  </si>
  <si>
    <t>Detergent 1kg</t>
  </si>
  <si>
    <t>Home Care</t>
  </si>
  <si>
    <t>QT-1026</t>
  </si>
  <si>
    <t>Floor Cleaner</t>
  </si>
  <si>
    <t>QT-1027</t>
  </si>
  <si>
    <t>Hand Wash</t>
  </si>
  <si>
    <t>QT-1028</t>
  </si>
  <si>
    <t>Toilet Paper</t>
  </si>
  <si>
    <t>QT-1029</t>
  </si>
  <si>
    <t>Kitchen Towel</t>
  </si>
  <si>
    <t>QT-1030</t>
  </si>
  <si>
    <t>Garbage Bags</t>
  </si>
  <si>
    <t>QT-1031</t>
  </si>
  <si>
    <t>Notebook A4</t>
  </si>
  <si>
    <t>Stationery</t>
  </si>
  <si>
    <t>QT-1032</t>
  </si>
  <si>
    <t>Ball Pen</t>
  </si>
  <si>
    <t>QT-1033</t>
  </si>
  <si>
    <t>Marker</t>
  </si>
  <si>
    <t>QT-1034</t>
  </si>
  <si>
    <t>Stapler</t>
  </si>
  <si>
    <t>QT-1035</t>
  </si>
  <si>
    <t>Calculator</t>
  </si>
  <si>
    <t>Electronics</t>
  </si>
  <si>
    <t>QT-1036</t>
  </si>
  <si>
    <t>USB Drive 32GB</t>
  </si>
  <si>
    <t>QT-1037</t>
  </si>
  <si>
    <t>Mouse</t>
  </si>
  <si>
    <t>QT-1038</t>
  </si>
  <si>
    <t>Keyboard</t>
  </si>
  <si>
    <t>QT-1039</t>
  </si>
  <si>
    <t>Extension Cable</t>
  </si>
  <si>
    <t>QT-1040</t>
  </si>
  <si>
    <t>LED Bulb</t>
  </si>
  <si>
    <t>QT-1041</t>
  </si>
  <si>
    <t>Power Strip</t>
  </si>
  <si>
    <t>QT-1042</t>
  </si>
  <si>
    <t>Table Lamp</t>
  </si>
  <si>
    <t>QT-1043</t>
  </si>
  <si>
    <t>Wall Clock</t>
  </si>
  <si>
    <t>QT-1044</t>
  </si>
  <si>
    <t>Battery AA Pack</t>
  </si>
  <si>
    <t>QT-1045</t>
  </si>
  <si>
    <t>Flashlight</t>
  </si>
  <si>
    <t>QT-1046</t>
  </si>
  <si>
    <t>Phone Charger</t>
  </si>
  <si>
    <t>QT-1047</t>
  </si>
  <si>
    <t>Headphones</t>
  </si>
  <si>
    <t>QT-1048</t>
  </si>
  <si>
    <t>Bluetooth Speaker</t>
  </si>
  <si>
    <t>QT-1049</t>
  </si>
  <si>
    <t>Router</t>
  </si>
  <si>
    <t>QT-1050</t>
  </si>
  <si>
    <t>Extension Lead</t>
  </si>
  <si>
    <t>duplicate?</t>
  </si>
  <si>
    <t>QT-1051</t>
  </si>
  <si>
    <t>01/02/2026</t>
  </si>
  <si>
    <t>02/01/2026</t>
  </si>
  <si>
    <t>01/04/2026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</si>
  <si>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</si>
  <si>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</si>
  <si>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</si>
  <si>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</si>
  <si>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</si>
  <si>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</si>
  <si>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</si>
  <si>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</si>
  <si>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</si>
  <si>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</si>
  <si>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</si>
  <si>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</si>
  <si>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</si>
  <si>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</si>
  <si>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</si>
  <si>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</si>
  <si>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</si>
  <si>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</si>
  <si>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</si>
  <si>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</si>
  <si>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</si>
  <si>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</si>
  <si>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</si>
  <si>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</si>
  <si>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</si>
  <si>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29/01/2026</t>
  </si>
  <si>
    <t>30/01/2026</t>
  </si>
  <si>
    <t>31/01/2026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</si>
  <si>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</si>
  <si>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</si>
  <si>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</si>
  <si>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</si>
  <si>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</si>
  <si>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</si>
  <si>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</si>
  <si>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</si>
  <si>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</si>
  <si>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</si>
  <si>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</si>
  <si>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</si>
  <si>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</si>
  <si>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</si>
  <si>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</si>
  <si>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</si>
  <si>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</si>
  <si>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Jan-03-2026</t>
  </si>
  <si>
    <t>N/A</t>
  </si>
  <si>
    <t>Total Price</t>
  </si>
  <si>
    <t>Net Price</t>
  </si>
  <si>
    <t>Discount Price</t>
  </si>
  <si>
    <t>Total Tax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</si>
</sst>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s&quot;* #,##0.00_-;\-&quot;Rs&quot;* #,##0.00_-;_-&quot;Rs&quot;* &quot;-&quot;??_-;_-@_-"/>
    <numFmt numFmtId="171" formatCode="&quot;Rs&quot;#,##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2.5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9000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3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8" xfId="0" applyBorder="1" applyAlignment="1">
      <alignment horizontal="center"/>
    </xf>
    <xf numFmtId="44" fontId="2" fillId="2" borderId="5" xfId="1" applyFont="1" applyFill="1" applyBorder="1" applyAlignment="1">
      <alignment horizontal="center" vertical="center"/>
    </xf>
    <xf numFmtId="171" fontId="2" fillId="2" borderId="5" xfId="0" applyNumberFormat="1" applyFont="1" applyFill="1" applyBorder="1" applyAlignment="1">
      <alignment horizontal="center" vertical="center"/>
    </xf>
    <xf numFmtId="44" fontId="0" fillId="0" borderId="1" xfId="1" applyFont="1" applyBorder="1" applyAlignment="1">
      <alignment horizontal="left" vertical="center" indent="6"/>
    </xf>
    <xf numFmtId="0" fontId="0" fillId="0" borderId="7" xfId="0" applyBorder="1" applyAlignment="1">
      <alignment horizontal="center"/>
    </xf>
    <xf numFmtId="49" fontId="0" fillId="0" borderId="1" xfId="0" applyNumberFormat="1" applyBorder="1" applyAlignment="1">
      <alignment horizontal="center"/>
    </xf>
    <xf numFmtId="171" fontId="0" fillId="0" borderId="1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49" fontId="0" fillId="0" borderId="9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171" fontId="0" fillId="0" borderId="0" xfId="0" applyNumberFormat="1" applyAlignment="1">
      <alignment horizontal="center"/>
    </xf>
    <xf numFmtId="44" fontId="0" fillId="0" borderId="0" xfId="1" applyFont="1" applyAlignment="1">
      <alignment horizontal="left" indent="3"/>
    </xf>
    <xf numFmtId="44" fontId="0" fillId="0" borderId="0" xfId="1" applyFont="1" applyAlignment="1">
      <alignment horizontal="center" vertical="center"/>
    </xf>
    <xf numFmtId="44" fontId="0" fillId="0" borderId="1" xfId="1" applyFont="1" applyBorder="1" applyAlignment="1">
      <alignment horizontal="left" indent="3"/>
    </xf>
    <xf numFmtId="44" fontId="0" fillId="0" borderId="1" xfId="1" applyFont="1" applyBorder="1" applyAlignment="1">
      <alignment horizontal="left" indent="5"/>
    </xf>
  </cellXfs>
  <cellStyles count="2">
    <cellStyle name="Currency" xfId="1" builtinId="4"/>
    <cellStyle name="Normal" xfId="0" builtinId="0"/>
  </cellStyles>
  <dxfs count="2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s&quot;* #,##0.00_-;\-&quot;Rs&quot;* #,##0.00_-;_-&quot;Rs&quot;* &quot;-&quot;??_-;_-@_-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1" formatCode="&quot;Rs&quot;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71" formatCode="&quot;Rs&quot;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/>
        <strike val="0"/>
        <outline val="0"/>
        <shadow val="0"/>
        <u val="none"/>
        <vertAlign val="baseline"/>
        <sz val="12.5"/>
        <color theme="1"/>
        <name val="Calibri"/>
        <family val="2"/>
        <scheme val="minor"/>
      </font>
      <fill>
        <patternFill patternType="solid">
          <fgColor indexed="64"/>
          <bgColor rgb="FF59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left" vertical="bottom" textRotation="0" wrapText="0" relativeIndent="1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71" formatCode="&quot;Rs&quot;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60468F-8B49-43B2-9D30-7AB4744EA3AB}" name="Table1" displayName="Table1" ref="A1:S52" totalsRowShown="0" headerRowDxfId="3" dataDxfId="7" headerRowBorderDxfId="22" tableBorderDxfId="23" totalsRowBorderDxfId="21">
  <tableColumns count="19">
    <tableColumn id="1" xr3:uid="{A110962D-4092-444F-92CA-40924E628EF2}" name="InvoiceID" dataDxfId="20"/>
    <tableColumn id="2" xr3:uid="{61C6143D-1124-4580-B889-1E57A549A364}" name="InvoiceDate" dataDxfId="19"/>
    <tableColumn id="3" xr3:uid="{60E95841-7F73-4B7B-A205-588A67829096}" name="ClientName" dataDxfId="18"/>
    <tableColumn id="4" xr3:uid="{56BCB3DD-E653-4C7B-BF05-2B0BD97DF193}" name="City" dataDxfId="17"/>
    <tableColumn id="5" xr3:uid="{1976A192-C837-4135-A451-504A4068649E}" name="Item" dataDxfId="16"/>
    <tableColumn id="6" xr3:uid="{DADE23CA-C438-4772-ABD1-0D93DF8BFCF2}" name="Category" dataDxfId="15"/>
    <tableColumn id="7" xr3:uid="{0FE79841-DC55-4394-BC65-9639AFC97D33}" name="Qty" dataDxfId="6"/>
    <tableColumn id="8" xr3:uid="{5AF99A1E-9D0E-4FD5-A6A7-2EE719DFADE7}" name="UnitPrice" dataDxfId="4" dataCellStyle="Currency"/>
    <tableColumn id="21" xr3:uid="{4DAC3EC6-3CBB-4AF2-90B6-823C03C044B0}" name="Total Price" dataDxfId="0" dataCellStyle="Currency">
      <calculatedColumnFormula>IFERROR(Table1[[#This Row],[Net Price]] - Table1[[#This Row],[Discount Price]] + Table1[[#This Row],[Total Tax]],"Error")</calculatedColumnFormula>
    </tableColumn>
    <tableColumn id="17" xr3:uid="{0077335B-CF72-41FE-B9A0-5C4AA73A89D9}" name="Net Price" dataDxfId="5">
      <calculatedColumnFormula>IFERROR(Table1[[#This Row],[Qty]] * Table1[[#This Row],[UnitPrice]],"Value/sign issue!")</calculatedColumnFormula>
    </tableColumn>
    <tableColumn id="19" xr3:uid="{FAFB4F30-05EB-48B1-87C4-92ABE8CDB631}" name="Discount Price" dataDxfId="2">
      <calculatedColumnFormula>IFERROR(Table1[[#This Row],[Net Price]]-L2,"Error!")</calculatedColumnFormula>
    </tableColumn>
    <tableColumn id="9" xr3:uid="{EF3227F5-2FD7-4AEE-B706-F8E5AAFA6ABD}" name="DiscountPct" dataDxfId="14"/>
    <tableColumn id="20" xr3:uid="{032E4212-1822-49B2-9734-3AEF31DA8BEA}" name="Total Tax" dataDxfId="1">
      <calculatedColumnFormula>IFERROR(Table1[[#This Row],[Net Price]]*Table1[[#This Row],[DiscountPct]],"Error!")</calculatedColumnFormula>
    </tableColumn>
    <tableColumn id="10" xr3:uid="{C23FABD3-BB16-439A-87B0-FDDA378FCD6A}" name="TaxPct" dataDxfId="13"/>
    <tableColumn id="11" xr3:uid="{A7D1ED84-B499-4FBF-8981-E229EF8CCD5E}" name="Currency" dataDxfId="12"/>
    <tableColumn id="18" xr3:uid="{9338E12D-9578-45CE-8BB3-66031B6EFFBC}" name="PaymentStatus" dataDxfId="11"/>
    <tableColumn id="13" xr3:uid="{595E014D-0AC8-4471-AB22-F451AA00D9CE}" name="SalesRep" dataDxfId="10"/>
    <tableColumn id="14" xr3:uid="{E3B06BC0-8542-4ECC-9C10-340D86FE48DB}" name="EnteredBy" dataDxfId="9"/>
    <tableColumn id="15" xr3:uid="{DEE03574-E811-436D-BAF3-1342A8F4D62B}" name="Notes" data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BFD2ED-9910-4CC0-A73D-BF5F38940266}">
  <dimension ref="A1:S52"/>
  <sheetViews>
    <sheetView workbookViewId="0">
      <pane ySplit="1" topLeftCell="A2" activePane="bottomLeft" state="frozen"/>
      <selection activeCell="C1" sqref="C1"/>
      <selection pane="bottomLeft" activeCell="I7" sqref="I7"/>
    </sheetView>
  </sheetViews>
  <sheetFormatPr defaultRowHeight="15" x14ac:dyDescent="0.25"/>
  <cols>
    <col min="1" max="1" width="11.5703125" style="1" bestFit="1" customWidth="1"/>
    <col min="2" max="2" width="14.28515625" style="1" bestFit="1" customWidth="1"/>
    <col min="3" max="3" width="16.28515625" style="1" bestFit="1" customWidth="1"/>
    <col min="4" max="4" width="7.140625" style="1" bestFit="1" customWidth="1"/>
    <col min="5" max="5" width="17.7109375" style="1" bestFit="1" customWidth="1"/>
    <col min="6" max="6" width="13.28515625" style="1" bestFit="1" customWidth="1"/>
    <col min="7" max="7" width="5.85546875" style="1" bestFit="1" customWidth="1"/>
    <col min="8" max="8" width="14.5703125" style="19" customWidth="1"/>
    <col min="9" max="9" width="20.28515625" style="20" customWidth="1"/>
    <col min="10" max="10" width="12.7109375" style="18" bestFit="1" customWidth="1"/>
    <col min="11" max="11" width="12.7109375" style="18" customWidth="1"/>
    <col min="12" max="12" width="14.28515625" style="1" bestFit="1" customWidth="1"/>
    <col min="13" max="13" width="14.28515625" style="1" customWidth="1"/>
    <col min="14" max="14" width="8.85546875" style="1" bestFit="1" customWidth="1"/>
    <col min="15" max="15" width="11" style="1" bestFit="1" customWidth="1"/>
    <col min="16" max="16" width="17.7109375" style="1" bestFit="1" customWidth="1"/>
    <col min="17" max="17" width="11.140625" style="1" bestFit="1" customWidth="1"/>
    <col min="18" max="18" width="12.42578125" style="1" bestFit="1" customWidth="1"/>
    <col min="19" max="19" width="10.28515625" style="1" bestFit="1" customWidth="1"/>
    <col min="20" max="16384" width="9.140625" style="1"/>
  </cols>
  <sheetData>
    <row r="1" spans="1:19" s="2" customFormat="1" ht="24" customHeight="1" x14ac:dyDescent="0.25">
      <c r="A1" s="3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8" t="s">
        <v>59</v>
      </c>
      <c r="I1" s="8" t="s">
        <v>247</v>
      </c>
      <c r="J1" s="9" t="s">
        <v>248</v>
      </c>
      <c r="K1" s="9" t="s">
        <v>249</v>
      </c>
      <c r="L1" s="4" t="s">
        <v>60</v>
      </c>
      <c r="M1" s="4" t="s">
        <v>250</v>
      </c>
      <c r="N1" s="4" t="s">
        <v>61</v>
      </c>
      <c r="O1" s="4" t="s">
        <v>62</v>
      </c>
      <c r="P1" s="4" t="s">
        <v>63</v>
      </c>
      <c r="Q1" s="4" t="s">
        <v>64</v>
      </c>
      <c r="R1" s="4" t="s">
        <v>65</v>
      </c>
      <c r="S1" s="5" t="s">
        <v>66</v>
      </c>
    </row>
    <row r="2" spans="1:19" x14ac:dyDescent="0.25">
      <c r="A2" s="11" t="s">
        <v>67</v>
      </c>
      <c r="B2" s="12" t="s">
        <v>197</v>
      </c>
      <c r="C2" s="6" t="s">
        <v>68</v>
      </c>
      <c r="D2" s="6" t="s">
        <v>69</v>
      </c>
      <c r="E2" s="6" t="s">
        <v>70</v>
      </c>
      <c r="F2" s="6" t="s">
        <v>71</v>
      </c>
      <c r="G2" s="6">
        <v>11</v>
      </c>
      <c r="H2" s="22">
        <v>5</v>
      </c>
      <c r="I2" s="10">
        <f>IFERROR(Table1[[#This Row],[Net Price]] - Table1[[#This Row],[Discount Price]] + Table1[[#This Row],[Total Tax]],"Error")</f>
        <v>0</v>
      </c>
      <c r="J2" s="13">
        <f>IFERROR(Table1[[#This Row],[Qty]] * Table1[[#This Row],[UnitPrice]],"Value/sign issue!")</f>
        <v>55</v>
      </c>
      <c r="K2" s="13">
        <f>IFERROR(Table1[[#This Row],[Net Price]]-L2,"Error!")</f>
        <v>55</v>
      </c>
      <c r="L2" s="6">
        <v>0</v>
      </c>
      <c r="M2" s="13">
        <f>IFERROR(Table1[[#This Row],[Net Price]]*Table1[[#This Row],[DiscountPct]],"Error!")</f>
        <v>0</v>
      </c>
      <c r="N2" s="6">
        <v>5</v>
      </c>
      <c r="O2" s="6" t="s">
        <v>72</v>
      </c>
      <c r="P2" s="6" t="s">
        <v>73</v>
      </c>
      <c r="Q2" s="6" t="s">
        <v>74</v>
      </c>
      <c r="R2" s="6" t="s">
        <v>75</v>
      </c>
      <c r="S2" s="7" t="s">
        <v>76</v>
      </c>
    </row>
    <row r="3" spans="1:19" x14ac:dyDescent="0.25">
      <c r="A3" s="11" t="s">
        <v>77</v>
      </c>
      <c r="B3" s="12" t="s">
        <v>198</v>
      </c>
      <c r="C3" s="6" t="s">
        <v>78</v>
      </c>
      <c r="D3" s="6" t="s">
        <v>69</v>
      </c>
      <c r="E3" s="6" t="s">
        <v>79</v>
      </c>
      <c r="F3" s="6" t="s">
        <v>71</v>
      </c>
      <c r="G3" s="6">
        <v>25</v>
      </c>
      <c r="H3" s="21">
        <v>120</v>
      </c>
      <c r="I3" s="10">
        <f>IFERROR(Table1[[#This Row],[Net Price]] - Table1[[#This Row],[Discount Price]] + Table1[[#This Row],[Total Tax]],"Error")</f>
        <v>15005</v>
      </c>
      <c r="J3" s="13">
        <f>IFERROR(Table1[[#This Row],[Qty]] * Table1[[#This Row],[UnitPrice]],"Value/sign issue!")</f>
        <v>3000</v>
      </c>
      <c r="K3" s="13">
        <f>IFERROR(Table1[[#This Row],[Net Price]]-L3,"Error!")</f>
        <v>2995</v>
      </c>
      <c r="L3" s="6">
        <v>5</v>
      </c>
      <c r="M3" s="13">
        <f>IFERROR(Table1[[#This Row],[Net Price]]*Table1[[#This Row],[DiscountPct]],"Error!")</f>
        <v>15000</v>
      </c>
      <c r="N3" s="6">
        <v>5</v>
      </c>
      <c r="O3" s="6" t="s">
        <v>72</v>
      </c>
      <c r="P3" s="6" t="s">
        <v>73</v>
      </c>
      <c r="Q3" s="6" t="s">
        <v>74</v>
      </c>
      <c r="R3" s="6" t="s">
        <v>75</v>
      </c>
      <c r="S3" s="7" t="s">
        <v>80</v>
      </c>
    </row>
    <row r="4" spans="1:19" x14ac:dyDescent="0.25">
      <c r="A4" s="11" t="s">
        <v>81</v>
      </c>
      <c r="B4" s="12" t="s">
        <v>245</v>
      </c>
      <c r="C4" s="6" t="s">
        <v>82</v>
      </c>
      <c r="D4" s="6" t="s">
        <v>83</v>
      </c>
      <c r="E4" s="6" t="s">
        <v>84</v>
      </c>
      <c r="F4" s="6" t="s">
        <v>71</v>
      </c>
      <c r="G4" s="6">
        <v>8</v>
      </c>
      <c r="H4" s="21">
        <v>120</v>
      </c>
      <c r="I4" s="10" t="str">
        <f>IFERROR(Table1[[#This Row],[Net Price]] - Table1[[#This Row],[Discount Price]] + Table1[[#This Row],[Total Tax]],"Error")</f>
        <v>Error</v>
      </c>
      <c r="J4" s="13">
        <f>IFERROR(Table1[[#This Row],[Qty]] * Table1[[#This Row],[UnitPrice]],"Value/sign issue!")</f>
        <v>960</v>
      </c>
      <c r="K4" s="13" t="str">
        <f>IFERROR(Table1[[#This Row],[Net Price]]-L4,"Error!")</f>
        <v>Error!</v>
      </c>
      <c r="L4" s="6" t="s">
        <v>246</v>
      </c>
      <c r="M4" s="13" t="str">
        <f>IFERROR(Table1[[#This Row],[Net Price]]*Table1[[#This Row],[DiscountPct]],"Error!")</f>
        <v>Error!</v>
      </c>
      <c r="N4" s="6">
        <v>5</v>
      </c>
      <c r="O4" s="6" t="s">
        <v>72</v>
      </c>
      <c r="P4" s="6" t="s">
        <v>85</v>
      </c>
      <c r="Q4" s="6" t="s">
        <v>86</v>
      </c>
      <c r="R4" s="6" t="s">
        <v>87</v>
      </c>
      <c r="S4" s="7" t="s">
        <v>246</v>
      </c>
    </row>
    <row r="5" spans="1:19" x14ac:dyDescent="0.25">
      <c r="A5" s="11" t="s">
        <v>88</v>
      </c>
      <c r="B5" s="12" t="s">
        <v>199</v>
      </c>
      <c r="C5" s="6" t="s">
        <v>89</v>
      </c>
      <c r="D5" s="6" t="s">
        <v>69</v>
      </c>
      <c r="E5" s="6" t="s">
        <v>90</v>
      </c>
      <c r="F5" s="6" t="s">
        <v>71</v>
      </c>
      <c r="G5" s="6">
        <v>13</v>
      </c>
      <c r="H5" s="21">
        <v>120</v>
      </c>
      <c r="I5" s="10">
        <f>IFERROR(Table1[[#This Row],[Net Price]] - Table1[[#This Row],[Discount Price]] + Table1[[#This Row],[Total Tax]],"Error")</f>
        <v>0</v>
      </c>
      <c r="J5" s="13">
        <f>IFERROR(Table1[[#This Row],[Qty]] * Table1[[#This Row],[UnitPrice]],"Value/sign issue!")</f>
        <v>1560</v>
      </c>
      <c r="K5" s="13">
        <f>IFERROR(Table1[[#This Row],[Net Price]]-L5,"Error!")</f>
        <v>1560</v>
      </c>
      <c r="L5" s="6">
        <v>0</v>
      </c>
      <c r="M5" s="13">
        <f>IFERROR(Table1[[#This Row],[Net Price]]*Table1[[#This Row],[DiscountPct]],"Error!")</f>
        <v>0</v>
      </c>
      <c r="N5" s="6">
        <v>5</v>
      </c>
      <c r="O5" s="6" t="s">
        <v>72</v>
      </c>
      <c r="P5" s="6" t="s">
        <v>73</v>
      </c>
      <c r="Q5" s="6" t="s">
        <v>74</v>
      </c>
      <c r="R5" s="6" t="s">
        <v>75</v>
      </c>
      <c r="S5" s="7" t="s">
        <v>246</v>
      </c>
    </row>
    <row r="6" spans="1:19" x14ac:dyDescent="0.25">
      <c r="A6" s="11" t="s">
        <v>91</v>
      </c>
      <c r="B6" s="12" t="s">
        <v>200</v>
      </c>
      <c r="C6" s="6" t="s">
        <v>68</v>
      </c>
      <c r="D6" s="6" t="s">
        <v>69</v>
      </c>
      <c r="E6" s="6" t="s">
        <v>92</v>
      </c>
      <c r="F6" s="6" t="s">
        <v>71</v>
      </c>
      <c r="G6" s="6">
        <v>15</v>
      </c>
      <c r="H6" s="21">
        <v>120</v>
      </c>
      <c r="I6" s="10">
        <f>IFERROR(Table1[[#This Row],[Net Price]] - Table1[[#This Row],[Discount Price]] + Table1[[#This Row],[Total Tax]],"Error")</f>
        <v>3602</v>
      </c>
      <c r="J6" s="13">
        <f>IFERROR(Table1[[#This Row],[Qty]] * Table1[[#This Row],[UnitPrice]],"Value/sign issue!")</f>
        <v>1800</v>
      </c>
      <c r="K6" s="13">
        <f>IFERROR(Table1[[#This Row],[Net Price]]-L6,"Error!")</f>
        <v>1798</v>
      </c>
      <c r="L6" s="6">
        <v>2</v>
      </c>
      <c r="M6" s="13">
        <f>IFERROR(Table1[[#This Row],[Net Price]]*Table1[[#This Row],[DiscountPct]],"Error!")</f>
        <v>3600</v>
      </c>
      <c r="N6" s="6">
        <v>5</v>
      </c>
      <c r="O6" s="6" t="s">
        <v>72</v>
      </c>
      <c r="P6" s="6" t="s">
        <v>73</v>
      </c>
      <c r="Q6" s="6" t="s">
        <v>74</v>
      </c>
      <c r="R6" s="6" t="s">
        <v>75</v>
      </c>
      <c r="S6" s="7" t="s">
        <v>93</v>
      </c>
    </row>
    <row r="7" spans="1:19" x14ac:dyDescent="0.25">
      <c r="A7" s="11" t="s">
        <v>94</v>
      </c>
      <c r="B7" s="12" t="s">
        <v>201</v>
      </c>
      <c r="C7" s="6" t="s">
        <v>95</v>
      </c>
      <c r="D7" s="6" t="s">
        <v>69</v>
      </c>
      <c r="E7" s="6" t="s">
        <v>96</v>
      </c>
      <c r="F7" s="6" t="s">
        <v>71</v>
      </c>
      <c r="G7" s="6">
        <v>30</v>
      </c>
      <c r="H7" s="21">
        <v>120</v>
      </c>
      <c r="I7" s="10">
        <f>IFERROR(Table1[[#This Row],[Net Price]] - Table1[[#This Row],[Discount Price]] + Table1[[#This Row],[Total Tax]],"Error")</f>
        <v>0</v>
      </c>
      <c r="J7" s="13">
        <f>IFERROR(Table1[[#This Row],[Qty]] * Table1[[#This Row],[UnitPrice]],"Value/sign issue!")</f>
        <v>3600</v>
      </c>
      <c r="K7" s="13">
        <f>IFERROR(Table1[[#This Row],[Net Price]]-L7,"Error!")</f>
        <v>3600</v>
      </c>
      <c r="L7" s="6">
        <v>0</v>
      </c>
      <c r="M7" s="13">
        <f>IFERROR(Table1[[#This Row],[Net Price]]*Table1[[#This Row],[DiscountPct]],"Error!")</f>
        <v>0</v>
      </c>
      <c r="N7" s="6">
        <v>5</v>
      </c>
      <c r="O7" s="6" t="s">
        <v>72</v>
      </c>
      <c r="P7" s="6" t="s">
        <v>73</v>
      </c>
      <c r="Q7" s="6" t="s">
        <v>86</v>
      </c>
      <c r="R7" s="6" t="s">
        <v>87</v>
      </c>
      <c r="S7" s="7" t="s">
        <v>246</v>
      </c>
    </row>
    <row r="8" spans="1:19" x14ac:dyDescent="0.25">
      <c r="A8" s="11" t="s">
        <v>97</v>
      </c>
      <c r="B8" s="12" t="s">
        <v>202</v>
      </c>
      <c r="C8" s="6" t="s">
        <v>78</v>
      </c>
      <c r="D8" s="6" t="s">
        <v>69</v>
      </c>
      <c r="E8" s="6" t="s">
        <v>98</v>
      </c>
      <c r="F8" s="6" t="s">
        <v>99</v>
      </c>
      <c r="G8" s="6">
        <v>40</v>
      </c>
      <c r="H8" s="21">
        <v>120</v>
      </c>
      <c r="I8" s="10">
        <f>IFERROR(Table1[[#This Row],[Net Price]] - Table1[[#This Row],[Discount Price]] + Table1[[#This Row],[Total Tax]],"Error")</f>
        <v>0</v>
      </c>
      <c r="J8" s="13">
        <f>IFERROR(Table1[[#This Row],[Qty]] * Table1[[#This Row],[UnitPrice]],"Value/sign issue!")</f>
        <v>4800</v>
      </c>
      <c r="K8" s="13">
        <f>IFERROR(Table1[[#This Row],[Net Price]]-L8,"Error!")</f>
        <v>4800</v>
      </c>
      <c r="L8" s="6">
        <v>0</v>
      </c>
      <c r="M8" s="13">
        <f>IFERROR(Table1[[#This Row],[Net Price]]*Table1[[#This Row],[DiscountPct]],"Error!")</f>
        <v>0</v>
      </c>
      <c r="N8" s="6">
        <v>5</v>
      </c>
      <c r="O8" s="6" t="s">
        <v>72</v>
      </c>
      <c r="P8" s="6" t="s">
        <v>85</v>
      </c>
      <c r="Q8" s="6" t="s">
        <v>86</v>
      </c>
      <c r="R8" s="6" t="s">
        <v>87</v>
      </c>
      <c r="S8" s="7" t="s">
        <v>100</v>
      </c>
    </row>
    <row r="9" spans="1:19" x14ac:dyDescent="0.25">
      <c r="A9" s="11" t="s">
        <v>101</v>
      </c>
      <c r="B9" s="12" t="s">
        <v>203</v>
      </c>
      <c r="C9" s="6" t="s">
        <v>82</v>
      </c>
      <c r="D9" s="6" t="s">
        <v>83</v>
      </c>
      <c r="E9" s="6" t="s">
        <v>102</v>
      </c>
      <c r="F9" s="6" t="s">
        <v>99</v>
      </c>
      <c r="G9" s="6">
        <v>18</v>
      </c>
      <c r="H9" s="21">
        <v>120</v>
      </c>
      <c r="I9" s="10">
        <f>IFERROR(Table1[[#This Row],[Net Price]] - Table1[[#This Row],[Discount Price]] + Table1[[#This Row],[Total Tax]],"Error")</f>
        <v>0</v>
      </c>
      <c r="J9" s="13">
        <f>IFERROR(Table1[[#This Row],[Qty]] * Table1[[#This Row],[UnitPrice]],"Value/sign issue!")</f>
        <v>2160</v>
      </c>
      <c r="K9" s="13">
        <f>IFERROR(Table1[[#This Row],[Net Price]]-L9,"Error!")</f>
        <v>2160</v>
      </c>
      <c r="L9" s="6">
        <v>0</v>
      </c>
      <c r="M9" s="13">
        <f>IFERROR(Table1[[#This Row],[Net Price]]*Table1[[#This Row],[DiscountPct]],"Error!")</f>
        <v>0</v>
      </c>
      <c r="N9" s="6">
        <v>5</v>
      </c>
      <c r="O9" s="6" t="s">
        <v>72</v>
      </c>
      <c r="P9" s="6" t="s">
        <v>73</v>
      </c>
      <c r="Q9" s="6" t="s">
        <v>74</v>
      </c>
      <c r="R9" s="6" t="s">
        <v>75</v>
      </c>
      <c r="S9" s="7" t="s">
        <v>246</v>
      </c>
    </row>
    <row r="10" spans="1:19" x14ac:dyDescent="0.25">
      <c r="A10" s="11" t="s">
        <v>103</v>
      </c>
      <c r="B10" s="12" t="s">
        <v>204</v>
      </c>
      <c r="C10" s="6" t="s">
        <v>89</v>
      </c>
      <c r="D10" s="6" t="s">
        <v>69</v>
      </c>
      <c r="E10" s="6" t="s">
        <v>104</v>
      </c>
      <c r="F10" s="6" t="s">
        <v>99</v>
      </c>
      <c r="G10" s="6">
        <v>9</v>
      </c>
      <c r="H10" s="21">
        <v>120</v>
      </c>
      <c r="I10" s="10" t="str">
        <f>IFERROR(Table1[[#This Row],[Net Price]] - Table1[[#This Row],[Discount Price]] + Table1[[#This Row],[Total Tax]],"Error")</f>
        <v>Error</v>
      </c>
      <c r="J10" s="13">
        <f>IFERROR(Table1[[#This Row],[Qty]] * Table1[[#This Row],[UnitPrice]],"Value/sign issue!")</f>
        <v>1080</v>
      </c>
      <c r="K10" s="13" t="str">
        <f>IFERROR(Table1[[#This Row],[Net Price]]-L10,"Error!")</f>
        <v>Error!</v>
      </c>
      <c r="L10" s="6" t="s">
        <v>246</v>
      </c>
      <c r="M10" s="13" t="str">
        <f>IFERROR(Table1[[#This Row],[Net Price]]*Table1[[#This Row],[DiscountPct]],"Error!")</f>
        <v>Error!</v>
      </c>
      <c r="N10" s="6">
        <v>5</v>
      </c>
      <c r="O10" s="6" t="s">
        <v>72</v>
      </c>
      <c r="P10" s="6" t="s">
        <v>73</v>
      </c>
      <c r="Q10" s="6" t="s">
        <v>74</v>
      </c>
      <c r="R10" s="6" t="s">
        <v>75</v>
      </c>
      <c r="S10" s="7" t="s">
        <v>246</v>
      </c>
    </row>
    <row r="11" spans="1:19" x14ac:dyDescent="0.25">
      <c r="A11" s="11" t="s">
        <v>105</v>
      </c>
      <c r="B11" s="12" t="s">
        <v>205</v>
      </c>
      <c r="C11" s="6" t="s">
        <v>68</v>
      </c>
      <c r="D11" s="6" t="s">
        <v>69</v>
      </c>
      <c r="E11" s="6" t="s">
        <v>106</v>
      </c>
      <c r="F11" s="6" t="s">
        <v>99</v>
      </c>
      <c r="G11" s="6">
        <v>6</v>
      </c>
      <c r="H11" s="21">
        <v>120</v>
      </c>
      <c r="I11" s="10">
        <f>IFERROR(Table1[[#This Row],[Net Price]] - Table1[[#This Row],[Discount Price]] + Table1[[#This Row],[Total Tax]],"Error")</f>
        <v>0</v>
      </c>
      <c r="J11" s="13">
        <f>IFERROR(Table1[[#This Row],[Qty]] * Table1[[#This Row],[UnitPrice]],"Value/sign issue!")</f>
        <v>720</v>
      </c>
      <c r="K11" s="13">
        <f>IFERROR(Table1[[#This Row],[Net Price]]-L11,"Error!")</f>
        <v>720</v>
      </c>
      <c r="L11" s="6">
        <v>0</v>
      </c>
      <c r="M11" s="13">
        <f>IFERROR(Table1[[#This Row],[Net Price]]*Table1[[#This Row],[DiscountPct]],"Error!")</f>
        <v>0</v>
      </c>
      <c r="N11" s="6">
        <v>5</v>
      </c>
      <c r="O11" s="6" t="s">
        <v>72</v>
      </c>
      <c r="P11" s="6" t="s">
        <v>73</v>
      </c>
      <c r="Q11" s="6" t="s">
        <v>86</v>
      </c>
      <c r="R11" s="6" t="s">
        <v>87</v>
      </c>
      <c r="S11" s="7" t="s">
        <v>246</v>
      </c>
    </row>
    <row r="12" spans="1:19" x14ac:dyDescent="0.25">
      <c r="A12" s="11" t="s">
        <v>107</v>
      </c>
      <c r="B12" s="12" t="s">
        <v>206</v>
      </c>
      <c r="C12" s="6" t="s">
        <v>95</v>
      </c>
      <c r="D12" s="6" t="s">
        <v>69</v>
      </c>
      <c r="E12" s="6" t="s">
        <v>108</v>
      </c>
      <c r="F12" s="6" t="s">
        <v>109</v>
      </c>
      <c r="G12" s="6">
        <v>22</v>
      </c>
      <c r="H12" s="21">
        <v>120</v>
      </c>
      <c r="I12" s="10">
        <f>IFERROR(Table1[[#This Row],[Net Price]] - Table1[[#This Row],[Discount Price]] + Table1[[#This Row],[Total Tax]],"Error")</f>
        <v>0</v>
      </c>
      <c r="J12" s="13">
        <f>IFERROR(Table1[[#This Row],[Qty]] * Table1[[#This Row],[UnitPrice]],"Value/sign issue!")</f>
        <v>2640</v>
      </c>
      <c r="K12" s="13">
        <f>IFERROR(Table1[[#This Row],[Net Price]]-L12,"Error!")</f>
        <v>2640</v>
      </c>
      <c r="L12" s="6">
        <v>0</v>
      </c>
      <c r="M12" s="13">
        <f>IFERROR(Table1[[#This Row],[Net Price]]*Table1[[#This Row],[DiscountPct]],"Error!")</f>
        <v>0</v>
      </c>
      <c r="N12" s="6">
        <v>5</v>
      </c>
      <c r="O12" s="6" t="s">
        <v>72</v>
      </c>
      <c r="P12" s="6" t="s">
        <v>73</v>
      </c>
      <c r="Q12" s="6" t="s">
        <v>74</v>
      </c>
      <c r="R12" s="6" t="s">
        <v>75</v>
      </c>
      <c r="S12" s="7" t="s">
        <v>246</v>
      </c>
    </row>
    <row r="13" spans="1:19" x14ac:dyDescent="0.25">
      <c r="A13" s="11" t="s">
        <v>110</v>
      </c>
      <c r="B13" s="12" t="s">
        <v>207</v>
      </c>
      <c r="C13" s="6" t="s">
        <v>78</v>
      </c>
      <c r="D13" s="6" t="s">
        <v>69</v>
      </c>
      <c r="E13" s="6" t="s">
        <v>111</v>
      </c>
      <c r="F13" s="6" t="s">
        <v>109</v>
      </c>
      <c r="G13" s="6">
        <v>14</v>
      </c>
      <c r="H13" s="21">
        <v>120</v>
      </c>
      <c r="I13" s="10">
        <f>IFERROR(Table1[[#This Row],[Net Price]] - Table1[[#This Row],[Discount Price]] + Table1[[#This Row],[Total Tax]],"Error")</f>
        <v>5043</v>
      </c>
      <c r="J13" s="13">
        <f>IFERROR(Table1[[#This Row],[Qty]] * Table1[[#This Row],[UnitPrice]],"Value/sign issue!")</f>
        <v>1680</v>
      </c>
      <c r="K13" s="13">
        <f>IFERROR(Table1[[#This Row],[Net Price]]-L13,"Error!")</f>
        <v>1677</v>
      </c>
      <c r="L13" s="6">
        <v>3</v>
      </c>
      <c r="M13" s="13">
        <f>IFERROR(Table1[[#This Row],[Net Price]]*Table1[[#This Row],[DiscountPct]],"Error!")</f>
        <v>5040</v>
      </c>
      <c r="N13" s="6">
        <v>5</v>
      </c>
      <c r="O13" s="6" t="s">
        <v>72</v>
      </c>
      <c r="P13" s="6" t="s">
        <v>85</v>
      </c>
      <c r="Q13" s="6" t="s">
        <v>86</v>
      </c>
      <c r="R13" s="6" t="s">
        <v>87</v>
      </c>
      <c r="S13" s="7" t="s">
        <v>246</v>
      </c>
    </row>
    <row r="14" spans="1:19" x14ac:dyDescent="0.25">
      <c r="A14" s="11" t="s">
        <v>112</v>
      </c>
      <c r="B14" s="12" t="s">
        <v>208</v>
      </c>
      <c r="C14" s="6" t="s">
        <v>82</v>
      </c>
      <c r="D14" s="6" t="s">
        <v>83</v>
      </c>
      <c r="E14" s="6" t="s">
        <v>113</v>
      </c>
      <c r="F14" s="6" t="s">
        <v>114</v>
      </c>
      <c r="G14" s="6">
        <v>7</v>
      </c>
      <c r="H14" s="21">
        <v>120</v>
      </c>
      <c r="I14" s="10">
        <f>IFERROR(Table1[[#This Row],[Net Price]] - Table1[[#This Row],[Discount Price]] + Table1[[#This Row],[Total Tax]],"Error")</f>
        <v>0</v>
      </c>
      <c r="J14" s="13">
        <f>IFERROR(Table1[[#This Row],[Qty]] * Table1[[#This Row],[UnitPrice]],"Value/sign issue!")</f>
        <v>840</v>
      </c>
      <c r="K14" s="13">
        <f>IFERROR(Table1[[#This Row],[Net Price]]-L14,"Error!")</f>
        <v>840</v>
      </c>
      <c r="L14" s="6">
        <v>0</v>
      </c>
      <c r="M14" s="13">
        <f>IFERROR(Table1[[#This Row],[Net Price]]*Table1[[#This Row],[DiscountPct]],"Error!")</f>
        <v>0</v>
      </c>
      <c r="N14" s="6">
        <v>5</v>
      </c>
      <c r="O14" s="6" t="s">
        <v>72</v>
      </c>
      <c r="P14" s="6" t="s">
        <v>73</v>
      </c>
      <c r="Q14" s="6" t="s">
        <v>74</v>
      </c>
      <c r="R14" s="6" t="s">
        <v>75</v>
      </c>
      <c r="S14" s="7" t="s">
        <v>246</v>
      </c>
    </row>
    <row r="15" spans="1:19" x14ac:dyDescent="0.25">
      <c r="A15" s="11" t="s">
        <v>115</v>
      </c>
      <c r="B15" s="12" t="s">
        <v>209</v>
      </c>
      <c r="C15" s="6" t="s">
        <v>89</v>
      </c>
      <c r="D15" s="6" t="s">
        <v>69</v>
      </c>
      <c r="E15" s="6" t="s">
        <v>116</v>
      </c>
      <c r="F15" s="6" t="s">
        <v>114</v>
      </c>
      <c r="G15" s="6">
        <v>5</v>
      </c>
      <c r="H15" s="21">
        <v>120</v>
      </c>
      <c r="I15" s="10" t="str">
        <f>IFERROR(Table1[[#This Row],[Net Price]] - Table1[[#This Row],[Discount Price]] + Table1[[#This Row],[Total Tax]],"Error")</f>
        <v>Error</v>
      </c>
      <c r="J15" s="13">
        <f>IFERROR(Table1[[#This Row],[Qty]] * Table1[[#This Row],[UnitPrice]],"Value/sign issue!")</f>
        <v>600</v>
      </c>
      <c r="K15" s="13" t="str">
        <f>IFERROR(Table1[[#This Row],[Net Price]]-L15,"Error!")</f>
        <v>Error!</v>
      </c>
      <c r="L15" s="6" t="s">
        <v>246</v>
      </c>
      <c r="M15" s="13" t="str">
        <f>IFERROR(Table1[[#This Row],[Net Price]]*Table1[[#This Row],[DiscountPct]],"Error!")</f>
        <v>Error!</v>
      </c>
      <c r="N15" s="6">
        <v>5</v>
      </c>
      <c r="O15" s="6" t="s">
        <v>72</v>
      </c>
      <c r="P15" s="6" t="s">
        <v>73</v>
      </c>
      <c r="Q15" s="6" t="s">
        <v>74</v>
      </c>
      <c r="R15" s="6" t="s">
        <v>75</v>
      </c>
      <c r="S15" s="7" t="s">
        <v>246</v>
      </c>
    </row>
    <row r="16" spans="1:19" x14ac:dyDescent="0.25">
      <c r="A16" s="11" t="s">
        <v>117</v>
      </c>
      <c r="B16" s="12" t="s">
        <v>210</v>
      </c>
      <c r="C16" s="6" t="s">
        <v>68</v>
      </c>
      <c r="D16" s="6" t="s">
        <v>69</v>
      </c>
      <c r="E16" s="6" t="s">
        <v>118</v>
      </c>
      <c r="F16" s="6" t="s">
        <v>119</v>
      </c>
      <c r="G16" s="6">
        <v>11</v>
      </c>
      <c r="H16" s="21">
        <v>120</v>
      </c>
      <c r="I16" s="10">
        <f>IFERROR(Table1[[#This Row],[Net Price]] - Table1[[#This Row],[Discount Price]] + Table1[[#This Row],[Total Tax]],"Error")</f>
        <v>0</v>
      </c>
      <c r="J16" s="13">
        <f>IFERROR(Table1[[#This Row],[Qty]] * Table1[[#This Row],[UnitPrice]],"Value/sign issue!")</f>
        <v>1320</v>
      </c>
      <c r="K16" s="13">
        <f>IFERROR(Table1[[#This Row],[Net Price]]-L16,"Error!")</f>
        <v>1320</v>
      </c>
      <c r="L16" s="6">
        <v>0</v>
      </c>
      <c r="M16" s="13">
        <f>IFERROR(Table1[[#This Row],[Net Price]]*Table1[[#This Row],[DiscountPct]],"Error!")</f>
        <v>0</v>
      </c>
      <c r="N16" s="6">
        <v>5</v>
      </c>
      <c r="O16" s="6" t="s">
        <v>72</v>
      </c>
      <c r="P16" s="6" t="s">
        <v>73</v>
      </c>
      <c r="Q16" s="6" t="s">
        <v>86</v>
      </c>
      <c r="R16" s="6" t="s">
        <v>87</v>
      </c>
      <c r="S16" s="7" t="s">
        <v>246</v>
      </c>
    </row>
    <row r="17" spans="1:19" x14ac:dyDescent="0.25">
      <c r="A17" s="11" t="s">
        <v>120</v>
      </c>
      <c r="B17" s="12" t="s">
        <v>211</v>
      </c>
      <c r="C17" s="6" t="s">
        <v>95</v>
      </c>
      <c r="D17" s="6" t="s">
        <v>69</v>
      </c>
      <c r="E17" s="6" t="s">
        <v>121</v>
      </c>
      <c r="F17" s="6" t="s">
        <v>119</v>
      </c>
      <c r="G17" s="6">
        <v>16</v>
      </c>
      <c r="H17" s="21">
        <v>120</v>
      </c>
      <c r="I17" s="10">
        <f>IFERROR(Table1[[#This Row],[Net Price]] - Table1[[#This Row],[Discount Price]] + Table1[[#This Row],[Total Tax]],"Error")</f>
        <v>0</v>
      </c>
      <c r="J17" s="13">
        <f>IFERROR(Table1[[#This Row],[Qty]] * Table1[[#This Row],[UnitPrice]],"Value/sign issue!")</f>
        <v>1920</v>
      </c>
      <c r="K17" s="13">
        <f>IFERROR(Table1[[#This Row],[Net Price]]-L17,"Error!")</f>
        <v>1920</v>
      </c>
      <c r="L17" s="6">
        <v>0</v>
      </c>
      <c r="M17" s="13">
        <f>IFERROR(Table1[[#This Row],[Net Price]]*Table1[[#This Row],[DiscountPct]],"Error!")</f>
        <v>0</v>
      </c>
      <c r="N17" s="6">
        <v>5</v>
      </c>
      <c r="O17" s="6" t="s">
        <v>72</v>
      </c>
      <c r="P17" s="6" t="s">
        <v>73</v>
      </c>
      <c r="Q17" s="6" t="s">
        <v>74</v>
      </c>
      <c r="R17" s="6" t="s">
        <v>75</v>
      </c>
      <c r="S17" s="7" t="s">
        <v>246</v>
      </c>
    </row>
    <row r="18" spans="1:19" x14ac:dyDescent="0.25">
      <c r="A18" s="11" t="s">
        <v>122</v>
      </c>
      <c r="B18" s="12" t="s">
        <v>212</v>
      </c>
      <c r="C18" s="6" t="s">
        <v>78</v>
      </c>
      <c r="D18" s="6" t="s">
        <v>69</v>
      </c>
      <c r="E18" s="6" t="s">
        <v>123</v>
      </c>
      <c r="F18" s="6" t="s">
        <v>119</v>
      </c>
      <c r="G18" s="6">
        <v>9</v>
      </c>
      <c r="H18" s="21">
        <v>120</v>
      </c>
      <c r="I18" s="10">
        <f>IFERROR(Table1[[#This Row],[Net Price]] - Table1[[#This Row],[Discount Price]] + Table1[[#This Row],[Total Tax]],"Error")</f>
        <v>5405</v>
      </c>
      <c r="J18" s="13">
        <f>IFERROR(Table1[[#This Row],[Qty]] * Table1[[#This Row],[UnitPrice]],"Value/sign issue!")</f>
        <v>1080</v>
      </c>
      <c r="K18" s="13">
        <f>IFERROR(Table1[[#This Row],[Net Price]]-L18,"Error!")</f>
        <v>1075</v>
      </c>
      <c r="L18" s="6">
        <v>5</v>
      </c>
      <c r="M18" s="13">
        <f>IFERROR(Table1[[#This Row],[Net Price]]*Table1[[#This Row],[DiscountPct]],"Error!")</f>
        <v>5400</v>
      </c>
      <c r="N18" s="6">
        <v>5</v>
      </c>
      <c r="O18" s="6" t="s">
        <v>72</v>
      </c>
      <c r="P18" s="6" t="s">
        <v>85</v>
      </c>
      <c r="Q18" s="6" t="s">
        <v>86</v>
      </c>
      <c r="R18" s="6" t="s">
        <v>87</v>
      </c>
      <c r="S18" s="7" t="s">
        <v>246</v>
      </c>
    </row>
    <row r="19" spans="1:19" x14ac:dyDescent="0.25">
      <c r="A19" s="11" t="s">
        <v>124</v>
      </c>
      <c r="B19" s="12" t="s">
        <v>213</v>
      </c>
      <c r="C19" s="6" t="s">
        <v>82</v>
      </c>
      <c r="D19" s="6" t="s">
        <v>83</v>
      </c>
      <c r="E19" s="6" t="s">
        <v>125</v>
      </c>
      <c r="F19" s="6" t="s">
        <v>126</v>
      </c>
      <c r="G19" s="6">
        <v>28</v>
      </c>
      <c r="H19" s="21">
        <v>120</v>
      </c>
      <c r="I19" s="10">
        <f>IFERROR(Table1[[#This Row],[Net Price]] - Table1[[#This Row],[Discount Price]] + Table1[[#This Row],[Total Tax]],"Error")</f>
        <v>0</v>
      </c>
      <c r="J19" s="13">
        <f>IFERROR(Table1[[#This Row],[Qty]] * Table1[[#This Row],[UnitPrice]],"Value/sign issue!")</f>
        <v>3360</v>
      </c>
      <c r="K19" s="13">
        <f>IFERROR(Table1[[#This Row],[Net Price]]-L19,"Error!")</f>
        <v>3360</v>
      </c>
      <c r="L19" s="6">
        <v>0</v>
      </c>
      <c r="M19" s="13">
        <f>IFERROR(Table1[[#This Row],[Net Price]]*Table1[[#This Row],[DiscountPct]],"Error!")</f>
        <v>0</v>
      </c>
      <c r="N19" s="6">
        <v>5</v>
      </c>
      <c r="O19" s="6" t="s">
        <v>72</v>
      </c>
      <c r="P19" s="6" t="s">
        <v>73</v>
      </c>
      <c r="Q19" s="6" t="s">
        <v>74</v>
      </c>
      <c r="R19" s="6" t="s">
        <v>75</v>
      </c>
      <c r="S19" s="7" t="s">
        <v>246</v>
      </c>
    </row>
    <row r="20" spans="1:19" x14ac:dyDescent="0.25">
      <c r="A20" s="11" t="s">
        <v>127</v>
      </c>
      <c r="B20" s="12" t="s">
        <v>214</v>
      </c>
      <c r="C20" s="6" t="s">
        <v>89</v>
      </c>
      <c r="D20" s="6" t="s">
        <v>69</v>
      </c>
      <c r="E20" s="6" t="s">
        <v>128</v>
      </c>
      <c r="F20" s="6" t="s">
        <v>126</v>
      </c>
      <c r="G20" s="6">
        <v>20</v>
      </c>
      <c r="H20" s="21">
        <v>120</v>
      </c>
      <c r="I20" s="10" t="str">
        <f>IFERROR(Table1[[#This Row],[Net Price]] - Table1[[#This Row],[Discount Price]] + Table1[[#This Row],[Total Tax]],"Error")</f>
        <v>Error</v>
      </c>
      <c r="J20" s="13">
        <f>IFERROR(Table1[[#This Row],[Qty]] * Table1[[#This Row],[UnitPrice]],"Value/sign issue!")</f>
        <v>2400</v>
      </c>
      <c r="K20" s="13" t="str">
        <f>IFERROR(Table1[[#This Row],[Net Price]]-L20,"Error!")</f>
        <v>Error!</v>
      </c>
      <c r="L20" s="6" t="s">
        <v>246</v>
      </c>
      <c r="M20" s="13" t="str">
        <f>IFERROR(Table1[[#This Row],[Net Price]]*Table1[[#This Row],[DiscountPct]],"Error!")</f>
        <v>Error!</v>
      </c>
      <c r="N20" s="6">
        <v>5</v>
      </c>
      <c r="O20" s="6" t="s">
        <v>72</v>
      </c>
      <c r="P20" s="6" t="s">
        <v>73</v>
      </c>
      <c r="Q20" s="6" t="s">
        <v>74</v>
      </c>
      <c r="R20" s="6" t="s">
        <v>75</v>
      </c>
      <c r="S20" s="7" t="s">
        <v>246</v>
      </c>
    </row>
    <row r="21" spans="1:19" x14ac:dyDescent="0.25">
      <c r="A21" s="11" t="s">
        <v>129</v>
      </c>
      <c r="B21" s="12" t="s">
        <v>215</v>
      </c>
      <c r="C21" s="6" t="s">
        <v>68</v>
      </c>
      <c r="D21" s="6" t="s">
        <v>69</v>
      </c>
      <c r="E21" s="6" t="s">
        <v>130</v>
      </c>
      <c r="F21" s="6" t="s">
        <v>126</v>
      </c>
      <c r="G21" s="6">
        <v>50</v>
      </c>
      <c r="H21" s="21">
        <v>120</v>
      </c>
      <c r="I21" s="10">
        <f>IFERROR(Table1[[#This Row],[Net Price]] - Table1[[#This Row],[Discount Price]] + Table1[[#This Row],[Total Tax]],"Error")</f>
        <v>0</v>
      </c>
      <c r="J21" s="13">
        <f>IFERROR(Table1[[#This Row],[Qty]] * Table1[[#This Row],[UnitPrice]],"Value/sign issue!")</f>
        <v>6000</v>
      </c>
      <c r="K21" s="13">
        <f>IFERROR(Table1[[#This Row],[Net Price]]-L21,"Error!")</f>
        <v>6000</v>
      </c>
      <c r="L21" s="6">
        <v>0</v>
      </c>
      <c r="M21" s="13">
        <f>IFERROR(Table1[[#This Row],[Net Price]]*Table1[[#This Row],[DiscountPct]],"Error!")</f>
        <v>0</v>
      </c>
      <c r="N21" s="6">
        <v>5</v>
      </c>
      <c r="O21" s="6" t="s">
        <v>72</v>
      </c>
      <c r="P21" s="6" t="s">
        <v>73</v>
      </c>
      <c r="Q21" s="6" t="s">
        <v>86</v>
      </c>
      <c r="R21" s="6" t="s">
        <v>87</v>
      </c>
      <c r="S21" s="7" t="s">
        <v>246</v>
      </c>
    </row>
    <row r="22" spans="1:19" x14ac:dyDescent="0.25">
      <c r="A22" s="11" t="s">
        <v>131</v>
      </c>
      <c r="B22" s="12" t="s">
        <v>216</v>
      </c>
      <c r="C22" s="6" t="s">
        <v>95</v>
      </c>
      <c r="D22" s="6" t="s">
        <v>69</v>
      </c>
      <c r="E22" s="6" t="s">
        <v>132</v>
      </c>
      <c r="F22" s="6" t="s">
        <v>126</v>
      </c>
      <c r="G22" s="6">
        <v>12</v>
      </c>
      <c r="H22" s="21">
        <v>120</v>
      </c>
      <c r="I22" s="10">
        <f>IFERROR(Table1[[#This Row],[Net Price]] - Table1[[#This Row],[Discount Price]] + Table1[[#This Row],[Total Tax]],"Error")</f>
        <v>0</v>
      </c>
      <c r="J22" s="13">
        <f>IFERROR(Table1[[#This Row],[Qty]] * Table1[[#This Row],[UnitPrice]],"Value/sign issue!")</f>
        <v>1440</v>
      </c>
      <c r="K22" s="13">
        <f>IFERROR(Table1[[#This Row],[Net Price]]-L22,"Error!")</f>
        <v>1440</v>
      </c>
      <c r="L22" s="6">
        <v>0</v>
      </c>
      <c r="M22" s="13">
        <f>IFERROR(Table1[[#This Row],[Net Price]]*Table1[[#This Row],[DiscountPct]],"Error!")</f>
        <v>0</v>
      </c>
      <c r="N22" s="6">
        <v>5</v>
      </c>
      <c r="O22" s="6" t="s">
        <v>72</v>
      </c>
      <c r="P22" s="6" t="s">
        <v>73</v>
      </c>
      <c r="Q22" s="6" t="s">
        <v>74</v>
      </c>
      <c r="R22" s="6" t="s">
        <v>75</v>
      </c>
      <c r="S22" s="7" t="s">
        <v>246</v>
      </c>
    </row>
    <row r="23" spans="1:19" x14ac:dyDescent="0.25">
      <c r="A23" s="11" t="s">
        <v>133</v>
      </c>
      <c r="B23" s="12" t="s">
        <v>217</v>
      </c>
      <c r="C23" s="6" t="s">
        <v>78</v>
      </c>
      <c r="D23" s="6" t="s">
        <v>69</v>
      </c>
      <c r="E23" s="6" t="s">
        <v>134</v>
      </c>
      <c r="F23" s="6" t="s">
        <v>135</v>
      </c>
      <c r="G23" s="6">
        <v>35</v>
      </c>
      <c r="H23" s="21">
        <v>120</v>
      </c>
      <c r="I23" s="10">
        <f>IFERROR(Table1[[#This Row],[Net Price]] - Table1[[#This Row],[Discount Price]] + Table1[[#This Row],[Total Tax]],"Error")</f>
        <v>0</v>
      </c>
      <c r="J23" s="13">
        <f>IFERROR(Table1[[#This Row],[Qty]] * Table1[[#This Row],[UnitPrice]],"Value/sign issue!")</f>
        <v>4200</v>
      </c>
      <c r="K23" s="13">
        <f>IFERROR(Table1[[#This Row],[Net Price]]-L23,"Error!")</f>
        <v>4200</v>
      </c>
      <c r="L23" s="6">
        <v>0</v>
      </c>
      <c r="M23" s="13">
        <f>IFERROR(Table1[[#This Row],[Net Price]]*Table1[[#This Row],[DiscountPct]],"Error!")</f>
        <v>0</v>
      </c>
      <c r="N23" s="6">
        <v>5</v>
      </c>
      <c r="O23" s="6" t="s">
        <v>72</v>
      </c>
      <c r="P23" s="6" t="s">
        <v>85</v>
      </c>
      <c r="Q23" s="6" t="s">
        <v>86</v>
      </c>
      <c r="R23" s="6" t="s">
        <v>87</v>
      </c>
      <c r="S23" s="7" t="s">
        <v>246</v>
      </c>
    </row>
    <row r="24" spans="1:19" x14ac:dyDescent="0.25">
      <c r="A24" s="11" t="s">
        <v>136</v>
      </c>
      <c r="B24" s="12" t="s">
        <v>218</v>
      </c>
      <c r="C24" s="6" t="s">
        <v>82</v>
      </c>
      <c r="D24" s="6" t="s">
        <v>83</v>
      </c>
      <c r="E24" s="6" t="s">
        <v>137</v>
      </c>
      <c r="F24" s="6" t="s">
        <v>135</v>
      </c>
      <c r="G24" s="6">
        <v>14</v>
      </c>
      <c r="H24" s="21">
        <v>120</v>
      </c>
      <c r="I24" s="10">
        <f>IFERROR(Table1[[#This Row],[Net Price]] - Table1[[#This Row],[Discount Price]] + Table1[[#This Row],[Total Tax]],"Error")</f>
        <v>3362</v>
      </c>
      <c r="J24" s="13">
        <f>IFERROR(Table1[[#This Row],[Qty]] * Table1[[#This Row],[UnitPrice]],"Value/sign issue!")</f>
        <v>1680</v>
      </c>
      <c r="K24" s="13">
        <f>IFERROR(Table1[[#This Row],[Net Price]]-L24,"Error!")</f>
        <v>1678</v>
      </c>
      <c r="L24" s="6">
        <v>2</v>
      </c>
      <c r="M24" s="13">
        <f>IFERROR(Table1[[#This Row],[Net Price]]*Table1[[#This Row],[DiscountPct]],"Error!")</f>
        <v>3360</v>
      </c>
      <c r="N24" s="6">
        <v>5</v>
      </c>
      <c r="O24" s="6" t="s">
        <v>72</v>
      </c>
      <c r="P24" s="6" t="s">
        <v>73</v>
      </c>
      <c r="Q24" s="6" t="s">
        <v>74</v>
      </c>
      <c r="R24" s="6" t="s">
        <v>75</v>
      </c>
      <c r="S24" s="7" t="s">
        <v>246</v>
      </c>
    </row>
    <row r="25" spans="1:19" x14ac:dyDescent="0.25">
      <c r="A25" s="11" t="s">
        <v>138</v>
      </c>
      <c r="B25" s="12" t="s">
        <v>219</v>
      </c>
      <c r="C25" s="6" t="s">
        <v>89</v>
      </c>
      <c r="D25" s="6" t="s">
        <v>69</v>
      </c>
      <c r="E25" s="6" t="s">
        <v>139</v>
      </c>
      <c r="F25" s="6" t="s">
        <v>135</v>
      </c>
      <c r="G25" s="6">
        <v>18</v>
      </c>
      <c r="H25" s="21">
        <v>120</v>
      </c>
      <c r="I25" s="10" t="str">
        <f>IFERROR(Table1[[#This Row],[Net Price]] - Table1[[#This Row],[Discount Price]] + Table1[[#This Row],[Total Tax]],"Error")</f>
        <v>Error</v>
      </c>
      <c r="J25" s="13">
        <f>IFERROR(Table1[[#This Row],[Qty]] * Table1[[#This Row],[UnitPrice]],"Value/sign issue!")</f>
        <v>2160</v>
      </c>
      <c r="K25" s="13" t="str">
        <f>IFERROR(Table1[[#This Row],[Net Price]]-L25,"Error!")</f>
        <v>Error!</v>
      </c>
      <c r="L25" s="6" t="s">
        <v>246</v>
      </c>
      <c r="M25" s="13" t="str">
        <f>IFERROR(Table1[[#This Row],[Net Price]]*Table1[[#This Row],[DiscountPct]],"Error!")</f>
        <v>Error!</v>
      </c>
      <c r="N25" s="6">
        <v>5</v>
      </c>
      <c r="O25" s="6" t="s">
        <v>72</v>
      </c>
      <c r="P25" s="6" t="s">
        <v>73</v>
      </c>
      <c r="Q25" s="6" t="s">
        <v>74</v>
      </c>
      <c r="R25" s="6" t="s">
        <v>75</v>
      </c>
      <c r="S25" s="7" t="s">
        <v>246</v>
      </c>
    </row>
    <row r="26" spans="1:19" x14ac:dyDescent="0.25">
      <c r="A26" s="11" t="s">
        <v>140</v>
      </c>
      <c r="B26" s="12" t="s">
        <v>220</v>
      </c>
      <c r="C26" s="6" t="s">
        <v>68</v>
      </c>
      <c r="D26" s="6" t="s">
        <v>69</v>
      </c>
      <c r="E26" s="6" t="s">
        <v>141</v>
      </c>
      <c r="F26" s="6" t="s">
        <v>142</v>
      </c>
      <c r="G26" s="6">
        <v>16</v>
      </c>
      <c r="H26" s="21">
        <v>120</v>
      </c>
      <c r="I26" s="10">
        <f>IFERROR(Table1[[#This Row],[Net Price]] - Table1[[#This Row],[Discount Price]] + Table1[[#This Row],[Total Tax]],"Error")</f>
        <v>0</v>
      </c>
      <c r="J26" s="13">
        <f>IFERROR(Table1[[#This Row],[Qty]] * Table1[[#This Row],[UnitPrice]],"Value/sign issue!")</f>
        <v>1920</v>
      </c>
      <c r="K26" s="13">
        <f>IFERROR(Table1[[#This Row],[Net Price]]-L26,"Error!")</f>
        <v>1920</v>
      </c>
      <c r="L26" s="6">
        <v>0</v>
      </c>
      <c r="M26" s="13">
        <f>IFERROR(Table1[[#This Row],[Net Price]]*Table1[[#This Row],[DiscountPct]],"Error!")</f>
        <v>0</v>
      </c>
      <c r="N26" s="6">
        <v>5</v>
      </c>
      <c r="O26" s="6" t="s">
        <v>72</v>
      </c>
      <c r="P26" s="6" t="s">
        <v>73</v>
      </c>
      <c r="Q26" s="6" t="s">
        <v>86</v>
      </c>
      <c r="R26" s="6" t="s">
        <v>87</v>
      </c>
      <c r="S26" s="7" t="s">
        <v>246</v>
      </c>
    </row>
    <row r="27" spans="1:19" x14ac:dyDescent="0.25">
      <c r="A27" s="11" t="s">
        <v>143</v>
      </c>
      <c r="B27" s="12" t="s">
        <v>221</v>
      </c>
      <c r="C27" s="6" t="s">
        <v>95</v>
      </c>
      <c r="D27" s="6" t="s">
        <v>69</v>
      </c>
      <c r="E27" s="6" t="s">
        <v>144</v>
      </c>
      <c r="F27" s="6" t="s">
        <v>142</v>
      </c>
      <c r="G27" s="6">
        <v>10</v>
      </c>
      <c r="H27" s="21">
        <v>120</v>
      </c>
      <c r="I27" s="10">
        <f>IFERROR(Table1[[#This Row],[Net Price]] - Table1[[#This Row],[Discount Price]] + Table1[[#This Row],[Total Tax]],"Error")</f>
        <v>0</v>
      </c>
      <c r="J27" s="13">
        <f>IFERROR(Table1[[#This Row],[Qty]] * Table1[[#This Row],[UnitPrice]],"Value/sign issue!")</f>
        <v>1200</v>
      </c>
      <c r="K27" s="13">
        <f>IFERROR(Table1[[#This Row],[Net Price]]-L27,"Error!")</f>
        <v>1200</v>
      </c>
      <c r="L27" s="6">
        <v>0</v>
      </c>
      <c r="M27" s="13">
        <f>IFERROR(Table1[[#This Row],[Net Price]]*Table1[[#This Row],[DiscountPct]],"Error!")</f>
        <v>0</v>
      </c>
      <c r="N27" s="6">
        <v>5</v>
      </c>
      <c r="O27" s="6" t="s">
        <v>72</v>
      </c>
      <c r="P27" s="6" t="s">
        <v>73</v>
      </c>
      <c r="Q27" s="6" t="s">
        <v>74</v>
      </c>
      <c r="R27" s="6" t="s">
        <v>75</v>
      </c>
      <c r="S27" s="7" t="s">
        <v>246</v>
      </c>
    </row>
    <row r="28" spans="1:19" x14ac:dyDescent="0.25">
      <c r="A28" s="11" t="s">
        <v>145</v>
      </c>
      <c r="B28" s="12" t="s">
        <v>222</v>
      </c>
      <c r="C28" s="6" t="s">
        <v>78</v>
      </c>
      <c r="D28" s="6" t="s">
        <v>69</v>
      </c>
      <c r="E28" s="6" t="s">
        <v>146</v>
      </c>
      <c r="F28" s="6" t="s">
        <v>142</v>
      </c>
      <c r="G28" s="6">
        <v>22</v>
      </c>
      <c r="H28" s="21">
        <v>120</v>
      </c>
      <c r="I28" s="10">
        <f>IFERROR(Table1[[#This Row],[Net Price]] - Table1[[#This Row],[Discount Price]] + Table1[[#This Row],[Total Tax]],"Error")</f>
        <v>0</v>
      </c>
      <c r="J28" s="13">
        <f>IFERROR(Table1[[#This Row],[Qty]] * Table1[[#This Row],[UnitPrice]],"Value/sign issue!")</f>
        <v>2640</v>
      </c>
      <c r="K28" s="13">
        <f>IFERROR(Table1[[#This Row],[Net Price]]-L28,"Error!")</f>
        <v>2640</v>
      </c>
      <c r="L28" s="6">
        <v>0</v>
      </c>
      <c r="M28" s="13">
        <f>IFERROR(Table1[[#This Row],[Net Price]]*Table1[[#This Row],[DiscountPct]],"Error!")</f>
        <v>0</v>
      </c>
      <c r="N28" s="6">
        <v>5</v>
      </c>
      <c r="O28" s="6" t="s">
        <v>72</v>
      </c>
      <c r="P28" s="6" t="s">
        <v>85</v>
      </c>
      <c r="Q28" s="6" t="s">
        <v>86</v>
      </c>
      <c r="R28" s="6" t="s">
        <v>87</v>
      </c>
      <c r="S28" s="7" t="s">
        <v>246</v>
      </c>
    </row>
    <row r="29" spans="1:19" x14ac:dyDescent="0.25">
      <c r="A29" s="11" t="s">
        <v>147</v>
      </c>
      <c r="B29" s="12" t="s">
        <v>223</v>
      </c>
      <c r="C29" s="6" t="s">
        <v>82</v>
      </c>
      <c r="D29" s="6" t="s">
        <v>83</v>
      </c>
      <c r="E29" s="6" t="s">
        <v>148</v>
      </c>
      <c r="F29" s="6" t="s">
        <v>142</v>
      </c>
      <c r="G29" s="6">
        <v>40</v>
      </c>
      <c r="H29" s="21">
        <v>120</v>
      </c>
      <c r="I29" s="10" t="str">
        <f>IFERROR(Table1[[#This Row],[Net Price]] - Table1[[#This Row],[Discount Price]] + Table1[[#This Row],[Total Tax]],"Error")</f>
        <v>Error</v>
      </c>
      <c r="J29" s="13">
        <f>IFERROR(Table1[[#This Row],[Qty]] * Table1[[#This Row],[UnitPrice]],"Value/sign issue!")</f>
        <v>4800</v>
      </c>
      <c r="K29" s="13" t="str">
        <f>IFERROR(Table1[[#This Row],[Net Price]]-L29,"Error!")</f>
        <v>Error!</v>
      </c>
      <c r="L29" s="6" t="s">
        <v>246</v>
      </c>
      <c r="M29" s="13" t="str">
        <f>IFERROR(Table1[[#This Row],[Net Price]]*Table1[[#This Row],[DiscountPct]],"Error!")</f>
        <v>Error!</v>
      </c>
      <c r="N29" s="6">
        <v>5</v>
      </c>
      <c r="O29" s="6" t="s">
        <v>72</v>
      </c>
      <c r="P29" s="6" t="s">
        <v>73</v>
      </c>
      <c r="Q29" s="6" t="s">
        <v>74</v>
      </c>
      <c r="R29" s="6" t="s">
        <v>75</v>
      </c>
      <c r="S29" s="7" t="s">
        <v>246</v>
      </c>
    </row>
    <row r="30" spans="1:19" x14ac:dyDescent="0.25">
      <c r="A30" s="11" t="s">
        <v>149</v>
      </c>
      <c r="B30" s="12" t="s">
        <v>224</v>
      </c>
      <c r="C30" s="6" t="s">
        <v>89</v>
      </c>
      <c r="D30" s="6" t="s">
        <v>69</v>
      </c>
      <c r="E30" s="6" t="s">
        <v>150</v>
      </c>
      <c r="F30" s="6" t="s">
        <v>142</v>
      </c>
      <c r="G30" s="6">
        <v>30</v>
      </c>
      <c r="H30" s="21">
        <v>120</v>
      </c>
      <c r="I30" s="10">
        <f>IFERROR(Table1[[#This Row],[Net Price]] - Table1[[#This Row],[Discount Price]] + Table1[[#This Row],[Total Tax]],"Error")</f>
        <v>0</v>
      </c>
      <c r="J30" s="13">
        <f>IFERROR(Table1[[#This Row],[Qty]] * Table1[[#This Row],[UnitPrice]],"Value/sign issue!")</f>
        <v>3600</v>
      </c>
      <c r="K30" s="13">
        <f>IFERROR(Table1[[#This Row],[Net Price]]-L30,"Error!")</f>
        <v>3600</v>
      </c>
      <c r="L30" s="6">
        <v>0</v>
      </c>
      <c r="M30" s="13">
        <f>IFERROR(Table1[[#This Row],[Net Price]]*Table1[[#This Row],[DiscountPct]],"Error!")</f>
        <v>0</v>
      </c>
      <c r="N30" s="6">
        <v>5</v>
      </c>
      <c r="O30" s="6" t="s">
        <v>72</v>
      </c>
      <c r="P30" s="6" t="s">
        <v>73</v>
      </c>
      <c r="Q30" s="6" t="s">
        <v>74</v>
      </c>
      <c r="R30" s="6" t="s">
        <v>75</v>
      </c>
      <c r="S30" s="7" t="s">
        <v>246</v>
      </c>
    </row>
    <row r="31" spans="1:19" x14ac:dyDescent="0.25">
      <c r="A31" s="11" t="s">
        <v>151</v>
      </c>
      <c r="B31" s="12" t="s">
        <v>225</v>
      </c>
      <c r="C31" s="6" t="s">
        <v>68</v>
      </c>
      <c r="D31" s="6" t="s">
        <v>69</v>
      </c>
      <c r="E31" s="6" t="s">
        <v>152</v>
      </c>
      <c r="F31" s="6" t="s">
        <v>142</v>
      </c>
      <c r="G31" s="6">
        <v>25</v>
      </c>
      <c r="H31" s="21">
        <v>120</v>
      </c>
      <c r="I31" s="10">
        <f>IFERROR(Table1[[#This Row],[Net Price]] - Table1[[#This Row],[Discount Price]] + Table1[[#This Row],[Total Tax]],"Error")</f>
        <v>0</v>
      </c>
      <c r="J31" s="13">
        <f>IFERROR(Table1[[#This Row],[Qty]] * Table1[[#This Row],[UnitPrice]],"Value/sign issue!")</f>
        <v>3000</v>
      </c>
      <c r="K31" s="13">
        <f>IFERROR(Table1[[#This Row],[Net Price]]-L31,"Error!")</f>
        <v>3000</v>
      </c>
      <c r="L31" s="6">
        <v>0</v>
      </c>
      <c r="M31" s="13">
        <f>IFERROR(Table1[[#This Row],[Net Price]]*Table1[[#This Row],[DiscountPct]],"Error!")</f>
        <v>0</v>
      </c>
      <c r="N31" s="6">
        <v>5</v>
      </c>
      <c r="O31" s="6" t="s">
        <v>72</v>
      </c>
      <c r="P31" s="6" t="s">
        <v>73</v>
      </c>
      <c r="Q31" s="6" t="s">
        <v>86</v>
      </c>
      <c r="R31" s="6" t="s">
        <v>87</v>
      </c>
      <c r="S31" s="7" t="s">
        <v>246</v>
      </c>
    </row>
    <row r="32" spans="1:19" x14ac:dyDescent="0.25">
      <c r="A32" s="11" t="s">
        <v>153</v>
      </c>
      <c r="B32" s="12" t="s">
        <v>226</v>
      </c>
      <c r="C32" s="6" t="s">
        <v>95</v>
      </c>
      <c r="D32" s="6" t="s">
        <v>69</v>
      </c>
      <c r="E32" s="6" t="s">
        <v>154</v>
      </c>
      <c r="F32" s="6" t="s">
        <v>155</v>
      </c>
      <c r="G32" s="6">
        <v>45</v>
      </c>
      <c r="H32" s="21">
        <v>120</v>
      </c>
      <c r="I32" s="10">
        <f>IFERROR(Table1[[#This Row],[Net Price]] - Table1[[#This Row],[Discount Price]] + Table1[[#This Row],[Total Tax]],"Error")</f>
        <v>0</v>
      </c>
      <c r="J32" s="13">
        <f>IFERROR(Table1[[#This Row],[Qty]] * Table1[[#This Row],[UnitPrice]],"Value/sign issue!")</f>
        <v>5400</v>
      </c>
      <c r="K32" s="13">
        <f>IFERROR(Table1[[#This Row],[Net Price]]-L32,"Error!")</f>
        <v>5400</v>
      </c>
      <c r="L32" s="6">
        <v>0</v>
      </c>
      <c r="M32" s="13">
        <f>IFERROR(Table1[[#This Row],[Net Price]]*Table1[[#This Row],[DiscountPct]],"Error!")</f>
        <v>0</v>
      </c>
      <c r="N32" s="6">
        <v>5</v>
      </c>
      <c r="O32" s="6" t="s">
        <v>72</v>
      </c>
      <c r="P32" s="6" t="s">
        <v>73</v>
      </c>
      <c r="Q32" s="6" t="s">
        <v>74</v>
      </c>
      <c r="R32" s="6" t="s">
        <v>75</v>
      </c>
      <c r="S32" s="7" t="s">
        <v>246</v>
      </c>
    </row>
    <row r="33" spans="1:19" x14ac:dyDescent="0.25">
      <c r="A33" s="11" t="s">
        <v>156</v>
      </c>
      <c r="B33" s="12" t="s">
        <v>227</v>
      </c>
      <c r="C33" s="6" t="s">
        <v>78</v>
      </c>
      <c r="D33" s="6" t="s">
        <v>69</v>
      </c>
      <c r="E33" s="6" t="s">
        <v>157</v>
      </c>
      <c r="F33" s="6" t="s">
        <v>155</v>
      </c>
      <c r="G33" s="6">
        <v>100</v>
      </c>
      <c r="H33" s="21">
        <v>120</v>
      </c>
      <c r="I33" s="10">
        <f>IFERROR(Table1[[#This Row],[Net Price]] - Table1[[#This Row],[Discount Price]] + Table1[[#This Row],[Total Tax]],"Error")</f>
        <v>0</v>
      </c>
      <c r="J33" s="13">
        <f>IFERROR(Table1[[#This Row],[Qty]] * Table1[[#This Row],[UnitPrice]],"Value/sign issue!")</f>
        <v>12000</v>
      </c>
      <c r="K33" s="13">
        <f>IFERROR(Table1[[#This Row],[Net Price]]-L33,"Error!")</f>
        <v>12000</v>
      </c>
      <c r="L33" s="6">
        <v>0</v>
      </c>
      <c r="M33" s="13">
        <f>IFERROR(Table1[[#This Row],[Net Price]]*Table1[[#This Row],[DiscountPct]],"Error!")</f>
        <v>0</v>
      </c>
      <c r="N33" s="6">
        <v>5</v>
      </c>
      <c r="O33" s="6" t="s">
        <v>72</v>
      </c>
      <c r="P33" s="6" t="s">
        <v>85</v>
      </c>
      <c r="Q33" s="6" t="s">
        <v>86</v>
      </c>
      <c r="R33" s="6" t="s">
        <v>87</v>
      </c>
      <c r="S33" s="7" t="s">
        <v>246</v>
      </c>
    </row>
    <row r="34" spans="1:19" x14ac:dyDescent="0.25">
      <c r="A34" s="11" t="s">
        <v>158</v>
      </c>
      <c r="B34" s="12" t="s">
        <v>197</v>
      </c>
      <c r="C34" s="6" t="s">
        <v>82</v>
      </c>
      <c r="D34" s="6" t="s">
        <v>83</v>
      </c>
      <c r="E34" s="6" t="s">
        <v>159</v>
      </c>
      <c r="F34" s="6" t="s">
        <v>155</v>
      </c>
      <c r="G34" s="6">
        <v>34</v>
      </c>
      <c r="H34" s="21">
        <v>120</v>
      </c>
      <c r="I34" s="10" t="str">
        <f>IFERROR(Table1[[#This Row],[Net Price]] - Table1[[#This Row],[Discount Price]] + Table1[[#This Row],[Total Tax]],"Error")</f>
        <v>Error</v>
      </c>
      <c r="J34" s="13">
        <f>IFERROR(Table1[[#This Row],[Qty]] * Table1[[#This Row],[UnitPrice]],"Error!")</f>
        <v>4080</v>
      </c>
      <c r="K34" s="13" t="str">
        <f>IFERROR(Table1[[#This Row],[Net Price]]-L34,"Error!")</f>
        <v>Error!</v>
      </c>
      <c r="L34" s="6" t="s">
        <v>246</v>
      </c>
      <c r="M34" s="13" t="str">
        <f>IFERROR(Table1[[#This Row],[Net Price]]*Table1[[#This Row],[DiscountPct]],"Error!")</f>
        <v>Error!</v>
      </c>
      <c r="N34" s="6">
        <v>5</v>
      </c>
      <c r="O34" s="6" t="s">
        <v>72</v>
      </c>
      <c r="P34" s="6" t="s">
        <v>73</v>
      </c>
      <c r="Q34" s="6" t="s">
        <v>74</v>
      </c>
      <c r="R34" s="6" t="s">
        <v>75</v>
      </c>
      <c r="S34" s="7" t="s">
        <v>246</v>
      </c>
    </row>
    <row r="35" spans="1:19" x14ac:dyDescent="0.25">
      <c r="A35" s="11" t="s">
        <v>160</v>
      </c>
      <c r="B35" s="12" t="s">
        <v>228</v>
      </c>
      <c r="C35" s="6" t="s">
        <v>89</v>
      </c>
      <c r="D35" s="6" t="s">
        <v>69</v>
      </c>
      <c r="E35" s="6" t="s">
        <v>161</v>
      </c>
      <c r="F35" s="6" t="s">
        <v>155</v>
      </c>
      <c r="G35" s="6">
        <v>12</v>
      </c>
      <c r="H35" s="21">
        <v>120</v>
      </c>
      <c r="I35" s="10">
        <f>IFERROR(Table1[[#This Row],[Net Price]] - Table1[[#This Row],[Discount Price]] + Table1[[#This Row],[Total Tax]],"Error")</f>
        <v>0</v>
      </c>
      <c r="J35" s="13">
        <f>IFERROR(Table1[[#This Row],[Qty]] * Table1[[#This Row],[UnitPrice]],"Value/sign issue!")</f>
        <v>1440</v>
      </c>
      <c r="K35" s="13">
        <f>IFERROR(Table1[[#This Row],[Net Price]]-L35,"Error!")</f>
        <v>1440</v>
      </c>
      <c r="L35" s="6">
        <v>0</v>
      </c>
      <c r="M35" s="13">
        <f>IFERROR(Table1[[#This Row],[Net Price]]*Table1[[#This Row],[DiscountPct]],"Error!")</f>
        <v>0</v>
      </c>
      <c r="N35" s="6">
        <v>5</v>
      </c>
      <c r="O35" s="6" t="s">
        <v>72</v>
      </c>
      <c r="P35" s="6" t="s">
        <v>73</v>
      </c>
      <c r="Q35" s="6" t="s">
        <v>74</v>
      </c>
      <c r="R35" s="6" t="s">
        <v>75</v>
      </c>
      <c r="S35" s="7" t="s">
        <v>246</v>
      </c>
    </row>
    <row r="36" spans="1:19" x14ac:dyDescent="0.25">
      <c r="A36" s="11" t="s">
        <v>162</v>
      </c>
      <c r="B36" s="12" t="s">
        <v>229</v>
      </c>
      <c r="C36" s="6" t="s">
        <v>68</v>
      </c>
      <c r="D36" s="6" t="s">
        <v>69</v>
      </c>
      <c r="E36" s="6" t="s">
        <v>163</v>
      </c>
      <c r="F36" s="6" t="s">
        <v>164</v>
      </c>
      <c r="G36" s="6">
        <v>6</v>
      </c>
      <c r="H36" s="21">
        <v>120</v>
      </c>
      <c r="I36" s="10">
        <f>IFERROR(Table1[[#This Row],[Net Price]] - Table1[[#This Row],[Discount Price]] + Table1[[#This Row],[Total Tax]],"Error")</f>
        <v>0</v>
      </c>
      <c r="J36" s="13">
        <f>IFERROR(Table1[[#This Row],[Qty]] * Table1[[#This Row],[UnitPrice]],"Value/sign issue!")</f>
        <v>720</v>
      </c>
      <c r="K36" s="13">
        <f>IFERROR(Table1[[#This Row],[Net Price]]-L36,"Error!")</f>
        <v>720</v>
      </c>
      <c r="L36" s="6">
        <v>0</v>
      </c>
      <c r="M36" s="13">
        <f>IFERROR(Table1[[#This Row],[Net Price]]*Table1[[#This Row],[DiscountPct]],"Error!")</f>
        <v>0</v>
      </c>
      <c r="N36" s="6">
        <v>5</v>
      </c>
      <c r="O36" s="6" t="s">
        <v>72</v>
      </c>
      <c r="P36" s="6" t="s">
        <v>73</v>
      </c>
      <c r="Q36" s="6" t="s">
        <v>86</v>
      </c>
      <c r="R36" s="6" t="s">
        <v>87</v>
      </c>
      <c r="S36" s="7" t="s">
        <v>246</v>
      </c>
    </row>
    <row r="37" spans="1:19" x14ac:dyDescent="0.25">
      <c r="A37" s="11" t="s">
        <v>165</v>
      </c>
      <c r="B37" s="12" t="s">
        <v>230</v>
      </c>
      <c r="C37" s="6" t="s">
        <v>95</v>
      </c>
      <c r="D37" s="6" t="s">
        <v>69</v>
      </c>
      <c r="E37" s="6" t="s">
        <v>166</v>
      </c>
      <c r="F37" s="6" t="s">
        <v>164</v>
      </c>
      <c r="G37" s="6">
        <v>10</v>
      </c>
      <c r="H37" s="21">
        <v>120</v>
      </c>
      <c r="I37" s="10">
        <f>IFERROR(Table1[[#This Row],[Net Price]] - Table1[[#This Row],[Discount Price]] + Table1[[#This Row],[Total Tax]],"Error")</f>
        <v>6005</v>
      </c>
      <c r="J37" s="13">
        <f>IFERROR(Table1[[#This Row],[Qty]] * Table1[[#This Row],[UnitPrice]],"Value/sign issue!")</f>
        <v>1200</v>
      </c>
      <c r="K37" s="13">
        <f>IFERROR(Table1[[#This Row],[Net Price]]-L37,"Error!")</f>
        <v>1195</v>
      </c>
      <c r="L37" s="6">
        <v>5</v>
      </c>
      <c r="M37" s="13">
        <f>IFERROR(Table1[[#This Row],[Net Price]]*Table1[[#This Row],[DiscountPct]],"Error!")</f>
        <v>6000</v>
      </c>
      <c r="N37" s="6">
        <v>5</v>
      </c>
      <c r="O37" s="6" t="s">
        <v>72</v>
      </c>
      <c r="P37" s="6" t="s">
        <v>73</v>
      </c>
      <c r="Q37" s="6" t="s">
        <v>74</v>
      </c>
      <c r="R37" s="6" t="s">
        <v>75</v>
      </c>
      <c r="S37" s="7" t="s">
        <v>246</v>
      </c>
    </row>
    <row r="38" spans="1:19" x14ac:dyDescent="0.25">
      <c r="A38" s="11" t="s">
        <v>167</v>
      </c>
      <c r="B38" s="12" t="s">
        <v>231</v>
      </c>
      <c r="C38" s="6" t="s">
        <v>78</v>
      </c>
      <c r="D38" s="6" t="s">
        <v>69</v>
      </c>
      <c r="E38" s="6" t="s">
        <v>168</v>
      </c>
      <c r="F38" s="6" t="s">
        <v>164</v>
      </c>
      <c r="G38" s="6">
        <v>14</v>
      </c>
      <c r="H38" s="21">
        <v>120</v>
      </c>
      <c r="I38" s="10">
        <f>IFERROR(Table1[[#This Row],[Net Price]] - Table1[[#This Row],[Discount Price]] + Table1[[#This Row],[Total Tax]],"Error")</f>
        <v>0</v>
      </c>
      <c r="J38" s="13">
        <f>IFERROR(Table1[[#This Row],[Qty]] * Table1[[#This Row],[UnitPrice]],"Value/sign issue!")</f>
        <v>1680</v>
      </c>
      <c r="K38" s="13">
        <f>IFERROR(Table1[[#This Row],[Net Price]]-L38,"Error!")</f>
        <v>1680</v>
      </c>
      <c r="L38" s="6">
        <v>0</v>
      </c>
      <c r="M38" s="13">
        <f>IFERROR(Table1[[#This Row],[Net Price]]*Table1[[#This Row],[DiscountPct]],"Error!")</f>
        <v>0</v>
      </c>
      <c r="N38" s="6">
        <v>5</v>
      </c>
      <c r="O38" s="6" t="s">
        <v>72</v>
      </c>
      <c r="P38" s="6" t="s">
        <v>85</v>
      </c>
      <c r="Q38" s="6" t="s">
        <v>86</v>
      </c>
      <c r="R38" s="6" t="s">
        <v>87</v>
      </c>
      <c r="S38" s="7" t="s">
        <v>246</v>
      </c>
    </row>
    <row r="39" spans="1:19" x14ac:dyDescent="0.25">
      <c r="A39" s="11" t="s">
        <v>169</v>
      </c>
      <c r="B39" s="12" t="s">
        <v>232</v>
      </c>
      <c r="C39" s="6" t="s">
        <v>82</v>
      </c>
      <c r="D39" s="6" t="s">
        <v>83</v>
      </c>
      <c r="E39" s="6" t="s">
        <v>170</v>
      </c>
      <c r="F39" s="6" t="s">
        <v>164</v>
      </c>
      <c r="G39" s="6">
        <v>9</v>
      </c>
      <c r="H39" s="21">
        <v>120</v>
      </c>
      <c r="I39" s="10" t="str">
        <f>IFERROR(Table1[[#This Row],[Net Price]] - Table1[[#This Row],[Discount Price]] + Table1[[#This Row],[Total Tax]],"Error")</f>
        <v>Error</v>
      </c>
      <c r="J39" s="13">
        <f>IFERROR(Table1[[#This Row],[Qty]] * Table1[[#This Row],[UnitPrice]],"Value/sign issue!")</f>
        <v>1080</v>
      </c>
      <c r="K39" s="13" t="str">
        <f>IFERROR(Table1[[#This Row],[Net Price]]-L39,"Error!")</f>
        <v>Error!</v>
      </c>
      <c r="L39" s="6" t="s">
        <v>246</v>
      </c>
      <c r="M39" s="13" t="str">
        <f>IFERROR(Table1[[#This Row],[Net Price]]*Table1[[#This Row],[DiscountPct]],"Error!")</f>
        <v>Error!</v>
      </c>
      <c r="N39" s="6">
        <v>5</v>
      </c>
      <c r="O39" s="6" t="s">
        <v>72</v>
      </c>
      <c r="P39" s="6" t="s">
        <v>73</v>
      </c>
      <c r="Q39" s="6" t="s">
        <v>74</v>
      </c>
      <c r="R39" s="6" t="s">
        <v>75</v>
      </c>
      <c r="S39" s="7" t="s">
        <v>246</v>
      </c>
    </row>
    <row r="40" spans="1:19" x14ac:dyDescent="0.25">
      <c r="A40" s="11" t="s">
        <v>171</v>
      </c>
      <c r="B40" s="12" t="s">
        <v>233</v>
      </c>
      <c r="C40" s="6" t="s">
        <v>89</v>
      </c>
      <c r="D40" s="6" t="s">
        <v>69</v>
      </c>
      <c r="E40" s="6" t="s">
        <v>172</v>
      </c>
      <c r="F40" s="6" t="s">
        <v>164</v>
      </c>
      <c r="G40" s="6">
        <v>11</v>
      </c>
      <c r="H40" s="21">
        <v>120</v>
      </c>
      <c r="I40" s="10">
        <f>IFERROR(Table1[[#This Row],[Net Price]] - Table1[[#This Row],[Discount Price]] + Table1[[#This Row],[Total Tax]],"Error")</f>
        <v>0</v>
      </c>
      <c r="J40" s="13">
        <f>IFERROR(Table1[[#This Row],[Qty]] * Table1[[#This Row],[UnitPrice]],"Value/sign issue!")</f>
        <v>1320</v>
      </c>
      <c r="K40" s="13">
        <f>IFERROR(Table1[[#This Row],[Net Price]]-L40,"Error!")</f>
        <v>1320</v>
      </c>
      <c r="L40" s="6">
        <v>0</v>
      </c>
      <c r="M40" s="13">
        <f>IFERROR(Table1[[#This Row],[Net Price]]*Table1[[#This Row],[DiscountPct]],"Error!")</f>
        <v>0</v>
      </c>
      <c r="N40" s="6">
        <v>5</v>
      </c>
      <c r="O40" s="6" t="s">
        <v>72</v>
      </c>
      <c r="P40" s="6" t="s">
        <v>73</v>
      </c>
      <c r="Q40" s="6" t="s">
        <v>74</v>
      </c>
      <c r="R40" s="6" t="s">
        <v>75</v>
      </c>
      <c r="S40" s="7" t="s">
        <v>246</v>
      </c>
    </row>
    <row r="41" spans="1:19" x14ac:dyDescent="0.25">
      <c r="A41" s="11" t="s">
        <v>173</v>
      </c>
      <c r="B41" s="12" t="s">
        <v>234</v>
      </c>
      <c r="C41" s="6" t="s">
        <v>68</v>
      </c>
      <c r="D41" s="6" t="s">
        <v>69</v>
      </c>
      <c r="E41" s="6" t="s">
        <v>174</v>
      </c>
      <c r="F41" s="6" t="s">
        <v>164</v>
      </c>
      <c r="G41" s="6">
        <v>26</v>
      </c>
      <c r="H41" s="21">
        <v>120</v>
      </c>
      <c r="I41" s="10">
        <f>IFERROR(Table1[[#This Row],[Net Price]] - Table1[[#This Row],[Discount Price]] + Table1[[#This Row],[Total Tax]],"Error")</f>
        <v>0</v>
      </c>
      <c r="J41" s="13">
        <f>IFERROR(Table1[[#This Row],[Qty]] * Table1[[#This Row],[UnitPrice]],"Value/sign issue!")</f>
        <v>3120</v>
      </c>
      <c r="K41" s="13">
        <f>IFERROR(Table1[[#This Row],[Net Price]]-L41,"Error!")</f>
        <v>3120</v>
      </c>
      <c r="L41" s="6">
        <v>0</v>
      </c>
      <c r="M41" s="13">
        <f>IFERROR(Table1[[#This Row],[Net Price]]*Table1[[#This Row],[DiscountPct]],"Error!")</f>
        <v>0</v>
      </c>
      <c r="N41" s="6">
        <v>5</v>
      </c>
      <c r="O41" s="6" t="s">
        <v>72</v>
      </c>
      <c r="P41" s="6" t="s">
        <v>73</v>
      </c>
      <c r="Q41" s="6" t="s">
        <v>86</v>
      </c>
      <c r="R41" s="6" t="s">
        <v>87</v>
      </c>
      <c r="S41" s="7" t="s">
        <v>246</v>
      </c>
    </row>
    <row r="42" spans="1:19" x14ac:dyDescent="0.25">
      <c r="A42" s="11" t="s">
        <v>175</v>
      </c>
      <c r="B42" s="12" t="s">
        <v>235</v>
      </c>
      <c r="C42" s="6" t="s">
        <v>95</v>
      </c>
      <c r="D42" s="6" t="s">
        <v>69</v>
      </c>
      <c r="E42" s="6" t="s">
        <v>176</v>
      </c>
      <c r="F42" s="6" t="s">
        <v>164</v>
      </c>
      <c r="G42" s="6">
        <v>8</v>
      </c>
      <c r="H42" s="21">
        <v>120</v>
      </c>
      <c r="I42" s="10">
        <f>IFERROR(Table1[[#This Row],[Net Price]] - Table1[[#This Row],[Discount Price]] + Table1[[#This Row],[Total Tax]],"Error")</f>
        <v>0</v>
      </c>
      <c r="J42" s="13">
        <f>IFERROR(Table1[[#This Row],[Qty]] * Table1[[#This Row],[UnitPrice]],"Value/sign issue!")</f>
        <v>960</v>
      </c>
      <c r="K42" s="13">
        <f>IFERROR(Table1[[#This Row],[Net Price]]-L42,"Error!")</f>
        <v>960</v>
      </c>
      <c r="L42" s="6">
        <v>0</v>
      </c>
      <c r="M42" s="13">
        <f>IFERROR(Table1[[#This Row],[Net Price]]*Table1[[#This Row],[DiscountPct]],"Error!")</f>
        <v>0</v>
      </c>
      <c r="N42" s="6">
        <v>5</v>
      </c>
      <c r="O42" s="6" t="s">
        <v>72</v>
      </c>
      <c r="P42" s="6" t="s">
        <v>73</v>
      </c>
      <c r="Q42" s="6" t="s">
        <v>74</v>
      </c>
      <c r="R42" s="6" t="s">
        <v>75</v>
      </c>
      <c r="S42" s="7" t="s">
        <v>246</v>
      </c>
    </row>
    <row r="43" spans="1:19" x14ac:dyDescent="0.25">
      <c r="A43" s="11" t="s">
        <v>177</v>
      </c>
      <c r="B43" s="12" t="s">
        <v>236</v>
      </c>
      <c r="C43" s="6" t="s">
        <v>78</v>
      </c>
      <c r="D43" s="6" t="s">
        <v>69</v>
      </c>
      <c r="E43" s="6" t="s">
        <v>178</v>
      </c>
      <c r="F43" s="6" t="s">
        <v>164</v>
      </c>
      <c r="G43" s="6">
        <v>5</v>
      </c>
      <c r="H43" s="21">
        <v>120</v>
      </c>
      <c r="I43" s="10" t="str">
        <f>IFERROR(Table1[[#This Row],[Net Price]] - Table1[[#This Row],[Discount Price]] + Table1[[#This Row],[Total Tax]],"Error")</f>
        <v>Error</v>
      </c>
      <c r="J43" s="13">
        <f>IFERROR(Table1[[#This Row],[Qty]] * Table1[[#This Row],[UnitPrice]],"Value/sign issue!")</f>
        <v>600</v>
      </c>
      <c r="K43" s="13" t="str">
        <f>IFERROR(Table1[[#This Row],[Net Price]]-L43,"Error!")</f>
        <v>Error!</v>
      </c>
      <c r="L43" s="6" t="s">
        <v>246</v>
      </c>
      <c r="M43" s="13" t="str">
        <f>IFERROR(Table1[[#This Row],[Net Price]]*Table1[[#This Row],[DiscountPct]],"Error!")</f>
        <v>Error!</v>
      </c>
      <c r="N43" s="6">
        <v>5</v>
      </c>
      <c r="O43" s="6" t="s">
        <v>72</v>
      </c>
      <c r="P43" s="6" t="s">
        <v>85</v>
      </c>
      <c r="Q43" s="6" t="s">
        <v>86</v>
      </c>
      <c r="R43" s="6" t="s">
        <v>87</v>
      </c>
      <c r="S43" s="7" t="s">
        <v>246</v>
      </c>
    </row>
    <row r="44" spans="1:19" x14ac:dyDescent="0.25">
      <c r="A44" s="11" t="s">
        <v>179</v>
      </c>
      <c r="B44" s="12" t="s">
        <v>237</v>
      </c>
      <c r="C44" s="6" t="s">
        <v>82</v>
      </c>
      <c r="D44" s="6" t="s">
        <v>83</v>
      </c>
      <c r="E44" s="6" t="s">
        <v>180</v>
      </c>
      <c r="F44" s="6" t="s">
        <v>164</v>
      </c>
      <c r="G44" s="6">
        <v>7</v>
      </c>
      <c r="H44" s="21">
        <v>120</v>
      </c>
      <c r="I44" s="10">
        <f>IFERROR(Table1[[#This Row],[Net Price]] - Table1[[#This Row],[Discount Price]] + Table1[[#This Row],[Total Tax]],"Error")</f>
        <v>0</v>
      </c>
      <c r="J44" s="13">
        <f>IFERROR(Table1[[#This Row],[Qty]] * Table1[[#This Row],[UnitPrice]],"Value/sign issue!")</f>
        <v>840</v>
      </c>
      <c r="K44" s="13">
        <f>IFERROR(Table1[[#This Row],[Net Price]]-L44,"Error!")</f>
        <v>840</v>
      </c>
      <c r="L44" s="6">
        <v>0</v>
      </c>
      <c r="M44" s="13">
        <f>IFERROR(Table1[[#This Row],[Net Price]]*Table1[[#This Row],[DiscountPct]],"Error!")</f>
        <v>0</v>
      </c>
      <c r="N44" s="6">
        <v>5</v>
      </c>
      <c r="O44" s="6" t="s">
        <v>72</v>
      </c>
      <c r="P44" s="6" t="s">
        <v>73</v>
      </c>
      <c r="Q44" s="6" t="s">
        <v>74</v>
      </c>
      <c r="R44" s="6" t="s">
        <v>75</v>
      </c>
      <c r="S44" s="7" t="s">
        <v>246</v>
      </c>
    </row>
    <row r="45" spans="1:19" x14ac:dyDescent="0.25">
      <c r="A45" s="11" t="s">
        <v>181</v>
      </c>
      <c r="B45" s="12" t="s">
        <v>238</v>
      </c>
      <c r="C45" s="6" t="s">
        <v>89</v>
      </c>
      <c r="D45" s="6" t="s">
        <v>69</v>
      </c>
      <c r="E45" s="6" t="s">
        <v>182</v>
      </c>
      <c r="F45" s="6" t="s">
        <v>164</v>
      </c>
      <c r="G45" s="6">
        <v>20</v>
      </c>
      <c r="H45" s="21">
        <v>120</v>
      </c>
      <c r="I45" s="10">
        <f>IFERROR(Table1[[#This Row],[Net Price]] - Table1[[#This Row],[Discount Price]] + Table1[[#This Row],[Total Tax]],"Error")</f>
        <v>0</v>
      </c>
      <c r="J45" s="13">
        <f>IFERROR(Table1[[#This Row],[Qty]] * Table1[[#This Row],[UnitPrice]],"Value/sign issue!")</f>
        <v>2400</v>
      </c>
      <c r="K45" s="13">
        <f>IFERROR(Table1[[#This Row],[Net Price]]-L45,"Error!")</f>
        <v>2400</v>
      </c>
      <c r="L45" s="6">
        <v>0</v>
      </c>
      <c r="M45" s="13">
        <f>IFERROR(Table1[[#This Row],[Net Price]]*Table1[[#This Row],[DiscountPct]],"Error!")</f>
        <v>0</v>
      </c>
      <c r="N45" s="6">
        <v>5</v>
      </c>
      <c r="O45" s="6" t="s">
        <v>72</v>
      </c>
      <c r="P45" s="6" t="s">
        <v>73</v>
      </c>
      <c r="Q45" s="6" t="s">
        <v>74</v>
      </c>
      <c r="R45" s="6" t="s">
        <v>75</v>
      </c>
      <c r="S45" s="7" t="s">
        <v>246</v>
      </c>
    </row>
    <row r="46" spans="1:19" x14ac:dyDescent="0.25">
      <c r="A46" s="11" t="s">
        <v>183</v>
      </c>
      <c r="B46" s="12" t="s">
        <v>239</v>
      </c>
      <c r="C46" s="6" t="s">
        <v>68</v>
      </c>
      <c r="D46" s="6" t="s">
        <v>69</v>
      </c>
      <c r="E46" s="6" t="s">
        <v>184</v>
      </c>
      <c r="F46" s="6" t="s">
        <v>164</v>
      </c>
      <c r="G46" s="6">
        <v>9</v>
      </c>
      <c r="H46" s="21">
        <v>120</v>
      </c>
      <c r="I46" s="10">
        <f>IFERROR(Table1[[#This Row],[Net Price]] - Table1[[#This Row],[Discount Price]] + Table1[[#This Row],[Total Tax]],"Error")</f>
        <v>0</v>
      </c>
      <c r="J46" s="13">
        <f>IFERROR(Table1[[#This Row],[Qty]] * Table1[[#This Row],[UnitPrice]],"Value/sign issue!")</f>
        <v>1080</v>
      </c>
      <c r="K46" s="13">
        <f>IFERROR(Table1[[#This Row],[Net Price]]-L46,"Error!")</f>
        <v>1080</v>
      </c>
      <c r="L46" s="6">
        <v>0</v>
      </c>
      <c r="M46" s="13">
        <f>IFERROR(Table1[[#This Row],[Net Price]]*Table1[[#This Row],[DiscountPct]],"Error!")</f>
        <v>0</v>
      </c>
      <c r="N46" s="6">
        <v>5</v>
      </c>
      <c r="O46" s="6" t="s">
        <v>72</v>
      </c>
      <c r="P46" s="6" t="s">
        <v>73</v>
      </c>
      <c r="Q46" s="6" t="s">
        <v>86</v>
      </c>
      <c r="R46" s="6" t="s">
        <v>87</v>
      </c>
      <c r="S46" s="7" t="s">
        <v>246</v>
      </c>
    </row>
    <row r="47" spans="1:19" x14ac:dyDescent="0.25">
      <c r="A47" s="11" t="s">
        <v>185</v>
      </c>
      <c r="B47" s="12" t="s">
        <v>240</v>
      </c>
      <c r="C47" s="6" t="s">
        <v>95</v>
      </c>
      <c r="D47" s="6" t="s">
        <v>69</v>
      </c>
      <c r="E47" s="6" t="s">
        <v>186</v>
      </c>
      <c r="F47" s="6" t="s">
        <v>164</v>
      </c>
      <c r="G47" s="6">
        <v>11</v>
      </c>
      <c r="H47" s="21">
        <v>120</v>
      </c>
      <c r="I47" s="10">
        <f>IFERROR(Table1[[#This Row],[Net Price]] - Table1[[#This Row],[Discount Price]] + Table1[[#This Row],[Total Tax]],"Error")</f>
        <v>6605</v>
      </c>
      <c r="J47" s="13">
        <f>IFERROR(Table1[[#This Row],[Qty]] * Table1[[#This Row],[UnitPrice]],"Value/sign issue!")</f>
        <v>1320</v>
      </c>
      <c r="K47" s="13">
        <f>IFERROR(Table1[[#This Row],[Net Price]]-L47,"Error!")</f>
        <v>1315</v>
      </c>
      <c r="L47" s="6">
        <v>5</v>
      </c>
      <c r="M47" s="13">
        <f>IFERROR(Table1[[#This Row],[Net Price]]*Table1[[#This Row],[DiscountPct]],"Error!")</f>
        <v>6600</v>
      </c>
      <c r="N47" s="6">
        <v>5</v>
      </c>
      <c r="O47" s="6" t="s">
        <v>72</v>
      </c>
      <c r="P47" s="6" t="s">
        <v>73</v>
      </c>
      <c r="Q47" s="6" t="s">
        <v>74</v>
      </c>
      <c r="R47" s="6" t="s">
        <v>75</v>
      </c>
      <c r="S47" s="7" t="s">
        <v>246</v>
      </c>
    </row>
    <row r="48" spans="1:19" x14ac:dyDescent="0.25">
      <c r="A48" s="11" t="s">
        <v>187</v>
      </c>
      <c r="B48" s="12" t="s">
        <v>241</v>
      </c>
      <c r="C48" s="6" t="s">
        <v>78</v>
      </c>
      <c r="D48" s="6" t="s">
        <v>69</v>
      </c>
      <c r="E48" s="6" t="s">
        <v>188</v>
      </c>
      <c r="F48" s="6" t="s">
        <v>164</v>
      </c>
      <c r="G48" s="6">
        <v>6</v>
      </c>
      <c r="H48" s="21">
        <v>120</v>
      </c>
      <c r="I48" s="10" t="str">
        <f>IFERROR(Table1[[#This Row],[Net Price]] - Table1[[#This Row],[Discount Price]] + Table1[[#This Row],[Total Tax]],"Error")</f>
        <v>Error</v>
      </c>
      <c r="J48" s="13">
        <f>IFERROR(Table1[[#This Row],[Qty]] * Table1[[#This Row],[UnitPrice]],"Value/sign issue!")</f>
        <v>720</v>
      </c>
      <c r="K48" s="13" t="str">
        <f>IFERROR(Table1[[#This Row],[Net Price]]-L48,"Error!")</f>
        <v>Error!</v>
      </c>
      <c r="L48" s="6" t="s">
        <v>246</v>
      </c>
      <c r="M48" s="13" t="str">
        <f>IFERROR(Table1[[#This Row],[Net Price]]*Table1[[#This Row],[DiscountPct]],"Error!")</f>
        <v>Error!</v>
      </c>
      <c r="N48" s="6">
        <v>5</v>
      </c>
      <c r="O48" s="6" t="s">
        <v>72</v>
      </c>
      <c r="P48" s="6" t="s">
        <v>85</v>
      </c>
      <c r="Q48" s="6" t="s">
        <v>86</v>
      </c>
      <c r="R48" s="6" t="s">
        <v>87</v>
      </c>
      <c r="S48" s="7" t="s">
        <v>246</v>
      </c>
    </row>
    <row r="49" spans="1:19" x14ac:dyDescent="0.25">
      <c r="A49" s="11" t="s">
        <v>189</v>
      </c>
      <c r="B49" s="12" t="s">
        <v>242</v>
      </c>
      <c r="C49" s="6" t="s">
        <v>82</v>
      </c>
      <c r="D49" s="6" t="s">
        <v>83</v>
      </c>
      <c r="E49" s="6" t="s">
        <v>190</v>
      </c>
      <c r="F49" s="6" t="s">
        <v>164</v>
      </c>
      <c r="G49" s="6">
        <v>4</v>
      </c>
      <c r="H49" s="21">
        <v>120</v>
      </c>
      <c r="I49" s="10">
        <f>IFERROR(Table1[[#This Row],[Net Price]] - Table1[[#This Row],[Discount Price]] + Table1[[#This Row],[Total Tax]],"Error")</f>
        <v>0</v>
      </c>
      <c r="J49" s="13">
        <f>IFERROR(Table1[[#This Row],[Qty]] * Table1[[#This Row],[UnitPrice]],"Value/sign issue!")</f>
        <v>480</v>
      </c>
      <c r="K49" s="13">
        <f>IFERROR(Table1[[#This Row],[Net Price]]-L49,"Error!")</f>
        <v>480</v>
      </c>
      <c r="L49" s="6">
        <v>0</v>
      </c>
      <c r="M49" s="13">
        <f>IFERROR(Table1[[#This Row],[Net Price]]*Table1[[#This Row],[DiscountPct]],"Error!")</f>
        <v>0</v>
      </c>
      <c r="N49" s="6">
        <v>5</v>
      </c>
      <c r="O49" s="6" t="s">
        <v>72</v>
      </c>
      <c r="P49" s="6" t="s">
        <v>73</v>
      </c>
      <c r="Q49" s="6" t="s">
        <v>74</v>
      </c>
      <c r="R49" s="6" t="s">
        <v>75</v>
      </c>
      <c r="S49" s="7" t="s">
        <v>246</v>
      </c>
    </row>
    <row r="50" spans="1:19" x14ac:dyDescent="0.25">
      <c r="A50" s="11" t="s">
        <v>191</v>
      </c>
      <c r="B50" s="12" t="s">
        <v>243</v>
      </c>
      <c r="C50" s="6" t="s">
        <v>89</v>
      </c>
      <c r="D50" s="6" t="s">
        <v>69</v>
      </c>
      <c r="E50" s="6" t="s">
        <v>192</v>
      </c>
      <c r="F50" s="6" t="s">
        <v>164</v>
      </c>
      <c r="G50" s="6">
        <v>3</v>
      </c>
      <c r="H50" s="21">
        <v>120</v>
      </c>
      <c r="I50" s="10">
        <f>IFERROR(Table1[[#This Row],[Net Price]] - Table1[[#This Row],[Discount Price]] + Table1[[#This Row],[Total Tax]],"Error")</f>
        <v>0</v>
      </c>
      <c r="J50" s="13">
        <f>IFERROR(Table1[[#This Row],[Qty]] * Table1[[#This Row],[UnitPrice]],"Value/sign issue!")</f>
        <v>360</v>
      </c>
      <c r="K50" s="13">
        <f>IFERROR(Table1[[#This Row],[Net Price]]-L50,"Error!")</f>
        <v>360</v>
      </c>
      <c r="L50" s="6">
        <v>0</v>
      </c>
      <c r="M50" s="13">
        <f>IFERROR(Table1[[#This Row],[Net Price]]*Table1[[#This Row],[DiscountPct]],"Error!")</f>
        <v>0</v>
      </c>
      <c r="N50" s="6">
        <v>5</v>
      </c>
      <c r="O50" s="6" t="s">
        <v>72</v>
      </c>
      <c r="P50" s="6" t="s">
        <v>73</v>
      </c>
      <c r="Q50" s="6" t="s">
        <v>74</v>
      </c>
      <c r="R50" s="6" t="s">
        <v>75</v>
      </c>
      <c r="S50" s="7" t="s">
        <v>246</v>
      </c>
    </row>
    <row r="51" spans="1:19" x14ac:dyDescent="0.25">
      <c r="A51" s="11" t="s">
        <v>193</v>
      </c>
      <c r="B51" s="12" t="s">
        <v>244</v>
      </c>
      <c r="C51" s="6" t="s">
        <v>68</v>
      </c>
      <c r="D51" s="6" t="s">
        <v>69</v>
      </c>
      <c r="E51" s="6" t="s">
        <v>194</v>
      </c>
      <c r="F51" s="6" t="s">
        <v>164</v>
      </c>
      <c r="G51" s="6">
        <v>10</v>
      </c>
      <c r="H51" s="21">
        <v>120</v>
      </c>
      <c r="I51" s="10">
        <f>IFERROR(Table1[[#This Row],[Net Price]] - Table1[[#This Row],[Discount Price]] + Table1[[#This Row],[Total Tax]],"Error")</f>
        <v>0</v>
      </c>
      <c r="J51" s="13">
        <f>IFERROR(Table1[[#This Row],[Qty]] * Table1[[#This Row],[UnitPrice]],"Value/sign issue!")</f>
        <v>1200</v>
      </c>
      <c r="K51" s="13">
        <f>IFERROR(Table1[[#This Row],[Net Price]]-L51,"Error!")</f>
        <v>1200</v>
      </c>
      <c r="L51" s="6">
        <v>0</v>
      </c>
      <c r="M51" s="13">
        <f>IFERROR(Table1[[#This Row],[Net Price]]*Table1[[#This Row],[DiscountPct]],"Error!")</f>
        <v>0</v>
      </c>
      <c r="N51" s="6">
        <v>5</v>
      </c>
      <c r="O51" s="6" t="s">
        <v>72</v>
      </c>
      <c r="P51" s="6" t="s">
        <v>73</v>
      </c>
      <c r="Q51" s="6" t="s">
        <v>86</v>
      </c>
      <c r="R51" s="6" t="s">
        <v>87</v>
      </c>
      <c r="S51" s="7" t="s">
        <v>246</v>
      </c>
    </row>
    <row r="52" spans="1:19" x14ac:dyDescent="0.25">
      <c r="A52" s="14" t="s">
        <v>196</v>
      </c>
      <c r="B52" s="15" t="s">
        <v>200</v>
      </c>
      <c r="C52" s="16" t="s">
        <v>68</v>
      </c>
      <c r="D52" s="16" t="s">
        <v>69</v>
      </c>
      <c r="E52" s="16" t="s">
        <v>92</v>
      </c>
      <c r="F52" s="16" t="s">
        <v>71</v>
      </c>
      <c r="G52" s="16">
        <v>15</v>
      </c>
      <c r="H52" s="21">
        <v>120</v>
      </c>
      <c r="I52" s="10">
        <f>IFERROR(Table1[[#This Row],[Net Price]] - Table1[[#This Row],[Discount Price]] + Table1[[#This Row],[Total Tax]],"Error")</f>
        <v>3602</v>
      </c>
      <c r="J52" s="13">
        <f>IFERROR(Table1[[#This Row],[Qty]] * Table1[[#This Row],[UnitPrice]],"Value/sign issue!")</f>
        <v>1800</v>
      </c>
      <c r="K52" s="13">
        <f>IFERROR(Table1[[#This Row],[Net Price]]-L52,"Error!")</f>
        <v>1798</v>
      </c>
      <c r="L52" s="16">
        <v>2</v>
      </c>
      <c r="M52" s="13">
        <f>IFERROR(Table1[[#This Row],[Net Price]]*Table1[[#This Row],[DiscountPct]],"Error!")</f>
        <v>3600</v>
      </c>
      <c r="N52" s="16">
        <v>5</v>
      </c>
      <c r="O52" s="16" t="s">
        <v>72</v>
      </c>
      <c r="P52" s="6" t="s">
        <v>73</v>
      </c>
      <c r="Q52" s="16" t="s">
        <v>74</v>
      </c>
      <c r="R52" s="16" t="s">
        <v>75</v>
      </c>
      <c r="S52" s="17" t="s">
        <v>195</v>
      </c>
    </row>
  </sheetData>
  <phoneticPr fontId="3" type="noConversion"/>
  <pageMargins left="0.7" right="0.7" top="0.75" bottom="0.75" header="0.3" footer="0.3"/>
  <ignoredErrors>
    <ignoredError sqref="J2 J34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0783CA-3C32-427C-9198-F68765BFF03D}">
  <dimension ref="A1:A52"/>
  <sheetViews>
    <sheetView tabSelected="1" workbookViewId="0">
      <selection activeCell="K6" sqref="K6"/>
    </sheetView>
  </sheetViews>
  <sheetFormatPr defaultRowHeight="15" x14ac:dyDescent="0.25"/>
  <sheetData>
    <row r="1" spans="1:1" x14ac:dyDescent="0.25">
      <c r="A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  <row r="7" spans="1:1" x14ac:dyDescent="0.25">
      <c r="A7" t="s">
        <v>6</v>
      </c>
    </row>
    <row r="8" spans="1:1" x14ac:dyDescent="0.25">
      <c r="A8" t="s">
        <v>7</v>
      </c>
    </row>
    <row r="9" spans="1:1" x14ac:dyDescent="0.25">
      <c r="A9" t="s">
        <v>8</v>
      </c>
    </row>
    <row r="10" spans="1:1" x14ac:dyDescent="0.25">
      <c r="A10" t="s">
        <v>9</v>
      </c>
    </row>
    <row r="11" spans="1:1" x14ac:dyDescent="0.25">
      <c r="A11" t="s">
        <v>10</v>
      </c>
    </row>
    <row r="12" spans="1:1" x14ac:dyDescent="0.25">
      <c r="A12" t="s">
        <v>11</v>
      </c>
    </row>
    <row r="13" spans="1:1" x14ac:dyDescent="0.25">
      <c r="A13" t="s">
        <v>12</v>
      </c>
    </row>
    <row r="14" spans="1:1" x14ac:dyDescent="0.25">
      <c r="A14" t="s">
        <v>13</v>
      </c>
    </row>
    <row r="15" spans="1:1" x14ac:dyDescent="0.25">
      <c r="A15" t="s">
        <v>14</v>
      </c>
    </row>
    <row r="16" spans="1:1" x14ac:dyDescent="0.25">
      <c r="A16" t="s">
        <v>15</v>
      </c>
    </row>
    <row r="17" spans="1:1" x14ac:dyDescent="0.25">
      <c r="A17" t="s">
        <v>16</v>
      </c>
    </row>
    <row r="18" spans="1:1" x14ac:dyDescent="0.25">
      <c r="A18" t="s">
        <v>17</v>
      </c>
    </row>
    <row r="19" spans="1:1" x14ac:dyDescent="0.25">
      <c r="A19" t="s">
        <v>18</v>
      </c>
    </row>
    <row r="20" spans="1:1" x14ac:dyDescent="0.25">
      <c r="A20" t="s">
        <v>19</v>
      </c>
    </row>
    <row r="21" spans="1:1" x14ac:dyDescent="0.25">
      <c r="A21" t="s">
        <v>20</v>
      </c>
    </row>
    <row r="22" spans="1:1" x14ac:dyDescent="0.25">
      <c r="A22" t="s">
        <v>21</v>
      </c>
    </row>
    <row r="23" spans="1:1" x14ac:dyDescent="0.25">
      <c r="A23" t="s">
        <v>22</v>
      </c>
    </row>
    <row r="24" spans="1:1" x14ac:dyDescent="0.25">
      <c r="A24" t="s">
        <v>23</v>
      </c>
    </row>
    <row r="25" spans="1:1" x14ac:dyDescent="0.25">
      <c r="A25" t="s">
        <v>24</v>
      </c>
    </row>
    <row r="26" spans="1:1" x14ac:dyDescent="0.25">
      <c r="A26" t="s">
        <v>25</v>
      </c>
    </row>
    <row r="27" spans="1:1" x14ac:dyDescent="0.25">
      <c r="A27" t="s">
        <v>26</v>
      </c>
    </row>
    <row r="28" spans="1:1" x14ac:dyDescent="0.25">
      <c r="A28" t="s">
        <v>27</v>
      </c>
    </row>
    <row r="29" spans="1:1" x14ac:dyDescent="0.25">
      <c r="A29" t="s">
        <v>28</v>
      </c>
    </row>
    <row r="30" spans="1:1" x14ac:dyDescent="0.25">
      <c r="A30" t="s">
        <v>29</v>
      </c>
    </row>
    <row r="31" spans="1:1" x14ac:dyDescent="0.25">
      <c r="A31" t="s">
        <v>30</v>
      </c>
    </row>
    <row r="32" spans="1:1" x14ac:dyDescent="0.25">
      <c r="A32" t="s">
        <v>31</v>
      </c>
    </row>
    <row r="33" spans="1:1" x14ac:dyDescent="0.25">
      <c r="A33" t="s">
        <v>32</v>
      </c>
    </row>
    <row r="34" spans="1:1" x14ac:dyDescent="0.25">
      <c r="A34" t="s">
        <v>33</v>
      </c>
    </row>
    <row r="35" spans="1:1" x14ac:dyDescent="0.25">
      <c r="A35" t="s">
        <v>34</v>
      </c>
    </row>
    <row r="36" spans="1:1" x14ac:dyDescent="0.25">
      <c r="A36" t="s">
        <v>35</v>
      </c>
    </row>
    <row r="37" spans="1:1" x14ac:dyDescent="0.25">
      <c r="A37" t="s">
        <v>36</v>
      </c>
    </row>
    <row r="38" spans="1:1" x14ac:dyDescent="0.25">
      <c r="A38" t="s">
        <v>37</v>
      </c>
    </row>
    <row r="39" spans="1:1" x14ac:dyDescent="0.25">
      <c r="A39" t="s">
        <v>38</v>
      </c>
    </row>
    <row r="40" spans="1:1" x14ac:dyDescent="0.25">
      <c r="A40" t="s">
        <v>39</v>
      </c>
    </row>
    <row r="41" spans="1:1" x14ac:dyDescent="0.25">
      <c r="A41" t="s">
        <v>40</v>
      </c>
    </row>
    <row r="42" spans="1:1" x14ac:dyDescent="0.25">
      <c r="A42" t="s">
        <v>41</v>
      </c>
    </row>
    <row r="43" spans="1:1" x14ac:dyDescent="0.25">
      <c r="A43" t="s">
        <v>42</v>
      </c>
    </row>
    <row r="44" spans="1:1" x14ac:dyDescent="0.25">
      <c r="A44" t="s">
        <v>43</v>
      </c>
    </row>
    <row r="45" spans="1:1" x14ac:dyDescent="0.25">
      <c r="A45" t="s">
        <v>44</v>
      </c>
    </row>
    <row r="46" spans="1:1" x14ac:dyDescent="0.25">
      <c r="A46" t="s">
        <v>45</v>
      </c>
    </row>
    <row r="47" spans="1:1" x14ac:dyDescent="0.25">
      <c r="A47" t="s">
        <v>46</v>
      </c>
    </row>
    <row r="48" spans="1:1" x14ac:dyDescent="0.25">
      <c r="A48" t="s">
        <v>47</v>
      </c>
    </row>
    <row r="49" spans="1:1" x14ac:dyDescent="0.25">
      <c r="A49" t="s">
        <v>48</v>
      </c>
    </row>
    <row r="50" spans="1:1" x14ac:dyDescent="0.25">
      <c r="A50" t="s">
        <v>49</v>
      </c>
    </row>
    <row r="51" spans="1:1" x14ac:dyDescent="0.25">
      <c r="A51" t="s">
        <v>50</v>
      </c>
    </row>
    <row r="52" spans="1:1" x14ac:dyDescent="0.25">
      <c r="A52" t="s">
        <v>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 Boy</dc:creator>
  <cp:lastModifiedBy>Digital Boy</cp:lastModifiedBy>
  <dcterms:created xsi:type="dcterms:W3CDTF">2026-01-28T14:13:13Z</dcterms:created>
  <dcterms:modified xsi:type="dcterms:W3CDTF">2026-01-28T17:21:10Z</dcterms:modified>
</cp:coreProperties>
</file>