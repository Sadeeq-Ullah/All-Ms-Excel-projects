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STAR COMPUTER\Downloads\Documents\Excel space\Projects\UrbanCart-Sales &amp; Inventory Dashboard\"/>
    </mc:Choice>
  </mc:AlternateContent>
  <xr:revisionPtr revIDLastSave="0" documentId="13_ncr:1_{3E40F417-2F84-4B27-80AE-E6514530E326}" xr6:coauthVersionLast="47" xr6:coauthVersionMax="47" xr10:uidLastSave="{00000000-0000-0000-0000-000000000000}"/>
  <bookViews>
    <workbookView xWindow="-120" yWindow="-120" windowWidth="20730" windowHeight="11760" tabRatio="701" activeTab="5" xr2:uid="{00000000-000D-0000-FFFF-FFFF00000000}"/>
  </bookViews>
  <sheets>
    <sheet name="Raw-data" sheetId="1" r:id="rId1"/>
    <sheet name="Staging" sheetId="2" r:id="rId2"/>
    <sheet name="Cleaned_data" sheetId="7" r:id="rId3"/>
    <sheet name="Filter_Master" sheetId="3" r:id="rId4"/>
    <sheet name="Pivot_Layer" sheetId="5" r:id="rId5"/>
    <sheet name="Command_Center" sheetId="6" r:id="rId6"/>
  </sheets>
  <definedNames>
    <definedName name="Slicer_Category">#N/A</definedName>
    <definedName name="Slicer_Region">#N/A</definedName>
    <definedName name="Slicer_StoreType">#N/A</definedName>
  </definedNames>
  <calcPr calcId="181029"/>
  <pivotCaches>
    <pivotCache cacheId="5"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1" i="3" l="1"/>
  <c r="F33" i="3"/>
  <c r="F32" i="3"/>
  <c r="F34" i="3"/>
  <c r="J26" i="3"/>
  <c r="I26" i="3"/>
  <c r="H26" i="3"/>
  <c r="F26" i="3"/>
  <c r="E26" i="3"/>
  <c r="G26" i="3" s="1"/>
  <c r="F22" i="3"/>
  <c r="H15" i="3"/>
  <c r="G15" i="3"/>
  <c r="F15" i="3"/>
  <c r="H8" i="3"/>
  <c r="G8" i="3"/>
  <c r="F8" i="3"/>
  <c r="BM2" i="2"/>
  <c r="BM3" i="2"/>
  <c r="BM4" i="2"/>
  <c r="BM5" i="2"/>
  <c r="BM6" i="2"/>
  <c r="BM7" i="2"/>
  <c r="BM8" i="2"/>
  <c r="BM9" i="2"/>
  <c r="BM10" i="2"/>
  <c r="BM11" i="2"/>
  <c r="BM12" i="2"/>
  <c r="BM13" i="2"/>
  <c r="BM14" i="2"/>
  <c r="BM15" i="2"/>
  <c r="BM16" i="2"/>
  <c r="BM17" i="2"/>
  <c r="BM18" i="2"/>
  <c r="BM19" i="2"/>
  <c r="BM20" i="2"/>
  <c r="BM21" i="2"/>
  <c r="BM22" i="2"/>
  <c r="BM23" i="2"/>
  <c r="BM24" i="2"/>
  <c r="BM25" i="2"/>
  <c r="BM26" i="2"/>
  <c r="BM27" i="2"/>
  <c r="BM28" i="2"/>
  <c r="BM29" i="2"/>
  <c r="BM30" i="2"/>
  <c r="BM31" i="2"/>
  <c r="BM32" i="2"/>
  <c r="BM33" i="2"/>
  <c r="BM34" i="2"/>
  <c r="BM35" i="2"/>
  <c r="BM36" i="2"/>
  <c r="BM37" i="2"/>
  <c r="BM38" i="2"/>
  <c r="BM39" i="2"/>
  <c r="BM40" i="2"/>
  <c r="BM41" i="2"/>
  <c r="BM42" i="2"/>
  <c r="BM43" i="2"/>
  <c r="BM44" i="2"/>
  <c r="BM45" i="2"/>
  <c r="BM46" i="2"/>
  <c r="BM47" i="2"/>
  <c r="BM48" i="2"/>
  <c r="BM49" i="2"/>
  <c r="BM50" i="2"/>
  <c r="BM51" i="2"/>
  <c r="BM52" i="2"/>
  <c r="BM53" i="2"/>
  <c r="BM54" i="2"/>
  <c r="BM55" i="2"/>
  <c r="BM56" i="2"/>
  <c r="BM57" i="2"/>
  <c r="BM58" i="2"/>
  <c r="BM59" i="2"/>
  <c r="BM60" i="2"/>
  <c r="BM61" i="2"/>
  <c r="BM62" i="2"/>
  <c r="BM63" i="2"/>
  <c r="BM64" i="2"/>
  <c r="BM65" i="2"/>
  <c r="BM66" i="2"/>
  <c r="BM67" i="2"/>
  <c r="BM68" i="2"/>
  <c r="BM69" i="2"/>
  <c r="BM70" i="2"/>
  <c r="BM71" i="2"/>
  <c r="BM72" i="2"/>
  <c r="BM73" i="2"/>
  <c r="BM74" i="2"/>
  <c r="BM75" i="2"/>
  <c r="BM76" i="2"/>
  <c r="BM77" i="2"/>
  <c r="BM78" i="2"/>
  <c r="BM79" i="2"/>
  <c r="BM80" i="2"/>
  <c r="BM81" i="2"/>
  <c r="BM82" i="2"/>
  <c r="BM83" i="2"/>
  <c r="BM84" i="2"/>
  <c r="BM85" i="2"/>
  <c r="BM86" i="2"/>
  <c r="BM87" i="2"/>
  <c r="BM88" i="2"/>
  <c r="BM89" i="2"/>
  <c r="BM90" i="2"/>
  <c r="BM91" i="2"/>
  <c r="BM92" i="2"/>
  <c r="BM93" i="2"/>
  <c r="BM94" i="2"/>
  <c r="BM95" i="2"/>
  <c r="BM96" i="2"/>
  <c r="BM97" i="2"/>
  <c r="BM98" i="2"/>
  <c r="BM99" i="2"/>
  <c r="BM100" i="2"/>
  <c r="BM101" i="2"/>
  <c r="BM102" i="2"/>
  <c r="BM103" i="2"/>
  <c r="BM104" i="2"/>
  <c r="BM105" i="2"/>
  <c r="BM106" i="2"/>
  <c r="BM107" i="2"/>
  <c r="BM108" i="2"/>
  <c r="BM109" i="2"/>
  <c r="BM110" i="2"/>
  <c r="BM111" i="2"/>
  <c r="BM112" i="2"/>
  <c r="BM113" i="2"/>
  <c r="BM114" i="2"/>
  <c r="BM115" i="2"/>
  <c r="BM116" i="2"/>
  <c r="BM117" i="2"/>
  <c r="BM118" i="2"/>
  <c r="BM119" i="2"/>
  <c r="BM120" i="2"/>
  <c r="BM121" i="2"/>
  <c r="BK2" i="2"/>
  <c r="BK3" i="2"/>
  <c r="BK4" i="2"/>
  <c r="BK5" i="2"/>
  <c r="BK6" i="2"/>
  <c r="BK7" i="2"/>
  <c r="BK8" i="2"/>
  <c r="BK9" i="2"/>
  <c r="BK10" i="2"/>
  <c r="BK11" i="2"/>
  <c r="BK12" i="2"/>
  <c r="BK13" i="2"/>
  <c r="BK14" i="2"/>
  <c r="BK15" i="2"/>
  <c r="BK16" i="2"/>
  <c r="BK17" i="2"/>
  <c r="BK18" i="2"/>
  <c r="BK19" i="2"/>
  <c r="BK20" i="2"/>
  <c r="BK21" i="2"/>
  <c r="BK22" i="2"/>
  <c r="BK23" i="2"/>
  <c r="BK24" i="2"/>
  <c r="BK25" i="2"/>
  <c r="BK26" i="2"/>
  <c r="BK27" i="2"/>
  <c r="BK28" i="2"/>
  <c r="BK29" i="2"/>
  <c r="BK30" i="2"/>
  <c r="BK31" i="2"/>
  <c r="BK32" i="2"/>
  <c r="BK33" i="2"/>
  <c r="BK34" i="2"/>
  <c r="BK35" i="2"/>
  <c r="BK36" i="2"/>
  <c r="BK37" i="2"/>
  <c r="BK38" i="2"/>
  <c r="BK39" i="2"/>
  <c r="BK40" i="2"/>
  <c r="BK41" i="2"/>
  <c r="BK42" i="2"/>
  <c r="BK43" i="2"/>
  <c r="BK44" i="2"/>
  <c r="BK45" i="2"/>
  <c r="BK46" i="2"/>
  <c r="BK47" i="2"/>
  <c r="BK48" i="2"/>
  <c r="BK49" i="2"/>
  <c r="BK50" i="2"/>
  <c r="BK51" i="2"/>
  <c r="BK52" i="2"/>
  <c r="BK53" i="2"/>
  <c r="BK54" i="2"/>
  <c r="BK55" i="2"/>
  <c r="BK56" i="2"/>
  <c r="BK57" i="2"/>
  <c r="BK58" i="2"/>
  <c r="BK59" i="2"/>
  <c r="BK60" i="2"/>
  <c r="BK61" i="2"/>
  <c r="BK62" i="2"/>
  <c r="BK63" i="2"/>
  <c r="BK64" i="2"/>
  <c r="BK65" i="2"/>
  <c r="BK66" i="2"/>
  <c r="BK67" i="2"/>
  <c r="BK68" i="2"/>
  <c r="BK69" i="2"/>
  <c r="BK70" i="2"/>
  <c r="BK71" i="2"/>
  <c r="BK72" i="2"/>
  <c r="BK73" i="2"/>
  <c r="BK74" i="2"/>
  <c r="BK75" i="2"/>
  <c r="BK76" i="2"/>
  <c r="BK77" i="2"/>
  <c r="BK78" i="2"/>
  <c r="BK79" i="2"/>
  <c r="BK80" i="2"/>
  <c r="BK81" i="2"/>
  <c r="BK82" i="2"/>
  <c r="BK83" i="2"/>
  <c r="BK84" i="2"/>
  <c r="BK85" i="2"/>
  <c r="BK86" i="2"/>
  <c r="BK87" i="2"/>
  <c r="BK88" i="2"/>
  <c r="BK89" i="2"/>
  <c r="BK90" i="2"/>
  <c r="BK91" i="2"/>
  <c r="BK92" i="2"/>
  <c r="BK93" i="2"/>
  <c r="BK94" i="2"/>
  <c r="BK95" i="2"/>
  <c r="BK96" i="2"/>
  <c r="BK97" i="2"/>
  <c r="BK98" i="2"/>
  <c r="BK99" i="2"/>
  <c r="BK100" i="2"/>
  <c r="BK101" i="2"/>
  <c r="BK102" i="2"/>
  <c r="BK103" i="2"/>
  <c r="BK104" i="2"/>
  <c r="BK105" i="2"/>
  <c r="BK106" i="2"/>
  <c r="BK107" i="2"/>
  <c r="BK108" i="2"/>
  <c r="BK109" i="2"/>
  <c r="BK110" i="2"/>
  <c r="BK111" i="2"/>
  <c r="BK112" i="2"/>
  <c r="BK113" i="2"/>
  <c r="BK114" i="2"/>
  <c r="BK115" i="2"/>
  <c r="BK116" i="2"/>
  <c r="BK117" i="2"/>
  <c r="BK118" i="2"/>
  <c r="BK119" i="2"/>
  <c r="BK120" i="2"/>
  <c r="BK121" i="2"/>
  <c r="BG2" i="2"/>
  <c r="BG3" i="2"/>
  <c r="BG4" i="2"/>
  <c r="BG5" i="2"/>
  <c r="BG6" i="2"/>
  <c r="BG7" i="2"/>
  <c r="BG8" i="2"/>
  <c r="BG9"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G83" i="2"/>
  <c r="BG84" i="2"/>
  <c r="BG85" i="2"/>
  <c r="BG86" i="2"/>
  <c r="BG87" i="2"/>
  <c r="BG88" i="2"/>
  <c r="BG89" i="2"/>
  <c r="BG90" i="2"/>
  <c r="BG91" i="2"/>
  <c r="BG92" i="2"/>
  <c r="BG93" i="2"/>
  <c r="BG94" i="2"/>
  <c r="BG95" i="2"/>
  <c r="BG96" i="2"/>
  <c r="BG97" i="2"/>
  <c r="BG98" i="2"/>
  <c r="BG99" i="2"/>
  <c r="BG100" i="2"/>
  <c r="BG101" i="2"/>
  <c r="BG102" i="2"/>
  <c r="BG103" i="2"/>
  <c r="BG104" i="2"/>
  <c r="BG105" i="2"/>
  <c r="BG106" i="2"/>
  <c r="BG107" i="2"/>
  <c r="BG108" i="2"/>
  <c r="BG109" i="2"/>
  <c r="BG110" i="2"/>
  <c r="BG111" i="2"/>
  <c r="BG112" i="2"/>
  <c r="BG113" i="2"/>
  <c r="BG114" i="2"/>
  <c r="BG115" i="2"/>
  <c r="BG116" i="2"/>
  <c r="BG117" i="2"/>
  <c r="BG118" i="2"/>
  <c r="BG119" i="2"/>
  <c r="BG120" i="2"/>
  <c r="BG121" i="2"/>
  <c r="AT2" i="2"/>
  <c r="AT3" i="2"/>
  <c r="AT4" i="2"/>
  <c r="AT5" i="2"/>
  <c r="AT6" i="2"/>
  <c r="AT7" i="2"/>
  <c r="AT8" i="2"/>
  <c r="AT9" i="2"/>
  <c r="AT10" i="2"/>
  <c r="AT11" i="2"/>
  <c r="AT12" i="2"/>
  <c r="AT13" i="2"/>
  <c r="AT14" i="2"/>
  <c r="AT15" i="2"/>
  <c r="AT16" i="2"/>
  <c r="AT17" i="2"/>
  <c r="AT18" i="2"/>
  <c r="AT19" i="2"/>
  <c r="AT20" i="2"/>
  <c r="AT21" i="2"/>
  <c r="AT22" i="2"/>
  <c r="AT23" i="2"/>
  <c r="AT24" i="2"/>
  <c r="AT25" i="2"/>
  <c r="AT26" i="2"/>
  <c r="AT27" i="2"/>
  <c r="AT28" i="2"/>
  <c r="AT29" i="2"/>
  <c r="AT30" i="2"/>
  <c r="AT31" i="2"/>
  <c r="AT32" i="2"/>
  <c r="AT33" i="2"/>
  <c r="AT34" i="2"/>
  <c r="AT35" i="2"/>
  <c r="AT36" i="2"/>
  <c r="AT37" i="2"/>
  <c r="AT38" i="2"/>
  <c r="AT39" i="2"/>
  <c r="AT40" i="2"/>
  <c r="AT41" i="2"/>
  <c r="AT42" i="2"/>
  <c r="AT43" i="2"/>
  <c r="AT44" i="2"/>
  <c r="AT45" i="2"/>
  <c r="AT46" i="2"/>
  <c r="AT47" i="2"/>
  <c r="AT48" i="2"/>
  <c r="AT49" i="2"/>
  <c r="AT50" i="2"/>
  <c r="AT51" i="2"/>
  <c r="AT52" i="2"/>
  <c r="AT53" i="2"/>
  <c r="AT54" i="2"/>
  <c r="AT55" i="2"/>
  <c r="AT56" i="2"/>
  <c r="AT57" i="2"/>
  <c r="AT58" i="2"/>
  <c r="AT59" i="2"/>
  <c r="AT60" i="2"/>
  <c r="AT61" i="2"/>
  <c r="AT62" i="2"/>
  <c r="AT63" i="2"/>
  <c r="AT64" i="2"/>
  <c r="AT65" i="2"/>
  <c r="AT66" i="2"/>
  <c r="AT67" i="2"/>
  <c r="AT68" i="2"/>
  <c r="AT69" i="2"/>
  <c r="AT70" i="2"/>
  <c r="AT71" i="2"/>
  <c r="AT72" i="2"/>
  <c r="AT73" i="2"/>
  <c r="AT74" i="2"/>
  <c r="AT75" i="2"/>
  <c r="AT76" i="2"/>
  <c r="AT77" i="2"/>
  <c r="AT78" i="2"/>
  <c r="AT79" i="2"/>
  <c r="AT80" i="2"/>
  <c r="AT81" i="2"/>
  <c r="AT82" i="2"/>
  <c r="AT83" i="2"/>
  <c r="AT84" i="2"/>
  <c r="AT85" i="2"/>
  <c r="AT86" i="2"/>
  <c r="AT87" i="2"/>
  <c r="AT88" i="2"/>
  <c r="AT89" i="2"/>
  <c r="AT90" i="2"/>
  <c r="AT91" i="2"/>
  <c r="AT92" i="2"/>
  <c r="AT93" i="2"/>
  <c r="AT94" i="2"/>
  <c r="AT95" i="2"/>
  <c r="AT96" i="2"/>
  <c r="AT97" i="2"/>
  <c r="AT98" i="2"/>
  <c r="AT99" i="2"/>
  <c r="AT100" i="2"/>
  <c r="AT101" i="2"/>
  <c r="AT102" i="2"/>
  <c r="AT103" i="2"/>
  <c r="AT104" i="2"/>
  <c r="AT105" i="2"/>
  <c r="AT106" i="2"/>
  <c r="AT107" i="2"/>
  <c r="AT108" i="2"/>
  <c r="AT109" i="2"/>
  <c r="AT110" i="2"/>
  <c r="AT111" i="2"/>
  <c r="AT112" i="2"/>
  <c r="AT113" i="2"/>
  <c r="AT114" i="2"/>
  <c r="AT115" i="2"/>
  <c r="AT116" i="2"/>
  <c r="AT117" i="2"/>
  <c r="AT118" i="2"/>
  <c r="AT119" i="2"/>
  <c r="AT120" i="2"/>
  <c r="AT121" i="2"/>
  <c r="AV2" i="2"/>
  <c r="AV3" i="2"/>
  <c r="AV4" i="2"/>
  <c r="AV5" i="2"/>
  <c r="AV6" i="2"/>
  <c r="AV7" i="2"/>
  <c r="AV8" i="2"/>
  <c r="AV9" i="2"/>
  <c r="AV10" i="2"/>
  <c r="AV11" i="2"/>
  <c r="AV12" i="2"/>
  <c r="AV13" i="2"/>
  <c r="AV14" i="2"/>
  <c r="AV15" i="2"/>
  <c r="AV16" i="2"/>
  <c r="AV17" i="2"/>
  <c r="AV18" i="2"/>
  <c r="AV19" i="2"/>
  <c r="AV20" i="2"/>
  <c r="AV21" i="2"/>
  <c r="AV22" i="2"/>
  <c r="AV23" i="2"/>
  <c r="AV24" i="2"/>
  <c r="AV25" i="2"/>
  <c r="AV26" i="2"/>
  <c r="AV27" i="2"/>
  <c r="AV28" i="2"/>
  <c r="AV29" i="2"/>
  <c r="AV30" i="2"/>
  <c r="AV31" i="2"/>
  <c r="AV32" i="2"/>
  <c r="AV33" i="2"/>
  <c r="AV34" i="2"/>
  <c r="AV35" i="2"/>
  <c r="AV36" i="2"/>
  <c r="AV37" i="2"/>
  <c r="AV38" i="2"/>
  <c r="AV39" i="2"/>
  <c r="AV40" i="2"/>
  <c r="AV41" i="2"/>
  <c r="AV42" i="2"/>
  <c r="AV43" i="2"/>
  <c r="AV44" i="2"/>
  <c r="AV45" i="2"/>
  <c r="AV46" i="2"/>
  <c r="AV47" i="2"/>
  <c r="AV48" i="2"/>
  <c r="AV49" i="2"/>
  <c r="AV50" i="2"/>
  <c r="AV51" i="2"/>
  <c r="AV52" i="2"/>
  <c r="AV53" i="2"/>
  <c r="AV54" i="2"/>
  <c r="AV55" i="2"/>
  <c r="AV56" i="2"/>
  <c r="AV57" i="2"/>
  <c r="AV58" i="2"/>
  <c r="AV59" i="2"/>
  <c r="AV60" i="2"/>
  <c r="AV61" i="2"/>
  <c r="AV62" i="2"/>
  <c r="AV63" i="2"/>
  <c r="AV64" i="2"/>
  <c r="AV65" i="2"/>
  <c r="AV66" i="2"/>
  <c r="AV67" i="2"/>
  <c r="AV68" i="2"/>
  <c r="AV69" i="2"/>
  <c r="AV70" i="2"/>
  <c r="AV71" i="2"/>
  <c r="AV72" i="2"/>
  <c r="AV73" i="2"/>
  <c r="AV74" i="2"/>
  <c r="AV75" i="2"/>
  <c r="AV76" i="2"/>
  <c r="AV77" i="2"/>
  <c r="AV78" i="2"/>
  <c r="AV79" i="2"/>
  <c r="AV80" i="2"/>
  <c r="AV81" i="2"/>
  <c r="AV82" i="2"/>
  <c r="AV83" i="2"/>
  <c r="AV84" i="2"/>
  <c r="AV85" i="2"/>
  <c r="AV86" i="2"/>
  <c r="AV87" i="2"/>
  <c r="AV88" i="2"/>
  <c r="AV89" i="2"/>
  <c r="AV90" i="2"/>
  <c r="AV91" i="2"/>
  <c r="AV92" i="2"/>
  <c r="AV93" i="2"/>
  <c r="AV94" i="2"/>
  <c r="AV95" i="2"/>
  <c r="AV96" i="2"/>
  <c r="AV97" i="2"/>
  <c r="AV98" i="2"/>
  <c r="AV99" i="2"/>
  <c r="AV100" i="2"/>
  <c r="AV101" i="2"/>
  <c r="AV102" i="2"/>
  <c r="AV103" i="2"/>
  <c r="AV104" i="2"/>
  <c r="AV105" i="2"/>
  <c r="AV106" i="2"/>
  <c r="AV107" i="2"/>
  <c r="AV108" i="2"/>
  <c r="AV109" i="2"/>
  <c r="AV110" i="2"/>
  <c r="AV111" i="2"/>
  <c r="AV112" i="2"/>
  <c r="AV113" i="2"/>
  <c r="AV114" i="2"/>
  <c r="AV115" i="2"/>
  <c r="AV116" i="2"/>
  <c r="AV117" i="2"/>
  <c r="AV118" i="2"/>
  <c r="AV119" i="2"/>
  <c r="AV120" i="2"/>
  <c r="AV121" i="2"/>
  <c r="AG2"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E2" i="2"/>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L26" i="3" l="1"/>
  <c r="K26" i="3"/>
  <c r="AX118" i="2"/>
  <c r="AZ118" i="2" s="1"/>
  <c r="AX114" i="2"/>
  <c r="AZ114" i="2" s="1"/>
  <c r="AX110" i="2"/>
  <c r="AZ110" i="2" s="1"/>
  <c r="AX106" i="2"/>
  <c r="AZ106" i="2" s="1"/>
  <c r="AX102" i="2"/>
  <c r="AZ102" i="2" s="1"/>
  <c r="AX98" i="2"/>
  <c r="AZ98" i="2" s="1"/>
  <c r="AX94" i="2"/>
  <c r="AZ94" i="2" s="1"/>
  <c r="AX90" i="2"/>
  <c r="AZ90" i="2" s="1"/>
  <c r="AX86" i="2"/>
  <c r="AZ86" i="2" s="1"/>
  <c r="AX82" i="2"/>
  <c r="AZ82" i="2" s="1"/>
  <c r="AX78" i="2"/>
  <c r="AZ78" i="2" s="1"/>
  <c r="AX74" i="2"/>
  <c r="AZ74" i="2" s="1"/>
  <c r="AX70" i="2"/>
  <c r="AZ70" i="2" s="1"/>
  <c r="AX121" i="2"/>
  <c r="AZ121" i="2" s="1"/>
  <c r="AX113" i="2"/>
  <c r="AZ113" i="2" s="1"/>
  <c r="AX101" i="2"/>
  <c r="AZ101" i="2" s="1"/>
  <c r="AX93" i="2"/>
  <c r="AZ93" i="2" s="1"/>
  <c r="AX85" i="2"/>
  <c r="AZ85" i="2" s="1"/>
  <c r="AX77" i="2"/>
  <c r="AZ77" i="2" s="1"/>
  <c r="AX69" i="2"/>
  <c r="AZ69" i="2" s="1"/>
  <c r="AX61" i="2"/>
  <c r="AX49" i="2"/>
  <c r="AZ49" i="2" s="1"/>
  <c r="AX41" i="2"/>
  <c r="AZ41" i="2" s="1"/>
  <c r="AX33" i="2"/>
  <c r="AZ33" i="2" s="1"/>
  <c r="AX25" i="2"/>
  <c r="AZ25" i="2" s="1"/>
  <c r="AX17" i="2"/>
  <c r="AZ17" i="2" s="1"/>
  <c r="AX9" i="2"/>
  <c r="AZ9" i="2" s="1"/>
  <c r="AZ61" i="2"/>
  <c r="AX116" i="2"/>
  <c r="AZ116" i="2" s="1"/>
  <c r="AX104" i="2"/>
  <c r="AX96" i="2"/>
  <c r="AZ96" i="2" s="1"/>
  <c r="AX88" i="2"/>
  <c r="AZ88" i="2" s="1"/>
  <c r="AX80" i="2"/>
  <c r="AZ80" i="2" s="1"/>
  <c r="AX72" i="2"/>
  <c r="AZ72" i="2" s="1"/>
  <c r="AX60" i="2"/>
  <c r="AZ60" i="2" s="1"/>
  <c r="AX52" i="2"/>
  <c r="AZ52" i="2" s="1"/>
  <c r="AX44" i="2"/>
  <c r="AZ44" i="2" s="1"/>
  <c r="AX36" i="2"/>
  <c r="AZ36" i="2" s="1"/>
  <c r="AX28" i="2"/>
  <c r="AZ28" i="2" s="1"/>
  <c r="AX20" i="2"/>
  <c r="AZ20" i="2" s="1"/>
  <c r="AX16" i="2"/>
  <c r="AZ16" i="2" s="1"/>
  <c r="AX8" i="2"/>
  <c r="AZ8" i="2" s="1"/>
  <c r="AX4" i="2"/>
  <c r="AZ4" i="2" s="1"/>
  <c r="AZ104" i="2"/>
  <c r="AX117" i="2"/>
  <c r="AX109" i="2"/>
  <c r="AZ109" i="2" s="1"/>
  <c r="AX105" i="2"/>
  <c r="AZ105" i="2" s="1"/>
  <c r="AX97" i="2"/>
  <c r="AZ97" i="2" s="1"/>
  <c r="AX89" i="2"/>
  <c r="AZ89" i="2" s="1"/>
  <c r="AX81" i="2"/>
  <c r="AZ81" i="2" s="1"/>
  <c r="AX73" i="2"/>
  <c r="AZ73" i="2" s="1"/>
  <c r="AX65" i="2"/>
  <c r="AZ65" i="2" s="1"/>
  <c r="AX57" i="2"/>
  <c r="AZ57" i="2" s="1"/>
  <c r="AX53" i="2"/>
  <c r="AZ53" i="2" s="1"/>
  <c r="AX45" i="2"/>
  <c r="AZ45" i="2" s="1"/>
  <c r="AX37" i="2"/>
  <c r="AZ37" i="2" s="1"/>
  <c r="AX29" i="2"/>
  <c r="AZ29" i="2" s="1"/>
  <c r="AX21" i="2"/>
  <c r="AZ21" i="2" s="1"/>
  <c r="AX13" i="2"/>
  <c r="AZ13" i="2" s="1"/>
  <c r="AX5" i="2"/>
  <c r="AZ5" i="2" s="1"/>
  <c r="AX120" i="2"/>
  <c r="AZ120" i="2" s="1"/>
  <c r="AX112" i="2"/>
  <c r="AZ112" i="2" s="1"/>
  <c r="AX108" i="2"/>
  <c r="AZ108" i="2" s="1"/>
  <c r="AX100" i="2"/>
  <c r="AZ100" i="2" s="1"/>
  <c r="AX92" i="2"/>
  <c r="AZ92" i="2" s="1"/>
  <c r="AX84" i="2"/>
  <c r="AZ84" i="2" s="1"/>
  <c r="AX76" i="2"/>
  <c r="AZ76" i="2" s="1"/>
  <c r="AX68" i="2"/>
  <c r="AZ68" i="2" s="1"/>
  <c r="AX64" i="2"/>
  <c r="AZ64" i="2" s="1"/>
  <c r="AX56" i="2"/>
  <c r="AZ56" i="2" s="1"/>
  <c r="AX48" i="2"/>
  <c r="AZ48" i="2" s="1"/>
  <c r="AX40" i="2"/>
  <c r="AZ40" i="2" s="1"/>
  <c r="AX32" i="2"/>
  <c r="AZ32" i="2" s="1"/>
  <c r="AX24" i="2"/>
  <c r="AZ24" i="2" s="1"/>
  <c r="AX12" i="2"/>
  <c r="AZ12" i="2" s="1"/>
  <c r="AZ117" i="2"/>
  <c r="AX119" i="2"/>
  <c r="AZ119" i="2" s="1"/>
  <c r="AX115" i="2"/>
  <c r="AZ115" i="2" s="1"/>
  <c r="AX111" i="2"/>
  <c r="AZ111" i="2" s="1"/>
  <c r="AX107" i="2"/>
  <c r="AZ107" i="2" s="1"/>
  <c r="AX103" i="2"/>
  <c r="AX99" i="2"/>
  <c r="AZ99" i="2" s="1"/>
  <c r="AX95" i="2"/>
  <c r="AZ95" i="2" s="1"/>
  <c r="AX91" i="2"/>
  <c r="AZ91" i="2" s="1"/>
  <c r="AX87" i="2"/>
  <c r="AX83" i="2"/>
  <c r="AZ83" i="2" s="1"/>
  <c r="AX79" i="2"/>
  <c r="AZ79" i="2" s="1"/>
  <c r="AX75" i="2"/>
  <c r="AZ75" i="2" s="1"/>
  <c r="AX71" i="2"/>
  <c r="AZ71" i="2" s="1"/>
  <c r="AX67" i="2"/>
  <c r="AZ67" i="2" s="1"/>
  <c r="AX63" i="2"/>
  <c r="AZ63" i="2" s="1"/>
  <c r="AX59" i="2"/>
  <c r="AZ59" i="2" s="1"/>
  <c r="AX55" i="2"/>
  <c r="AX51" i="2"/>
  <c r="AZ51" i="2" s="1"/>
  <c r="AX47" i="2"/>
  <c r="AZ47" i="2" s="1"/>
  <c r="AX43" i="2"/>
  <c r="AX39" i="2"/>
  <c r="AZ39" i="2" s="1"/>
  <c r="AX35" i="2"/>
  <c r="AZ35" i="2" s="1"/>
  <c r="AX31" i="2"/>
  <c r="AZ31" i="2" s="1"/>
  <c r="AX27" i="2"/>
  <c r="AZ27" i="2" s="1"/>
  <c r="AX23" i="2"/>
  <c r="AZ23" i="2" s="1"/>
  <c r="AX19" i="2"/>
  <c r="AZ19" i="2" s="1"/>
  <c r="AX15" i="2"/>
  <c r="AZ15" i="2" s="1"/>
  <c r="AX11" i="2"/>
  <c r="AZ11" i="2" s="1"/>
  <c r="AX7" i="2"/>
  <c r="AX3" i="2"/>
  <c r="AZ3" i="2" s="1"/>
  <c r="AZ103" i="2"/>
  <c r="AZ87" i="2"/>
  <c r="AZ55" i="2"/>
  <c r="AZ43" i="2"/>
  <c r="AZ7" i="2"/>
  <c r="AX66" i="2"/>
  <c r="AZ66" i="2" s="1"/>
  <c r="AX62" i="2"/>
  <c r="AZ62" i="2" s="1"/>
  <c r="AX58" i="2"/>
  <c r="AZ58" i="2" s="1"/>
  <c r="AX54" i="2"/>
  <c r="AZ54" i="2" s="1"/>
  <c r="AX50" i="2"/>
  <c r="AZ50" i="2" s="1"/>
  <c r="AX46" i="2"/>
  <c r="AZ46" i="2" s="1"/>
  <c r="AX42" i="2"/>
  <c r="AZ42" i="2" s="1"/>
  <c r="AX38" i="2"/>
  <c r="AZ38" i="2" s="1"/>
  <c r="AX34" i="2"/>
  <c r="AZ34" i="2" s="1"/>
  <c r="AX30" i="2"/>
  <c r="AZ30" i="2" s="1"/>
  <c r="AX26" i="2"/>
  <c r="AZ26" i="2" s="1"/>
  <c r="AX22" i="2"/>
  <c r="AZ22" i="2" s="1"/>
  <c r="AX18" i="2"/>
  <c r="AZ18" i="2" s="1"/>
  <c r="AX14" i="2"/>
  <c r="AZ14" i="2" s="1"/>
  <c r="AX10" i="2"/>
  <c r="AZ10" i="2" s="1"/>
  <c r="AX6" i="2"/>
  <c r="AZ6" i="2" s="1"/>
  <c r="AX2" i="2"/>
  <c r="AZ2" i="2" s="1"/>
  <c r="BB53" i="2" l="1"/>
  <c r="BD53" i="2" s="1"/>
  <c r="BB85" i="2"/>
  <c r="BD85" i="2"/>
  <c r="BB121" i="2"/>
  <c r="BD121" i="2" s="1"/>
  <c r="BB96" i="2"/>
  <c r="BD96" i="2" s="1"/>
  <c r="BB59" i="2"/>
  <c r="BD59" i="2" s="1"/>
  <c r="BB91" i="2"/>
  <c r="BD91" i="2" s="1"/>
  <c r="BB27" i="2"/>
  <c r="BD27" i="2" s="1"/>
  <c r="BB2" i="2"/>
  <c r="BD2" i="2" s="1"/>
  <c r="BB16" i="2"/>
  <c r="BD16" i="2" s="1"/>
  <c r="BB90" i="2"/>
  <c r="BD90" i="2" s="1"/>
  <c r="BB26" i="2"/>
  <c r="BD26" i="2" s="1"/>
  <c r="BB11" i="2"/>
  <c r="BD11" i="2" s="1"/>
  <c r="BB107" i="2"/>
  <c r="BD107" i="2" s="1"/>
  <c r="BB21" i="2"/>
  <c r="BD21" i="2" s="1"/>
  <c r="BB76" i="2"/>
  <c r="BD76" i="2" s="1"/>
  <c r="BB60" i="2"/>
  <c r="BD60" i="2" s="1"/>
  <c r="BB17" i="2"/>
  <c r="BD17" i="2" s="1"/>
  <c r="BB106" i="2"/>
  <c r="BD106" i="2" s="1"/>
  <c r="BB66" i="2"/>
  <c r="BD66" i="2" s="1"/>
  <c r="BB46" i="2"/>
  <c r="BD46" i="2" s="1"/>
  <c r="BB55" i="2"/>
  <c r="BD55" i="2" s="1"/>
  <c r="BB87" i="2"/>
  <c r="BD87" i="2"/>
  <c r="BB119" i="2"/>
  <c r="BD119" i="2" s="1"/>
  <c r="BB15" i="2"/>
  <c r="BD15" i="2" s="1"/>
  <c r="BB31" i="2"/>
  <c r="BD31" i="2" s="1"/>
  <c r="BB47" i="2"/>
  <c r="BD47" i="2" s="1"/>
  <c r="BB63" i="2"/>
  <c r="BD63" i="2" s="1"/>
  <c r="BB79" i="2"/>
  <c r="BD79" i="2" s="1"/>
  <c r="BB95" i="2"/>
  <c r="BD95" i="2" s="1"/>
  <c r="BB111" i="2"/>
  <c r="BD111" i="2" s="1"/>
  <c r="BB117" i="2"/>
  <c r="BD117" i="2" s="1"/>
  <c r="BB40" i="2"/>
  <c r="BD40" i="2" s="1"/>
  <c r="BB64" i="2"/>
  <c r="BD64" i="2" s="1"/>
  <c r="BB84" i="2"/>
  <c r="BD84" i="2"/>
  <c r="BB112" i="2"/>
  <c r="BD112" i="2" s="1"/>
  <c r="BB113" i="2"/>
  <c r="BD113" i="2" s="1"/>
  <c r="BB29" i="2"/>
  <c r="BD29" i="2" s="1"/>
  <c r="BB57" i="2"/>
  <c r="BD57" i="2"/>
  <c r="BB89" i="2"/>
  <c r="BD89" i="2" s="1"/>
  <c r="BB4" i="2"/>
  <c r="BD4" i="2" s="1"/>
  <c r="BB20" i="2"/>
  <c r="BD20" i="2" s="1"/>
  <c r="BB44" i="2"/>
  <c r="BD44" i="2"/>
  <c r="BB72" i="2"/>
  <c r="BD72" i="2" s="1"/>
  <c r="BB61" i="2"/>
  <c r="BD61" i="2" s="1"/>
  <c r="BB25" i="2"/>
  <c r="BD25" i="2" s="1"/>
  <c r="BB93" i="2"/>
  <c r="BD93" i="2" s="1"/>
  <c r="BB70" i="2"/>
  <c r="BD70" i="2" s="1"/>
  <c r="BB86" i="2"/>
  <c r="BD86" i="2" s="1"/>
  <c r="BB98" i="2"/>
  <c r="BD98" i="2" s="1"/>
  <c r="BB110" i="2"/>
  <c r="BD110" i="2"/>
  <c r="BB10" i="2"/>
  <c r="BD10" i="2" s="1"/>
  <c r="BB58" i="2"/>
  <c r="BD58" i="2" s="1"/>
  <c r="BB43" i="2"/>
  <c r="BD43" i="2" s="1"/>
  <c r="BB32" i="2"/>
  <c r="BD32" i="2"/>
  <c r="BB108" i="2"/>
  <c r="BD108" i="2" s="1"/>
  <c r="BB81" i="2"/>
  <c r="BD81" i="2" s="1"/>
  <c r="BB88" i="2"/>
  <c r="BD88" i="2" s="1"/>
  <c r="BB49" i="2"/>
  <c r="BD49" i="2"/>
  <c r="BB94" i="2"/>
  <c r="BD94" i="2" s="1"/>
  <c r="BB22" i="2"/>
  <c r="BD22" i="2" s="1"/>
  <c r="BB30" i="2"/>
  <c r="BD30" i="2" s="1"/>
  <c r="BB23" i="2"/>
  <c r="BD23" i="2" s="1"/>
  <c r="BB18" i="2"/>
  <c r="BD18" i="2" s="1"/>
  <c r="BB3" i="2"/>
  <c r="BD3" i="2" s="1"/>
  <c r="BB19" i="2"/>
  <c r="BD19" i="2" s="1"/>
  <c r="BB35" i="2"/>
  <c r="BD35" i="2"/>
  <c r="BB51" i="2"/>
  <c r="BD51" i="2" s="1"/>
  <c r="BB67" i="2"/>
  <c r="BD67" i="2" s="1"/>
  <c r="BB83" i="2"/>
  <c r="BD83" i="2" s="1"/>
  <c r="BB99" i="2"/>
  <c r="BD99" i="2"/>
  <c r="BB115" i="2"/>
  <c r="BD115" i="2" s="1"/>
  <c r="BB12" i="2"/>
  <c r="BD12" i="2" s="1"/>
  <c r="BB48" i="2"/>
  <c r="BD48" i="2" s="1"/>
  <c r="BB92" i="2"/>
  <c r="BD92" i="2"/>
  <c r="BB120" i="2"/>
  <c r="BD120" i="2" s="1"/>
  <c r="BB5" i="2"/>
  <c r="BD5" i="2" s="1"/>
  <c r="BB37" i="2"/>
  <c r="BD37" i="2" s="1"/>
  <c r="BB65" i="2"/>
  <c r="BD65" i="2" s="1"/>
  <c r="BB97" i="2"/>
  <c r="BD97" i="2" s="1"/>
  <c r="BB9" i="2"/>
  <c r="BD9" i="2" s="1"/>
  <c r="BB8" i="2"/>
  <c r="BD8" i="2" s="1"/>
  <c r="BB28" i="2"/>
  <c r="BD28" i="2"/>
  <c r="BB80" i="2"/>
  <c r="BD80" i="2" s="1"/>
  <c r="BB33" i="2"/>
  <c r="BD33" i="2" s="1"/>
  <c r="BB69" i="2"/>
  <c r="BD69" i="2" s="1"/>
  <c r="BB74" i="2"/>
  <c r="BD74" i="2"/>
  <c r="BB114" i="2"/>
  <c r="BD114" i="2" s="1"/>
  <c r="BB6" i="2"/>
  <c r="BD6" i="2" s="1"/>
  <c r="BB54" i="2"/>
  <c r="BD54" i="2" s="1"/>
  <c r="BB42" i="2"/>
  <c r="BD42" i="2"/>
  <c r="BB75" i="2"/>
  <c r="BD75" i="2" s="1"/>
  <c r="BB109" i="2"/>
  <c r="BD109" i="2" s="1"/>
  <c r="BB56" i="2"/>
  <c r="BD56" i="2" s="1"/>
  <c r="BB77" i="2"/>
  <c r="BD77" i="2" s="1"/>
  <c r="BB104" i="2"/>
  <c r="BD104" i="2" s="1"/>
  <c r="BB36" i="2"/>
  <c r="BD36" i="2" s="1"/>
  <c r="BB116" i="2"/>
  <c r="BD116" i="2" s="1"/>
  <c r="BB82" i="2"/>
  <c r="BD82" i="2"/>
  <c r="BB14" i="2"/>
  <c r="BD14" i="2" s="1"/>
  <c r="BB62" i="2"/>
  <c r="BD62" i="2" s="1"/>
  <c r="BB34" i="2"/>
  <c r="BD34" i="2" s="1"/>
  <c r="BB50" i="2"/>
  <c r="BD50" i="2"/>
  <c r="BB38" i="2"/>
  <c r="BD38" i="2" s="1"/>
  <c r="BB7" i="2"/>
  <c r="BD7" i="2" s="1"/>
  <c r="BB39" i="2"/>
  <c r="BD39" i="2" s="1"/>
  <c r="BB71" i="2"/>
  <c r="BD71" i="2"/>
  <c r="BB103" i="2"/>
  <c r="BD103" i="2" s="1"/>
  <c r="BB101" i="2"/>
  <c r="BD101" i="2" s="1"/>
  <c r="BB24" i="2"/>
  <c r="BD24" i="2" s="1"/>
  <c r="BB68" i="2"/>
  <c r="BD68" i="2" s="1"/>
  <c r="BB100" i="2"/>
  <c r="BD100" i="2" s="1"/>
  <c r="BB45" i="2"/>
  <c r="BD45" i="2" s="1"/>
  <c r="BB13" i="2"/>
  <c r="BD13" i="2" s="1"/>
  <c r="BB73" i="2"/>
  <c r="BD73" i="2"/>
  <c r="BB105" i="2"/>
  <c r="BD105" i="2" s="1"/>
  <c r="BB41" i="2"/>
  <c r="BD41" i="2" s="1"/>
  <c r="BB52" i="2"/>
  <c r="BD52" i="2" s="1"/>
  <c r="BB78" i="2"/>
  <c r="BD78" i="2"/>
  <c r="BB102" i="2"/>
  <c r="BD102" i="2" s="1"/>
  <c r="BB118" i="2"/>
  <c r="BD118" i="2" s="1"/>
  <c r="AR3" i="2" l="1"/>
  <c r="BI3" i="2"/>
  <c r="AR101" i="2"/>
  <c r="BI101" i="2"/>
  <c r="AR41" i="2"/>
  <c r="BI41" i="2"/>
  <c r="AR62" i="2"/>
  <c r="BI62" i="2"/>
  <c r="AR33" i="2"/>
  <c r="BI33" i="2"/>
  <c r="AR67" i="2"/>
  <c r="BI67" i="2"/>
  <c r="AR58" i="2"/>
  <c r="BI58" i="2"/>
  <c r="AR113" i="2"/>
  <c r="BI113" i="2"/>
  <c r="AR47" i="2"/>
  <c r="BI47" i="2"/>
  <c r="AR45" i="2"/>
  <c r="BI45" i="2"/>
  <c r="AR86" i="2"/>
  <c r="BI86" i="2"/>
  <c r="AR40" i="2"/>
  <c r="BI40" i="2"/>
  <c r="AR106" i="2"/>
  <c r="BI106" i="2"/>
  <c r="AR21" i="2"/>
  <c r="BI21" i="2"/>
  <c r="AR90" i="2"/>
  <c r="BI90" i="2"/>
  <c r="AR91" i="2"/>
  <c r="BI91" i="2"/>
  <c r="AR36" i="2"/>
  <c r="BI36" i="2"/>
  <c r="AR5" i="2"/>
  <c r="BI5" i="2"/>
  <c r="AR22" i="2"/>
  <c r="BI22" i="2"/>
  <c r="AR61" i="2"/>
  <c r="BI61" i="2"/>
  <c r="AR79" i="2"/>
  <c r="BI79" i="2"/>
  <c r="AR15" i="2"/>
  <c r="BI15" i="2"/>
  <c r="AR9" i="2"/>
  <c r="BI9" i="2"/>
  <c r="AR109" i="2"/>
  <c r="BI109" i="2"/>
  <c r="AR118" i="2"/>
  <c r="BI118" i="2"/>
  <c r="AR7" i="2"/>
  <c r="BI7" i="2"/>
  <c r="AR6" i="2"/>
  <c r="BI6" i="2"/>
  <c r="AR12" i="2"/>
  <c r="BI12" i="2"/>
  <c r="AR81" i="2"/>
  <c r="BI81" i="2"/>
  <c r="AR4" i="2"/>
  <c r="BI4" i="2"/>
  <c r="AR46" i="2"/>
  <c r="BI46" i="2"/>
  <c r="AR60" i="2"/>
  <c r="BI60" i="2"/>
  <c r="AR11" i="2"/>
  <c r="BI11" i="2"/>
  <c r="AR2" i="2"/>
  <c r="BI2" i="2"/>
  <c r="AR96" i="2"/>
  <c r="BI96" i="2"/>
  <c r="AR78" i="2"/>
  <c r="BI78" i="2"/>
  <c r="AR68" i="2"/>
  <c r="BI68" i="2"/>
  <c r="AR105" i="2"/>
  <c r="BI105" i="2"/>
  <c r="AR103" i="2"/>
  <c r="BI103" i="2"/>
  <c r="AR14" i="2"/>
  <c r="BI14" i="2"/>
  <c r="AR75" i="2"/>
  <c r="BI75" i="2"/>
  <c r="AR80" i="2"/>
  <c r="BI80" i="2"/>
  <c r="AR120" i="2"/>
  <c r="BI120" i="2"/>
  <c r="AR51" i="2"/>
  <c r="BI51" i="2"/>
  <c r="AR94" i="2"/>
  <c r="BI94" i="2"/>
  <c r="AR10" i="2"/>
  <c r="BI10" i="2"/>
  <c r="AR72" i="2"/>
  <c r="BI72" i="2"/>
  <c r="AR112" i="2"/>
  <c r="BI112" i="2"/>
  <c r="AR63" i="2"/>
  <c r="BI63" i="2"/>
  <c r="AR66" i="2"/>
  <c r="BI66" i="2"/>
  <c r="AR26" i="2"/>
  <c r="BI26" i="2"/>
  <c r="AR121" i="2"/>
  <c r="BI121" i="2"/>
  <c r="AR52" i="2"/>
  <c r="BI52" i="2"/>
  <c r="AR71" i="2"/>
  <c r="BI71" i="2"/>
  <c r="AR34" i="2"/>
  <c r="BI34" i="2"/>
  <c r="AR82" i="2"/>
  <c r="BI82" i="2"/>
  <c r="AR56" i="2"/>
  <c r="BI56" i="2"/>
  <c r="AR42" i="2"/>
  <c r="BI42" i="2"/>
  <c r="AR69" i="2"/>
  <c r="BI69" i="2"/>
  <c r="AR28" i="2"/>
  <c r="BI28" i="2"/>
  <c r="AR37" i="2"/>
  <c r="BI37" i="2"/>
  <c r="AR92" i="2"/>
  <c r="BI92" i="2"/>
  <c r="AR83" i="2"/>
  <c r="BI83" i="2"/>
  <c r="AR35" i="2"/>
  <c r="BI35" i="2"/>
  <c r="AR30" i="2"/>
  <c r="BI30" i="2"/>
  <c r="AR49" i="2"/>
  <c r="BI49" i="2"/>
  <c r="AR43" i="2"/>
  <c r="BI43" i="2"/>
  <c r="AR110" i="2"/>
  <c r="BI110" i="2"/>
  <c r="AR25" i="2"/>
  <c r="BI25" i="2"/>
  <c r="AR44" i="2"/>
  <c r="BI44" i="2"/>
  <c r="AR29" i="2"/>
  <c r="BI29" i="2"/>
  <c r="AR84" i="2"/>
  <c r="BI84" i="2"/>
  <c r="AR95" i="2"/>
  <c r="BI95" i="2"/>
  <c r="AR55" i="2"/>
  <c r="BI55" i="2"/>
  <c r="AR107" i="2"/>
  <c r="BI107" i="2"/>
  <c r="AR59" i="2"/>
  <c r="BI59" i="2"/>
  <c r="AR85" i="2"/>
  <c r="BI85" i="2"/>
  <c r="AR73" i="2"/>
  <c r="BI73" i="2"/>
  <c r="AR24" i="2"/>
  <c r="BI24" i="2"/>
  <c r="AR102" i="2"/>
  <c r="BI102" i="2"/>
  <c r="AR100" i="2"/>
  <c r="BI100" i="2"/>
  <c r="AR38" i="2"/>
  <c r="BI38" i="2"/>
  <c r="AR104" i="2"/>
  <c r="BI104" i="2"/>
  <c r="AR114" i="2"/>
  <c r="BI114" i="2"/>
  <c r="AR97" i="2"/>
  <c r="BI97" i="2"/>
  <c r="AR115" i="2"/>
  <c r="BI115" i="2"/>
  <c r="AR18" i="2"/>
  <c r="BI18" i="2"/>
  <c r="AR108" i="2"/>
  <c r="BI108" i="2"/>
  <c r="AR70" i="2"/>
  <c r="BI70" i="2"/>
  <c r="AR89" i="2"/>
  <c r="BI89" i="2"/>
  <c r="AR117" i="2"/>
  <c r="BI117" i="2"/>
  <c r="AR119" i="2"/>
  <c r="BI119" i="2"/>
  <c r="AR76" i="2"/>
  <c r="BI76" i="2"/>
  <c r="AR27" i="2"/>
  <c r="BI27" i="2"/>
  <c r="AR13" i="2"/>
  <c r="BI13" i="2"/>
  <c r="AR39" i="2"/>
  <c r="BI39" i="2"/>
  <c r="AR50" i="2"/>
  <c r="BI50" i="2"/>
  <c r="AR116" i="2"/>
  <c r="BI116" i="2"/>
  <c r="AR77" i="2"/>
  <c r="BI77" i="2"/>
  <c r="AR54" i="2"/>
  <c r="BI54" i="2"/>
  <c r="AR74" i="2"/>
  <c r="BI74" i="2"/>
  <c r="AR8" i="2"/>
  <c r="BI8" i="2"/>
  <c r="AR65" i="2"/>
  <c r="BI65" i="2"/>
  <c r="AR48" i="2"/>
  <c r="BI48" i="2"/>
  <c r="AR99" i="2"/>
  <c r="BI99" i="2"/>
  <c r="AR19" i="2"/>
  <c r="BI19" i="2"/>
  <c r="AR23" i="2"/>
  <c r="BI23" i="2"/>
  <c r="AR88" i="2"/>
  <c r="BI88" i="2"/>
  <c r="AR32" i="2"/>
  <c r="BI32" i="2"/>
  <c r="AR98" i="2"/>
  <c r="BI98" i="2"/>
  <c r="AR93" i="2"/>
  <c r="BI93" i="2"/>
  <c r="AR20" i="2"/>
  <c r="BI20" i="2"/>
  <c r="AR57" i="2"/>
  <c r="BI57" i="2"/>
  <c r="AR64" i="2"/>
  <c r="BI64" i="2"/>
  <c r="AR111" i="2"/>
  <c r="BI111" i="2"/>
  <c r="AR31" i="2"/>
  <c r="BI31" i="2"/>
  <c r="AR87" i="2"/>
  <c r="BI87" i="2"/>
  <c r="AR17" i="2"/>
  <c r="BI17" i="2"/>
  <c r="AR16" i="2"/>
  <c r="BI16" i="2"/>
  <c r="AR53" i="2"/>
  <c r="BI53" i="2"/>
</calcChain>
</file>

<file path=xl/sharedStrings.xml><?xml version="1.0" encoding="utf-8"?>
<sst xmlns="http://schemas.openxmlformats.org/spreadsheetml/2006/main" count="8718" uniqueCount="1264">
  <si>
    <t>OrderID,OrderDate,DeliveryDate,OrderStatus,Channel,StoreCode,StoreName,Region,City,State,Zone,StoreType,Manager,Contact,OpeningDate,ProductID,ProductName,Category,SubCategory,Brand,Supplier,UnitPrice,CostPrice,Weight,Color,Size,StockLevel,ReorderLevel,LeadTime,Quantity,Discount%,Tax%,ShippingCost,PaymentMethod,CustomerType,CustomerID,CustomerTier,SalesRep,ReturnStatus,ReturnReason,RefundAmount,ProfitMargin,COGS,GrossSales,DiscountAmount,NetSales,TaxAmount,TotalRevenue,ShippingStatus,DeliveryDays,IsPriority,IsBulkOrder,BulkDiscount,PromoCode,Campaign,WarehouseCode,InventoryStatus,DataQualityFlag</t>
  </si>
  <si>
    <t>ORD001,15-Jan-25,18-Jan-25,Delivered,Online,ST001,UrbanCart Phoenix,West,Phoenix,AZ,West,Flagship,Michael Chen,michael.chen@urbancart.com,01-Mar-20,P001,Laptop Pro 15,Electronics,Computers,TechBrand,InfiniteSys,1200,780,2.5,Silver,15-inch,45,10,3,2,5,8,25,Credit Card,Corporate,C001,Platinum,REP005,Not Returned,,0,35,936,2400,120,2280,182.4,2462.4,Delivered,3,Yes,No,0,PROMO10,Winter Sale,WH01,In Stock,Clean</t>
  </si>
  <si>
    <t>ORD002,15-Jan-25,17-Jan-25,Delivered,In-Store,ST045,UrbanCart Austin,South,Austin,TX,South,Standard,Lisa Rodriguez,lisa.rodriguez@urbancart.com,15-Jun-21,P023,Cotton T-Shirt,Apparel,Clothing,FashionFit,TextileCo,25,12,0.2,Blue,M,120,30,2,5,0,5,8,PayPal,Individual,C089,Bronze,REP012,Not Returned,,0,52,60,125,0,125,6.25,131.25,Delivered,2,No,No,0,,,WH03,In Stock,Clean</t>
  </si>
  <si>
    <t>ORD003,16-Jan-25,20-Jan-25,Delivered,Online,ST089,UrbanCart Miami,South,Miami,FL,South,Standard,Carlos Mendez,carlos.mendez@urbancart.com,10-Sep-22,P008,Blender Pro,Home,Kitchen,KitchenAid,HomeGoods,85,48,3.2,Red,,45,10,4,1,10,6,12,Debit Card,Individual,C156,Silver,REP008,Not Returned,,0,43.53,48,85,8.5,76.5,4.59,81.09,Delivered,4,No,No,0,PROMO15,NewYear,WH02,Low Stock,Clean</t>
  </si>
  <si>
    <t>ORD004,16-Jan-25,19-Jan-25,Delivered,In-Store,ST112,UrbanCart Seattle,West,Seattle,WA,West,Standard,Jennifer Wong,jennifer.wong@urbancart.com,05-Nov-20,P045,Yoga Mat,Fitness,Equipment,FlexFit,SportsInc,35,18,1.1,Purple,Standard,75,15,2,3,0,7,10,Credit Card,Corporate,C234,Gold,REP015,Not Returned,,0,48.57,54,105,0,105,7.35,112.35,Delivered,3,No,No,0,,,WH04,In Stock,Clean</t>
  </si>
  <si>
    <t>ORD005,17-Jan-25,22-Jan-25,Delivered,Online,ST023,UrbanCart Boston,East,Boston,MA,East,Flagship,David Kim,david.kim@urbancart.com,12-Feb-19,P012,Desk Chair,Furniture,Office,ComfortSeat,OfficeSupply,250,145,12.5,Black,,20,5,5,1,15,8,30,Bank Transfer,Corporate,C312,Platinum,REP003,Not Returned,,0,42,145,250,37.5,212.5,17,229.5,Delivered,5,Yes,No,0,PROMO20,FurnitureSale,WH05,In Stock,Clean</t>
  </si>
  <si>
    <t>ORD006,18-Jan-25,21-Jan-25,Delivered,In-Store,ST078,UrbanCart Chicago,Central,Chicago,IL,Central,Flagship,Robert Johnson,robert.johnson@urbancart.com,20-Aug-18,P031,Smart Watch,Electronics,Wearables,TechBrand,WearTech,350,210,0.25,Black,42mm,30,8,2,2,5,6,15,Credit Card,Individual,C045,Silver,REP010,Not Returned,,0,40,420,700,35,665,39.9,704.9,Delivered,3,No,No,0,PROMO10,Winter Sale,WH01,In Stock,Clean</t>
  </si>
  <si>
    <t>ORD007,18-Jan-25,23-Jan-25,Shipped,Online,ST034,UrbanCart Denver,West,Denver,CO,West,Standard,Amanda Martinez,amanda.martinez@urbancart.com,03-Jul-22,P055,Running Shoes,Fitness,Footwear,SportMax,AthleticInc,120,65,1.8,Red,10,55,12,3,1,5,5,8,PayPal,Individual,C178,Bronze,REP007,Not Returned,,0,45.83,65,120,6,114,5.7,119.7,Shipped,5,No,No,0,,,WH04,In Stock,Clean</t>
  </si>
  <si>
    <t>ORD008,19-Jan-25,22-Jan-25,Delivered,In-Store,ST067,UrbanCart Houston,South,Houston,TX,South,Standard,Thomas Brown,thomas.brown@urbancart.com,14-Apr-21,P019,Coffee Maker,Home,Appliances,BrewMaster,HomeGoods,95,52,2.8,Black,,40,8,3,2,0,5,10,Debit Card,Individual,C201,Silver,REP009,Not Returned,,0,45.26,104,190,0,190,9.5,199.5,Delivered,3,No,No,0,,,WH02,In Stock,Clean</t>
  </si>
  <si>
    <t>ORD009,19-Jan-25,24-Jan-25,Delivered,Online,ST091,UrbanCart Portland,West,Portland,OR,West,Standard,Sarah Williams,sarah.williams@urbancart.com,25-Feb-23,P038,Winter Jacket,Apparel,Outerwear,FashionFit,WearCo,180,95,1.5,Black,L,25,5,4,1,20,6,15,Credit Card,Individual,C267,Bronze,REP014,Returned,Size Issue,36,47.22,95,180,36,144,8.64,152.64,Delivered,5,No,No,0,PROMO25,Clearance,WH03,In Stock,Clean</t>
  </si>
  <si>
    <t>ORD010,20-Jan-25,23-Jan-25,Delivered,In-Store,ST056,UrbanCart Detroit,Central,Detroit,MI,Central,Standard,Patricia Miller,patricia.miller@urbancart.com,30-Nov-22,P007,Wireless Mouse,Electronics,Accessories,LogiTech,TechDistro,45,23,0.15,Black,,150,30,1,4,0,5,5,Cash,Corporate,C345,Gold,REP011,Not Returned,,0,48.89,92,180,0,180,9,189,Delivered,3,Yes,Yes,5,PROMO05,BulkDiscount,WH01,In Stock,Clean</t>
  </si>
  <si>
    <t>ORD011,20-Jan-25,25-Jan-25,Pending,Online,ST102,UrbanCart Columbus,Central,Columbus,OH,Central,Standard,James Wilson,james.wilson@urbancart.com,17-Apr-23,P026,Desk Lamp,Home,Lighting,LumiHome,HomeGoods,65,34,1.2,White,,35,10,2,1,5,5,8,PayPal,Individual,C089,Bronze,REP012,Not Returned,,0,47.69,34,65,3.25,61.75,3.09,64.84,Pending,5,No,No,0,PROMO10,,WH02,Low Stock,Clean</t>
  </si>
  <si>
    <t>ORD012,21-Jan-25,24-Jan-25,Delivered,In-Store,ST045,UrbanCart Austin,South,Austin,TX,South,Standard,Lisa Rodriguez,lisa.rodriguez@urbancart.com,15-Jun-21,P015,Backpack,Accessories,Bags,CarryAll,AccessoryCo,75,38,0.8,Blue,,60,15,2,2,0,6,5,Credit Card,Individual,C156,Silver,REP008,Not Returned,,0,49.33,76,150,0,150,9,159,Delivered,3,No,No,0,,,WH03,In Stock,Clean</t>
  </si>
  <si>
    <t>ORD013,21-Jan-25,26-Jan-25,Shipped,Online,ST112,UrbanCart Seattle,West,Seattle,WA,West,Standard,Jennifer Wong,jennifer.wong@urbancart.com,05-Nov-20,P042,Water Bottle,Fitness,Accessories,HydratePro,SportsInc,22,10,0.3,Blue,,200,40,1,6,0,5,8,Debit Card,Corporate,C234,Gold,REP015,Not Returned,,0,54.55,60,132,0,132,6.6,138.6,Shipped,5,No,Yes,5,PROMO05,BulkDiscount,WH04,In Stock,Clean</t>
  </si>
  <si>
    <t>ORD014,22-Jan-25,25-Jan-25,Delivered,In-Store,ST023,UrbanCart Boston,East,Boston,MA,East,Flagship,David Kim,david.kim@urbancart.com,12-Feb-19,P002,Tablet Pro,Electronics,Computers,TechBrand,InfiniteSys,650,390,0.7,Space Gray,11-inch,25,5,2,1,0,7,12,Bank Transfer,Corporate,C312,Platinum,REP003,Not Returned,,0,40,390,650,0,650,45.5,695.5,Delivered,3,Yes,No,0,PROMO15,NewYear,WH01,In Stock,Clean</t>
  </si>
  <si>
    <t>ORD015,22-Jan-25,27-Jan-25,Cancelled,Online,ST089,UrbanCart Miami,South,Miami,FL,South,Standard,Carlos Mendez,carlos.mendez@urbancart.com,10-Sep-22,P034,Hair Dryer,Personal Care,Beauty,StylePro,BeautyCo,55,30,1.1,Pink,,30,8,2,1,0,6,8,Credit Card,Individual,C045,Silver,REP010,Cancelled,Customer Request,0,45.45,30,55,0,55,3.3,58.3,Cancelled,5,No,No,0,,,WH02,Out of Stock,Dirty</t>
  </si>
  <si>
    <t>ORD016,23-Jan-25,26-Jan-25,Delivered,In-Store,ST001,UrbanCart Phoenix,West,Phoenix,AZ,West,Flagship,Michael Chen,michael.chen@urbancart.com,01-Mar-20,P048,Treadmill,Fitness,Equipment,CardioMax,FitnessInc,1400,840,45,Black,,8,2,7,1,10,7,50,Credit Card,Corporate,C001,Platinum,REP005,Not Returned,,0,40,840,1400,140,1260,88.2,1348.2,Delivered,3,No,No,0,PROMO20,FurnitureSale,WH04,In Stock,Clean</t>
  </si>
  <si>
    <t>ORD017,23-Jan-25,28-Jan-25,Delivered,Online,ST078,UrbanCart Chicago,Central,Chicago,IL,Central,Flagship,Robert Johnson,robert.johnson@urbancart.com,20-Aug-18,P010,Novel Set,Books,Fiction,ReadWell,BookDistro,45,22,1.2,,,80,20,2,3,5,4,5,PayPal,Individual,C267,Bronze,REP014,Not Returned,,0,51.11,66,135,6.75,128.25,5.13,133.38,Delivered,5,No,No,0,PROMO10,Winter Sale,WH06,In Stock,Clean</t>
  </si>
  <si>
    <t>ORD018,24-Jan-25,27-Jan-25,Delivered,In-Store,ST034,UrbanCart Denver,West,Denver,CO,West,Standard,Amanda Martinez,amanda.martinez@urbancart.com,03-Jul-22,P021,Yoga Block,Fitness,Accessories,FlexFit,SportsInc,12,6,0.2,Purple,,150,30,1,10,0,5,0,Cash,Individual,C178,Bronze,REP007,Not Returned,,0,50,60,120,0,120,6,126,Delivered,3,No,Yes,10,PROMO05,BulkDiscount,WH04,In Stock,Clean</t>
  </si>
  <si>
    <t>ORD019,24-Jan-25,29-Jan-25,Pending,Online,ST067,UrbanCart Houston,South,Houston,TX,South,Standard,Thomas Brown,thomas.brown@urbancart.com,14-Apr-21,P036,Dining Set,Furniture,Dining,HomeStyle,FurnitureCo,550,330,35,Wood,,12,3,6,1,5,7,40,Credit Card,Corporate,C345,Gold,REP011,Not Returned,,0,40,330,550,27.5,522.5,36.58,559.08,Pending,5,No,No,0,,,WH05,In Stock,Clean</t>
  </si>
  <si>
    <t>ORD020,25-Jan-25,28-Jan-25,Delivered,In-Store,ST091,UrbanCart Portland,West,Portland,OR,West,Standard,Sarah Williams,sarah.williams@urbancart.com,25-Feb-23,P005,Gaming Mouse,Electronics,Gaming,Razer,GamerGear,80,44,0.25,Black,,40,10,2,2,0,5,5,Debit Card,Individual,C089,Bronze,REP012,Not Returned,,0,45,88,160,0,160,8,168,Delivered,3,No,No,0,,,WH01,In Stock,Clean</t>
  </si>
  <si>
    <t>ORD021,25-Jan-25,30-Jan-25,Shipped,Online,ST056,UrbanCart Detroit,Central,Detroit,MI,Central,Standard,Patricia Miller,patricia.miller@urbancart.com,30-Nov-22,P051,Protein Powder,Fitness,Supplements,GainWell,HealthInc,60,33,1.2,Chocolate,,45,10,2,2,0,5,5,PayPal,Individual,C201,Silver,REP009,Not Returned,,0,45,66,120,0,120,6,126,Shipped,5,No,No,0,,,WH04,In Stock,Clean</t>
  </si>
  <si>
    <t>ORD022,26-Jan-25,29-Jan-25,Delivered,In-Store,ST102,UrbanCart Columbus,Central,Columbus,OH,Central,Standard,James Wilson,james.wilson@urbancart.com,17-Apr-23,P017,LED TV,Electronics,Home Theater,Samsung,ElectroDistro,800,480,15,Black,55-inch,15,4,4,1,20,7,50,Credit Card,Corporate,C312,Platinum,REP003,Not Returned,,0,40,480,800,160,640,44.8,684.8,Delivered,3,Yes,No,0,PROMO25,Clearance,WH01,In Stock,Clean</t>
  </si>
  <si>
    <t>ORD023,26-Jan-25,31-Jan-25,Delivered,Online,ST045,UrbanCart Austin,South,Austin,TX,South,Standard,Lisa Rodriguez,lisa.rodriguez@urbancart.com,15-Jun-21,P029,Bluetooth Speaker,Electronics,Audio,SoundCo,TechDistro,95,52,0.8,Black,,35,8,2,1,0,6,8,Bank Transfer,Individual,C156,Silver,REP008,Not Returned,,0,45.26,52,95,0,95,5.7,100.7,Delivered,5,No,No,0,PROMO10,,WH01,Low Stock,Clean</t>
  </si>
  <si>
    <t>ORD024,27-Jan-25,30-Jan-25,Delivered,In-Store,ST112,UrbanCart Seattle,West,Seattle,WA,West,Standard,Jennifer Wong,jennifer.wong@urbancart.com,05-Nov-20,P040,Hoodie,Apparel,Clothing,FashionFit,TextileCo,45,23,0.6,Gray,L,80,20,2,3,0,5,5,Cash,Individual,C234,Gold,REP015,Not Returned,,0,48.89,69,135,0,135,6.75,141.75,Delivered,3,No,No,0,,,WH03,In Stock,Clean</t>
  </si>
  <si>
    <t>ORD025,27-Jan-25,01-Feb-25,Pending,Online,ST023,UrbanCart Boston,East,Boston,MA,East,Flagship,David Kim,david.kim@urbancart.com,12-Feb-19,P057,Dumbbell Set,Fitness,Equipment,StrengthPro,SportsInc,150,83,20,Black,20lb,20,5,3,1,0,6,15,Credit Card,Corporate,C001,Platinum,REP005,Not Returned,,0,44.67,83,150,0,150,9,159,Pending,5,No,No,0,,,WH04,In Stock,Clean</t>
  </si>
  <si>
    <t>ORD026,28-Jan-25,31-Jan-25,Delivered,In-Store,ST089,UrbanCart Miami,South,Miami,FL,South,Standard,Carlos Mendez,carlos.mendez@urbancart.com,10-Sep-22,P014,Cookware Set,Home,Kitchen,MasterChef,HomeGoods,150,83,5.5,Stainless,,25,6,3,1,5,6,12,Debit Card,Individual,C045,Silver,REP010,Returned,Damaged,15,44.67,83,150,7.5,142.5,8.55,151.05,Delivered,3,No,No,0,PROMO15,NewYear,WH02,In Stock,Clean</t>
  </si>
  <si>
    <t>ORD027,28-Jan-25,02-Feb-25,Delivered,Online,ST001,UrbanCart Phoenix,West,Phoenix,AZ,West,Flagship,Michael Chen,michael.chen@urbancart.com,01-Mar-20,P049,Desk Organizer,Office,Accessories,OfficePro,OfficeSupply,28,14,0.5,Black,,100,25,1,5,0,5,4,PayPal,Individual,C267,Bronze,REP014,Not Returned,,0,50,70,140,0,140,7,147,Delivered,5,No,Yes,5,PROMO05,BulkDiscount,WH05,In Stock,Clean</t>
  </si>
  <si>
    <t>ORD028,29-Jan-25,01-Feb-25,Delivered,In-Store,ST078,UrbanCart Chicago,Central,Chicago,IL,Central,Flagship,Robert Johnson,robert.johnson@urbancart.com,20-Aug-18,P025,Electric Kettle,Home,Appliances,HeatFast,HomeGoods,45,24,1.2,White,,40,10,2,2,0,5,6,Credit Card,Individual,C089,Bronze,REP012,Not Returned,,0,46.67,48,90,0,90,4.5,94.5,Delivered,3,No,No,0,,,WH02,In Stock,Clean</t>
  </si>
  <si>
    <t>ORD029,29-Jan-25,03-Feb-25,Shipped,Online,ST034,UrbanCart Denver,West,Denver,CO,West,Standard,Amanda Martinez,amanda.martinez@urbancart.com,03-Jul-22,P059,Resistance Bands,Fitness,Accessories,FlexFit,SportsInc,25,13,0.5,Green,,70,15,1,3,0,5,3,Debit Card,Individual,C178,Bronze,REP007,Not Returned,,0,48,39,75,0,75,3.75,78.75,Shipped,5,No,No,0,,,WH04,In Stock,Clean</t>
  </si>
  <si>
    <t>ORD030,30-Jan-25,02-Feb-25,Delivered,In-Store,ST067,UrbanCart Houston,South,Houston,TX,South,Standard,Thomas Brown,thomas.brown@urbancart.com,14-Apr-21,P009,Printer,Electronics,Office,PrintMaster,OfficeSupply,220,132,8.5,Black,,18,4,3,1,0,7,15,Bank Transfer,Corporate,C345,Gold,REP011,Not Returned,,0,40,132,220,0,220,15.4,235.4,Delivered,3,No,No,0,PROMO10,Winter Sale,WH01,In Stock,Clean</t>
  </si>
  <si>
    <t>ORD031,30-Jan-25,04-Feb-25,Delivered,Online,ST091,UrbanCart Portland,West,Portland,OR,West,Standard,Sarah Williams,sarah.williams@urbancart.com,25-Feb-23,P032,Jeans,Apparel,Clothing,FashionFit,TextileCo,60,31,0.7,Blue,32,55,12,2,2,10,5,7,Credit Card,Individual,C156,Silver,REP008,Not Returned,,0,48.33,62,120,12,108,5.4,113.4,Delivered,5,No,No,0,PROMO20,,WH03,In Stock,Clean</t>
  </si>
  <si>
    <t>ORD032,31-Jan-25,03-Feb-25,Delivered,In-Store,ST056,UrbanCart Detroit,Central,Detroit,MI,Central,Standard,Patricia Miller,patricia.miller@urbancart.com,30-Nov-22,P018,Air Purifier,Home,Appliances,CleanAir,HomeGoods,200,114,4.5,White,,15,3,3,1,5,6,15,Cash,Corporate,C312,Platinum,REP003,Not Returned,,0,43,114,200,10,190,11.4,201.4,Delivered,3,Yes,No,0,PROMO15,NewYear,WH02,In Stock,Clean</t>
  </si>
  <si>
    <t>ORD033,31-Jan-25,05-Feb-25,Pending,Online,ST102,UrbanCart Columbus,Central,Columbus,OH,Central,Standard,James Wilson,james.wilson@urbancart.com,17-Apr-23,P046,Soccer Ball,Fitness,Sports,GoalMax,SportsInc,30,16,0.8,White,,50,12,1,2,0,5,5,PayPal,Individual,C089,Bronze,REP012,Not Returned,,0,46.67,32,60,0,60,3,63,Pending,5,No,No,0,,,WH04,In Stock,Clean</t>
  </si>
  <si>
    <t>ORD034,01-Feb-25,04-Feb-25,Delivered,In-Store,ST045,UrbanCart Austin,South,Austin,TX,South,Standard,Lisa Rodriguez,lisa.rodriguez@urbancart.com,15-Jun-21,P011,Monitor 24,Electronics,Computers,Dell,TechDistro,180,104,3.5,Black,24-inch,12,3,2,1,0,7,15,Debit Card,Corporate,C001,Platinum,REP005,Not Returned,,0,42.22,104,180,0,180,12.6,192.6,Delivered,3,No,No,0,,,WH01,In Stock,Clean</t>
  </si>
  <si>
    <t>ORD035,01-Feb-25,06-Feb-25,Delivered,Online,ST112,UrbanCart Seattle,West,Seattle,WA,West,Standard,Jennifer Wong,jennifer.wong@urbancart.com,05-Nov-20,P053,Sweater,Apparel,Clothing,FashionFit,WearCo,55,29,0.5,Red,M,45,10,2,1,5,5,6,Credit Card,Individual,C267,Bronze,REP014,Not Returned,,0,47.27,29,55,2.75,52.25,2.61,54.86,Delivered,5,No,No,0,PROMO10,,WH03,In Stock,Clean</t>
  </si>
  <si>
    <t>ORD036,02-Feb-25,05-Feb-25,Delivered,In-Store,ST023,UrbanCart Boston,East,Boston,MA,East,Flagship,David Kim,david.kim@urbancart.com,12-Feb-19,P020,Food Processor,Home,Kitchen,KitchenAid,HomeGoods,140,77,4.2,Silver,,22,5,3,1,0,6,12,Bank Transfer,Individual,C156,Silver,REP008,Not Returned,,0,45,77,140,0,140,8.4,148.4,Delivered,3,No,No,0,,,WH02,In Stock,Clean</t>
  </si>
  <si>
    <t>ORD037,02-Feb-25,07-Feb-25,Shipped,Online,ST089,UrbanCart Miami,South,Miami,FL,South,Standard,Carlos Mendez,carlos.mendez@urbancart.com,10-Sep-22,P006,Wireless Earbuds,Electronics,Audio,SoundBud,TechDistro,125,69,0.1,White,,28,6,2,1,0,6,5,PayPal,Individual,C045,Silver,REP010,Not Returned,,0,44.8,69,125,0,125,7.5,132.5,Shipped,5,No,No,0,PROMO15,NewYear,WH01,Low Stock,Clean</t>
  </si>
  <si>
    <t>ORD038,03-Feb-25,06-Feb-25,Delivered,In-Store,ST001,UrbanCart Phoenix,West,Phoenix,AZ,West,Flagship,Michael Chen,michael.chen@urbancart.com,01-Mar-20,P035,Throw Pillow,Home,Decor,CozyHome,HomeGoods,25,13,0.4,Beige,,60,15,1,4,0,5,3,Cash,Individual,C178,Bronze,REP007,Not Returned,,0,48,52,100,0,100,5,105,Delivered,3,No,No,0,,,WH02,In Stock,Clean</t>
  </si>
  <si>
    <t>ORD039,03-Feb-25,08-Feb-25,Delivered,Online,ST078,UrbanCart Chicago,Central,Chicago,IL,Central,Flagship,Robert Johnson,robert.johnson@urbancart.com,20-Aug-18,P058,Weighing Scale,Fitness,Equipment,AccuMeasure,HealthInc,45,25,1.2,Black,,35,8,2,1,0,5,6,Credit Card,Corporate,C234,Gold,REP015,Not Returned,,0,44.44,25,45,0,45,2.25,47.25,Delivered,5,No,No,0,,,WH04,In Stock,Clean</t>
  </si>
  <si>
    <t>ORD040,04-Feb-25,07-Feb-25,Delivered,In-Store,ST034,UrbanCart Denver,West,Denver,CO,West,Standard,Amanda Martinez,amanda.martinez@urbancart.com,03-Jul-22,P028,Sandals,Apparel,Footwear,FashionFit,ShoeCo,40,21,0.6,Brown,9,50,12,2,2,0,5,4,Debit Card,Individual,C089,Bronze,REP012,Not Returned,,0,47.5,42,80,0,80,4,84,Delivered,3,No,No,0,,,WH03,In Stock,Clean</t>
  </si>
  <si>
    <t>ORD041,04-Feb-25,09-Feb-25,Pending,Online,ST067,UrbanCart Houston,South,Houston,TX,South,Standard,Thomas Brown,thomas.brown@urbancart.com,14-Apr-21,P013,Bookshelf,Furniture,Storage,HomeStyle,FurnitureCo,180,104,18,White,,10,2,5,1,5,7,25,Credit Card,Corporate,C312,Platinum,REP003,Not Returned,,0,42.22,104,180,9,171,11.97,182.97,Pending,5,No,No,0,PROMO20,FurnitureSale,WH05,In Stock,Clean</t>
  </si>
  <si>
    <t>ORD042,05-Feb-25,08-Feb-25,Delivered,In-Store,ST091,UrbanCart Portland,West,Portland,OR,West,Standard,Sarah Williams,sarah.williams@urbancart.com,25-Feb-23,P041,Face Cream,Personal Care,Beauty,GlowUp,BeautyCo,32,17,0.2,White,,70,15,1,3,0,5,3,PayPal,Individual,C156,Silver,REP008,Not Returned,,0,46.88,51,96,0,96,4.8,100.8,Delivered,3,No,No,0,,,WH07,In Stock,Clean</t>
  </si>
  <si>
    <t>ORD043,05-Feb-25,10-Feb-25,Delivered,Online,ST056,UrbanCart Detroit,Central,Detroit,MI,Central,Standard,Patricia Miller,patricia.miller@urbancart.com,30-Nov-22,P033,Hiking Boots,Fitness,Footwear,SportMax,AthleticInc,145,80,2.2,Brown,10,25,5,3,1,10,6,12,Credit Card,Individual,C267,Bronze,REP014,Not Returned,,0,44.83,80,145,14.5,130.5,7.83,138.33,Delivered,5,No,No,0,PROMO10,Winter Sale,WH04,In Stock,Clean</t>
  </si>
  <si>
    <t>ORD044,06-Feb-25,09-Feb-25,Delivered,In-Store,ST102,UrbanCart Columbus,Central,Columbus,OH,Central,Standard,James Wilson,james.wilson@urbancart.com,17-Apr-23,P050,Wall Art,Home,Decor,ArtisticHome,HomeGoods,85,45,2.1,Blue,,20,5,2,2,0,6,8,Debit Card,Individual,C045,Silver,REP010,Not Returned,,0,47.06,90,170,0,170,10.2,180.2,Delivered,3,No,No,0,,,WH02,In Stock,Clean</t>
  </si>
  <si>
    <t>ORD045,06-Feb-25,11-Feb-25,Shipped,Online,ST045,UrbanCart Austin,South,Austin,TX,South,Standard,Lisa Rodriguez,lisa.rodriguez@urbancart.com,15-Jun-21,P016,External HDD,Electronics,Computers,DataSafe,TechDistro,110,61,0.4,Black,2TB,30,8,2,2,5,5,6,Bank Transfer,Corporate,C345,Gold,REP011,Not Returned,,0,44.55,122,220,11,209,10.45,219.45,Shipped,5,Yes,No,0,PROMO15,NewYear,WH01,In Stock,Clean</t>
  </si>
  <si>
    <t>ORD046,07-Feb-25,10-Feb-25,Delivered,In-Store,ST112,UrbanCart Seattle,West,Seattle,WA,West,Standard,Jennifer Wong,jennifer.wong@urbancart.com,05-Nov-20,P060,Yoga Pants,Fitness,Clothing,FlexFit,SportsInc,48,25,0.5,Black,M,65,15,2,2,0,6,4,Cash,Individual,C089,Bronze,REP012,Not Returned,,0,47.92,50,96,0,96,5.76,101.76,Delivered,3,No,No,0,,,WH04,In Stock,Clean</t>
  </si>
  <si>
    <t>ORD047,07-Feb-25,12-Feb-25,Delivered,Online,ST023,UrbanCart Boston,East,Boston,MA,East,Flagship,David Kim,david.kim@urbancart.com,12-Feb-19,P004,Smartphone,Electronics,Mobile,TechBrand,InfiniteSys,900,540,0.3,Black,128GB,20,5,2,1,5,8,10,Credit Card,Corporate,C001,Platinum,REP005,Not Returned,,0,40,540,900,45,855,68.4,923.4,Delivered,5,No,No,0,PROMO25,Clearance,WH01,In Stock,Clean</t>
  </si>
  <si>
    <t>ORD048,08-Feb-25,11-Feb-25,Delivered,In-Store,ST089,UrbanCart Miami,South,Miami,FL,South,Standard,Carlos Mendez,carlos.mendez@urbancart.com,10-Sep-22,P027,Bath Towels,Home,Bath,SoftTouch,HomeGoods,18,9,0.8,White,,150,30,2,6,0,5,4,Debit Card,Individual,C178,Bronze,REP007,Not Returned,,0,50,54,108,0,108,5.4,113.4,Delivered,3,No,Yes,10,PROMO05,BulkDiscount,WH02,In Stock,Clean</t>
  </si>
  <si>
    <t>ORD049,08-Feb-25,13-Feb-25,Pending,Online,ST001,UrbanCart Phoenix,West,Phoenix,AZ,West,Flagship,Michael Chen,michael.chen@urbancart.com,01-Mar-20,P039,Suitcase,Accessories,Luggage,TravelMax,AccessoryCo,110,60,3.5,Black,22-inch,18,4,3,1,0,6,12,PayPal,Corporate,C234,Gold,REP015,Not Returned,,0,45.45,60,110,0,110,6.6,116.6,Pending,5,No,No,0,,,WH03,In Stock,Clean</t>
  </si>
  <si>
    <t>ORD050,09-Feb-25,12-Feb-25,Delivered,In-Store,ST078,UrbanCart Chicago,Central,Chicago,IL,Central,Flagship,Robert Johnson,robert.johnson@urbancart.com,20-Aug-18,P022,Paper Shredder,Office,Equipment,SecureCut,OfficeSupply,95,52,3.2,Black,,15,4,2,1,0,6,8,Credit Card,Corporate,C312,Platinum,REP003,Not Returned,,0,45.26,52,95,0,95,5.7,100.7,Delivered,3,No,No,0,,,WH05,In Stock,Clean</t>
  </si>
  <si>
    <t>ORD051,09-Feb-25,14-Feb-25,Delivered,Online,ST034,UrbanCart Denver,West,Denver,CO,West,Standard,Amanda Martinez,amanda.martinez@urbancart.com,03-Jul-22,P047,Cereal Box,Food,Grocery,HealthyLife,FoodDistro,6,3,0.5,,,500,100,1,12,0,4,2,Debit Card,Individual,C156,Silver,REP008,Not Returned,,0,50,36,72,0,72,2.88,74.88,Delivered,5,No,Yes,15,PROMO05,BulkDiscount,WH08,In Stock,Clean</t>
  </si>
  <si>
    <t>ORD052,10-Feb-25,13-Feb-25,Delivered,In-Store,ST067,UrbanCart Houston,South,Houston,TX,South,Standard,Thomas Brown,thomas.brown@urbancart.com,14-Apr-21,P054,Necklace,Jewelry,Fashion,SparkleCo,AccessoryCo,85,45,0.1,Gold,,25,5,2,1,0,6,3,Cash,Individual,C089,Bronze,REP012,Returned,Defective,25,47.06,45,85,0,85,5.1,90.1,Delivered,3,No,No,0,PROMO10,,WH07,Low Stock,Clean</t>
  </si>
  <si>
    <t>ORD053,10-Feb-25,15-Feb-25,Shipped,Online,ST091,UrbanCart Portland,West,Portland,OR,West,Standard,Sarah Williams,sarah.williams@urbancart.com,25-Feb-23,P024,Cutting Board,Home,Kitchen,WoodCraft,HomeGoods,35,18,1.2,Wood,,60,15,2,2,5,5,5,Credit Card,Individual,C045,Silver,REP010,Not Returned,,0,48.57,36,70,3.5,66.5,3.33,69.83,Shipped,5,No,No,0,PROMO15,NewYear,WH02,In Stock,Clean</t>
  </si>
  <si>
    <t>ORD054,11-Feb-25,14-Feb-25,Delivered,In-Store,ST056,UrbanCart Detroit,Central,Detroit,MI,Central,Standard,Patricia Miller,patricia.miller@urbancart.com,30-Nov-22,P037,Rice Cooker,Home,Appliances,RiceMaster,HomeGoods,75,41,2.5,White,,22,5,2,1,0,6,8,Bank Transfer,Corporate,C001,Platinum,REP005,Not Returned,,0,45.33,41,75,0,75,4.5,79.5,Delivered,3,No,No,0,,,WH02,In Stock,Clean</t>
  </si>
  <si>
    <t>ORD055,11-Feb-25,16-Feb-25,Delivered,Online,ST102,UrbanCart Columbus,Central,Columbus,OH,Central,Standard,James Wilson,james.wilson@urbancart.com,17-Apr-23,P052,Shampoo,Personal Care,Hair,PureSilk,BeautyCo,12,6,0.4,White,,200,40,1,8,0,5,3,PayPal,Individual,C267,Bronze,REP014,Not Returned,,0,50,48,96,0,96,4.8,100.8,Delivered,5,No,Yes,5,PROMO05,BulkDiscount,WH07,In Stock,Clean</t>
  </si>
  <si>
    <t>ORD056,12-Feb-25,15-Feb-25,Delivered,In-Store,ST045,UrbanCart Austin,South,Austin,TX,South,Standard,Lisa Rodriguez,lisa.rodriguez@urbancart.com,15-Jun-21,P003,Wireless Keyboard,Electronics,Accessories,LogiTech,TechDistro,70,38,0.2,Black,,45,10,2,2,0,5,4,Credit Card,Individual,C178,Bronze,REP007,Not Returned,,0,45.71,76,140,0,140,7,147,Delivered,3,No,No,0,,,WH01,In Stock,Clean</t>
  </si>
  <si>
    <t>ORD057,12-Feb-25,17-Feb-25,Pending,Online,ST112,UrbanCart Seattle,West,Seattle,WA,West,Standard,Jennifer Wong,jennifer.wong@urbancart.com,05-Nov-20,P044,Wine Glasses,Home,Kitchen,CrystalClear,HomeGoods,30,16,0.5,Clear,,80,20,2,4,0,6,6,Debit Card,Corporate,C345,Gold,REP011,Not Returned,,0,46.67,64,120,0,120,7.2,127.2,Pending,5,No,No,0,,,WH02,In Stock,Clean</t>
  </si>
  <si>
    <t>ORD058,13-Feb-25,16-Feb-25,Delivered,In-Store,ST023,UrbanCart Boston,East,Boston,MA,East,Flagship,David Kim,david.kim@urbancart.com,12-Feb-19,P056,Football,Fitness,Sports,GoalMax,SportsInc,28,15,0.9,Brown,,40,10,1,3,0,5,4,Cash,Individual,C089,Bronze,REP012,Not Returned,,0,46.43,45,84,0,84,4.2,88.2,Delivered,3,No,No,0,,,WH04,In Stock,Clean</t>
  </si>
  <si>
    <t>ORD059,13-Feb-25,18-Feb-25,Delivered,Online,ST089,UrbanCart Miami,South,Miami,FL,South,Standard,Carlos Mendez,carlos.mendez@urbancart.com,10-Sep-22,P030,Belt,Accessories,Clothing,LeatherCo,AccessoryCo,40,21,0.2,Brown,32,55,12,1,2,0,5,3,PayPal,Individual,C156,Silver,REP008,Not Returned,,0,47.5,42,80,0,80,4,84,Delivered,5,No,No,0,PROMO10,Winter Sale,WH03,In Stock,Clean</t>
  </si>
  <si>
    <t>ORD060,14-Feb-25,17-Feb-25,Delivered,In-Store,ST001,UrbanCart Phoenix,West,Phoenix,AZ,West,Flagship,Michael Chen,michael.chen@urbancart.com,01-Mar-20,P043,Frying Pan,Home,Kitchen,NonStickPro,HomeGoods,45,24,1.2,Black,12-inch,35,8,2,2,0,6,4,Credit Card,Individual,C045,Silver,REP010,Not Returned,,0,46.67,48,90,0,90,5.4,95.4,Delivered,3,No,No,0,,,WH02,In Stock,Clean</t>
  </si>
  <si>
    <t>ORD061,14-Feb-25,19-Feb-25,Shipped,Online,ST078,UrbanCart Chicago,Central,Chicago,IL,Central,Flagship,Robert Johnson,robert.johnson@urbancart.com,20-Aug-18,P061,Tablet Case,Electronics,Accessories,ProtectPlus,TechDistro,35,18,0.2,Black,10-inch,60,15,1,2,0,5,3,Bank Transfer,Corporate,C234,Gold,REP015,Not Returned,,0,48.57,36,70,0,70,3.5,73.5,Shipped,5,No,No,0,,,WH01,In Stock,Clean</t>
  </si>
  <si>
    <t>ORD062,15-Feb-25,18-Feb-25,Delivered,In-Store,ST034,UrbanCart Denver,West,Denver,CO,West,Standard,Amanda Martinez,amanda.martinez@urbancart.com,03-Jul-22,P062,Plant Pot,Home,Garden,GreenThumb,HomeGoods,22,11,1.2,Terra,6-inch,45,10,2,3,0,5,4,Debit Card,Individual,C267,Bronze,REP014,Not Returned,,0,50,33,66,0,66,3.3,69.3,Delivered,3,No,No,0,,,WH02,In Stock,Clean</t>
  </si>
  <si>
    <t>ORD063,15-Feb-25,20-Feb-25,Delivered,Online,ST067,UrbanCart Houston,South,Houston,TX,South,Standard,Thomas Brown,thomas.brown@urbancart.com,14-Apr-21,P063,USB Flash Drive,Electronics,Computers,DataSafe,TechDistro,18,9,0.05,Black,64GB,200,40,1,5,0,5,2,Cash,Corporate,C312,Platinum,REP003,Not Returned,,0,50,45,90,0,90,4.5,94.5,Delivered,5,No,Yes,0,PROMO05,BulkDiscount,WH01,In Stock,Clean</t>
  </si>
  <si>
    <t>ORD064,16-Feb-25,19-Feb-25,Delivered,In-Store,ST091,UrbanCart Portland,West,Portland,OR,West,Standard,Sarah Williams,sarah.williams@urbancart.com,25-Feb-23,P064,Microwave,Home,Appliances,HeatWave,HomeGoods,110,63,12,White,,18,4,3,1,5,6,12,Credit Card,Individual,C089,Bronze,REP012,Not Returned,,0,42.73,63,110,5.5,104.5,6.27,110.77,Delivered,3,No,No,0,PROMO15,NewYear,WH02,In Stock,Clean</t>
  </si>
  <si>
    <t>ORD065,16-Feb-25,21-Feb-25,Pending,Online,ST056,UrbanCart Detroit,Central,Detroit,MI,Central,Standard,Patricia Miller,patricia.miller@urbancart.com,30-Nov-22,P065,Socks,Apparel,Clothing,FashionFit,TextileCo,8,4,0.1,White,One,400,80,1,15,0,4,2,PayPal,Individual,C156,Silver,REP008,Not Returned,,0,50,60,120,0,120,4.8,124.8,Pending,5,No,Yes,20,PROMO05,BulkDiscount,WH03,In Stock,Clean</t>
  </si>
  <si>
    <t>ORD066,17-Feb-25,20-Feb-25,Delivered,In-Store,ST102,UrbanCart Columbus,Central,Columbus,OH,Central,Standard,James Wilson,james.wilson@urbancart.com,17-Apr-23,P066,Car Vacuum,Automotive,Cleaning,PowerClean,AutoDistro,65,36,2.5,Black,,20,5,2,1,0,6,6,Debit Card,Corporate,C001,Platinum,REP005,Not Returned,,0,44.62,36,65,0,65,3.9,68.9,Delivered,3,No,No,0,,,WH09,In Stock,Clean</t>
  </si>
  <si>
    <t>ORD067,17-Feb-25,22-Feb-25,Delivered,Online,ST045,UrbanCart Austin,South,Austin,TX,South,Standard,Lisa Rodriguez,lisa.rodriguez@urbancart.com,15-Jun-21,P067,Candle Set,Home,Decor,Scentsy,HomeGoods,28,15,0.8,Various,,40,10,2,2,0,5,4,Credit Card,Individual,C178,Bronze,REP007,Not Returned,,0,46.43,30,56,0,56,2.8,58.8,Delivered,5,No,No,0,PROMO10,,WH02,In Stock,Clean</t>
  </si>
  <si>
    <t>ORD068,18-Feb-25,21-Feb-25,Delivered,In-Store,ST112,UrbanCart Seattle,West,Seattle,WA,West,Standard,Jennifer Wong,jennifer.wong@urbancart.com,05-Nov-20,P068,Dumbbells,Fitness,Equipment,StrengthPro,SportsInc,90,50,10,Black,15lb,15,4,2,1,5,6,8,Bank Transfer,Individual,C045,Silver,REP010,Not Returned,,0,44.44,50,90,4.5,85.5,5.13,90.63,Delivered,3,No,No,0,PROMO20,FurnitureSale,WH04,Low Stock,Clean</t>
  </si>
  <si>
    <t>ORD069,18-Feb-25,23-Feb-25,Shipped,Online,ST023,UrbanCart Boston,East,Boston,MA,East,Flagship,David Kim,david.kim@urbancart.com,12-Feb-19,P069,Bedsheet,Home,Bedding,ComfortHome,HomeGoods,55,30,1.2,Blue,Queen,30,7,2,2,0,6,5,Credit Card,Corporate,C345,Gold,REP011,Not Returned,,0,45.45,60,110,0,110,6.6,116.6,Shipped,5,Yes,No,0,,,WH02,In Stock,Clean</t>
  </si>
  <si>
    <t>ORD070,19-Feb-25,22-Feb-25,Delivered,In-Store,ST089,UrbanCart Miami,South,Miami,FL,South,Standard,Carlos Mendez,carlos.mendez@urbancart.com,10-Sep-22,P070,Router,Electronics,Networking,NetGear,TechDistro,95,53,1.2,Black,,15,4,2,1,0,6,8,Cash,Corporate,C234,Gold,REP015,Not Returned,,0,44.21,53,95,0,95,5.7,100.7,Delivered,3,No,No,0,,,WH01,In Stock,Clean</t>
  </si>
  <si>
    <t>ORD071,19-Feb-25,24-Feb-25,Delivered,Online,ST001,UrbanCart Phoenix,West,Phoenix,AZ,West,Flagship,Michael Chen,michael.chen@urbancart.com,01-Mar-20,P071,Sunglasses,Accessories,Eyewear,SunStyle,AccessoryCo,95,52,0.1,Black,One,25,5,2,1,5,6,3,PayPal,Individual,C089,Bronze,REP012,Returned,Style,47.5,45.26,52,95,4.75,90.25,5.42,95.67,Delivered,5,No,No,0,PROMO25,Clearance,WH03,In Stock,Clean</t>
  </si>
  <si>
    <t>ORD072,20-Feb-25,23-Feb-25,Delivered,In-Store,ST078,UrbanCart Chicago,Central,Chicago,IL,Central,Flagship,Robert Johnson,robert.johnson@urbancart.com,20-Aug-18,P072,Desk,Office,Furniture,OfficePro,OfficeSupply,220,128,25,Black,,8,2,4,1,0,7,25,Debit Card,Corporate,C312,Platinum,REP003,Not Returned,,0,41.82,128,220,0,220,15.4,235.4,Delivered,3,No,No,0,PROMO20,FurnitureSale,WH05,In Stock,Clean</t>
  </si>
  <si>
    <t>ORD073,20-Feb-25,25-Feb-25,Pending,Online,ST034,UrbanCart Denver,West,Denver,CO,West,Standard,Amanda Martinez,amanda.martinez@urbancart.com,03-Jul-22,P073,Tool Set,Home,Hardware,HandyMan,HomeGoods,120,67,4.5,,25,5,3,1,0,6,12,Credit Card,Corporate,C001,Platinum,REP005,Not Returned,,0,44.17,67,120,0,120,7.2,127.2,Pending,5,No,No,0,,,WH09,In Stock,Clean</t>
  </si>
  <si>
    <t>ORD074,21-Feb-25,24-Feb-25,Delivered,In-Store,ST067,UrbanCart Houston,South,Houston,TX,South,Standard,Thomas Brown,thomas.brown@urbancart.com,14-Apr-21,P074,Hair Straightener,Personal Care,Hair,StylePro,BeautyCo,65,36,1.1,Black,,28,6,2,1,0,6,5,Bank Transfer,Individual,C156,Silver,REP008,Not Returned,,0,44.62,36,65,0,65,3.9,68.9,Delivered,3,No,No,0,,,WH07,In Stock,Clean</t>
  </si>
  <si>
    <t>ORD075,21-Feb-25,26-Feb-25,Delivered,Online,ST091,UrbanCart Portland,West,Portland,OR,West,Standard,Sarah Williams,sarah.williams@urbancart.com,25-Feb-23,P075,Notebook,Office,Stationery,WriteWell,OfficeSupply,4,2,0.1,Blue,,500,100,1,25,0,4,2,PayPal,Individual,C267,Bronze,REP014,Not Returned,,0,50,50,100,0,100,4,104,Delivered,5,No,Yes,20,PROMO05,BulkDiscount,WH06,In Stock,Clean</t>
  </si>
  <si>
    <t>ORD076,22-Feb-25,25-Feb-25,Delivered,In-Store,ST056,UrbanCart Detroit,Central,Detroit,MI,Central,Standard,Patricia Miller,patricia.miller@urbancart.com,30-Nov-22,P076,Hand Vacuum,Home,Cleaning,DirtDevil,HomeGoods,55,30,2.5,Red,,20,5,2,1,5,5,5,Credit Card,Corporate,C345,Gold,REP011,Not Returned,,0,45.45,30,55,2.75,52.25,2.61,54.86,Delivered,3,No,No,0,PROMO15,NewYear,WH02,Low Stock,Clean</t>
  </si>
  <si>
    <t>ORD077,22-Feb-25,27-Feb-25,Shipped,Online,ST102,UrbanCart Columbus,Central,Columbus,OH,Central,Standard,James Wilson,james.wilson@urbancart.com,17-Apr-23,P077,Blender Bottle,Fitness,Accessories,ShakePro,SportsInc,15,8,0.2,Black,24oz,120,25,1,4,0,5,3,Debit Card,Individual,C089,Bronze,REP012,Not Returned,,0,46.67,32,60,0,60,3,63,Shipped,5,No,No,0,,,WH04,In Stock,Clean</t>
  </si>
  <si>
    <t>ORD078,23-Feb-25,26-Feb-25,Delivered,In-Store,ST045,UrbanCart Austin,South,Austin,TX,South,Standard,Lisa Rodriguez,lisa.rodriguez@urbancart.com,15-Jun-21,P078,Area Rug,Home,Decor,SoftStep,HomeGoods,140,79,6.5,Gray,5x7,12,3,3,1,0,6,15,Cash,Corporate,C234,Gold,REP015,Not Returned,,0,43.57,79,140,0,140,8.4,148.4,Delivered,3,No,No,0,,,WH02,In Stock,Clean</t>
  </si>
  <si>
    <t>ORD079,23-Feb-25,28-Feb-25,Delivered,Online,ST112,UrbanCart Seattle,West,Seattle,WA,West,Standard,Jennifer Wong,jennifer.wong@urbancart.com,05-Nov-20,P079,Webcam,Electronics,Computers,LogiTech,TechDistro,75,41,0.2,Black,,22,5,2,1,0,6,4,Credit Card,Individual,C045,Silver,REP010,Not Returned,,0,45.33,41,75,0,75,4.5,79.5,Delivered,5,No,No,0,PROMO10,Winter Sale,WH01,In Stock,Clean</t>
  </si>
  <si>
    <t>ORD080,24-Feb-25,27-Feb-25,Delivered,In-Store,ST023,UrbanCart Boston,East,Boston,MA,East,Flagship,David Kim,david.kim@urbancart.com,12-Feb-19,P080,Coffee Table,Furniture,Living,HomeStyle,FurnitureCo,200,116,15,Wood,,10,2,4,1,10,7,20,Bank Transfer,Corporate,C312,Platinum,REP003,Not Returned,,0,42,116,200,20,180,12.6,192.6,Delivered,3,Yes,No,0,PROMO20,FurnitureSale,WH05,In Stock,Clean</t>
  </si>
  <si>
    <t>ORD081,24-Feb-25,01-Mar-25,Pending,Online,ST089,UrbanCart Miami,South,Miami,FL,South,Standard,Carlos Mendez,carlos.mendez@urbancart.com,10-Sep-22,P081,Earrings,Jewelry,Fashion,SparkleCo,AccessoryCo,55,30,0.05,Silver,,35,8,1,2,0,6,2,PayPal,Individual,C156,Silver,REP008,Not Returned,,0,45.45,60,110,0,110,6.6,116.6,Pending,5,No,No,0,,,WH07,In Stock,Clean</t>
  </si>
  <si>
    <t>ORD082,25-Feb-25,28-Feb-25,Delivered,In-Store,ST001,UrbanCart Phoenix,West,Phoenix,AZ,West,Flagship,Michael Chen,michael.chen@urbancart.com,01-Mar-20,P082,Rain Jacket,Apparel,Outerwear,FashionFit,WearCo,85,46,0.8,Blue,L,30,7,2,1,5,6,5,Debit Card,Corporate,C001,Platinum,REP005,Not Returned,,0,45.88,46,85,4.25,80.75,4.85,85.6,Delivered,3,No,No,0,PROMO15,NewYear,WH03,In Stock,Clean</t>
  </si>
  <si>
    <t>ORD083,25-Feb-25,02-Mar-25,Delivered,Online,ST078,UrbanCart Chicago,Central,Chicago,IL,Central,Flagship,Robert Johnson,robert.johnson@urbancart.com,20-Aug-18,P083,Camera,Electronics,Photography,Canon,TechDistro,550,330,1.2,Black,,12,3,3,1,0,7,10,Credit Card,Corporate,C345,Gold,REP011,Not Returned,,0,40,330,550,0,550,38.5,588.5,Delivered,5,No,No,0,PROMO25,Clearance,WH01,In Stock,Clean</t>
  </si>
  <si>
    <t>ORD084,26-Feb-25,01-Mar-25,Delivered,In-Store,ST034,UrbanCart Denver,West,Denver,CO,West,Standard,Amanda Martinez,amanda.martinez@urbancart.com,03-Jul-22,P084,Wine Rack,Home,Kitchen,WineCellar,HomeGoods,45,24,2.5,Black,,18,4,2,2,0,6,6,Cash,Individual,C089,Bronze,REP012,Not Returned,,0,46.67,48,90,0,90,5.4,95.4,Delivered,3,No,No,0,,,WH02,In Stock,Clean</t>
  </si>
  <si>
    <t>ORD085,26-Feb-25,03-Mar-25,Shipped,Online,ST067,UrbanCart Houston,South,Houston,TX,South,Standard,Thomas Brown,thomas.brown@urbancart.com,14-Apr-21,P085,Pillows,Home,Bedding,ComfortHome,HomeGoods,35,19,0.8,White,Standard,45,10,2,2,0,5,5,PayPal,Corporate,C234,Gold,REP015,Not Returned,,0,45.71,38,70,0,70,3.5,73.5,Shipped,5,No,No,0,,,WH02,In Stock,Clean</t>
  </si>
  <si>
    <t>ORD086,27-Feb-25,02-Mar-25,Delivered,In-Store,ST091,UrbanCart Portland,West,Portland,OR,West,Standard,Sarah Williams,sarah.williams@urbancart.com,25-Feb-23,P086,GPS Tracker,Electronics,Automotive,TrackMaster,TechDistro,65,36,0.1,Black,,20,5,2,1,0,6,4,Debit Card,Individual,C156,Silver,REP008,Not Returned,,0,44.62,36,65,0,65,3.9,68.9,Delivered,3,No,No,0,PROMO10,,WH01,In Stock,Clean</t>
  </si>
  <si>
    <t>ORD087,27-Feb-25,04-Mar-25,Delivered,Online,ST056,UrbanCart Detroit,Central,Detroit,MI,Central,Standard,Patricia Miller,patricia.miller@urbancart.com,30-Nov-22,P087,Laundry Basket,Home,Storage,HomeHelp,HomeGoods,22,12,1.2,Blue,,35,8,1,2,0,5,4,Credit Card,Individual,C267,Bronze,REP014,Not Returned,,0,45.45,24,44,0,44,2.2,46.2,Delivered,5,No,No,0,,,WH02,In Stock,Clean</t>
  </si>
  <si>
    <t>ORD088,28-Feb-25,03-Mar-25,Delivered,In-Store,ST102,UrbanCart Columbus,Central,Columbus,OH,Central,Standard,James Wilson,james.wilson@urbancart.com,17-Apr-23,P088,Jump Rope,Fitness,Equipment,CardioMax,SportsInc,12,6,0.2,Black,,80,20,1,5,0,5,2,Bank Transfer,Individual,C045,Silver,REP010,Not Returned,,0,50,30,60,0,60,3,63,Delivered,3,No,No,0,,,WH04,In Stock,Clean</t>
  </si>
  <si>
    <t>ORD089,28-Feb-25,05-Mar-25,Pending,Online,ST045,UrbanCart Austin,South,Austin,TX,South,Standard,Lisa Rodriguez,lisa.rodriguez@urbancart.com,15-Jun-21,P089,Photo Frame,Home,Decor,Memories,HomeGoods,18,10,0.5,Wood,8x10,50,12,1,3,0,5,3,Credit Card,Corporate,C312,Platinum,REP003,Not Returned,,0,44.44,30,54,0,54,2.7,56.7,Pending,5,No,No,0,,,WH02,In Stock,Clean</t>
  </si>
  <si>
    <t>ORD090,01-Mar-25,04-Mar-25,Delivered,In-Store,ST112,UrbanCart Seattle,West,Seattle,WA,West,Standard,Jennifer Wong,jennifer.wong@urbancart.com,05-Nov-20,P090,Keyboard Piano,Electronics,Music,KeyNote,MusicDistro,180,104,8,Black,61-key,8,2,4,1,5,6,15,Cash,Individual,C089,Bronze,REP012,Not Returned,,0,42.22,104,180,9,171,10.26,181.26,Delivered,3,No,No,0,PROMO20,FurnitureSale,WH10,In Stock,Clean</t>
  </si>
  <si>
    <t>ORD091,01-Mar-25,06-Mar-25,Delivered,Online,ST023,UrbanCart Boston,East,Boston,MA,East,Flagship,David Kim,david.kim@urbancart.com,12-Feb-19,P091,Winter Gloves,Apparel,Accessories,FashionFit,TextileCo,22,12,0.2,Black,M,60,15,1,3,0,5,3,PayPal,Individual,C178,Bronze,REP007,Not Returned,,0,45.45,36,66,0,66,3.3,69.3,Delivered,5,No,No,0,PROMO10,Winter Sale,WH03,In Stock,Clean</t>
  </si>
  <si>
    <t>ORD092,02-Mar-25,05-Mar-25,Delivered,In-Store,ST089,UrbanCart Miami,South,Miami,FL,South,Standard,Carlos Mendez,carlos.mendez@urbancart.com,10-Sep-22,P092,Extension Cord,Electronics,Accessories,PowerPlus,ElectroDistro,15,8,0.3,White,10ft,100,20,1,6,0,5,2,Debit Card,Corporate,C001,Platinum,REP005,Not Returned,,0,46.67,48,90,0,90,4.5,94.5,Delivered,3,No,Yes,5,PROMO05,BulkDiscount,WH01,In Stock,Clean</t>
  </si>
  <si>
    <t>ORD093,02-Mar-25,07-Mar-25,Shipped,Online,ST001,UrbanCart Phoenix,West,Phoenix,AZ,West,Flagship,Michael Chen,michael.chen@urbancart.com,01-Mar-20,P093,Protein Bars,Food,Snacks,GainWell,FoodDistro,3,1.5,0.1,Chocolate,,1000,200,1,40,0,4,4,Credit Card,Individual,C156,Silver,REP008,Not Returned,,0,50,60,120,0,120,4.8,124.8,Shipped,5,No,Yes,25,PROMO05,BulkDiscount,WH08,In Stock,Clean</t>
  </si>
  <si>
    <t>ORD094,03-Mar-25,06-Mar-25,Delivered,In-Store,ST078,UrbanCart Chicago,Central,Chicago,IL,Central,Flagship,Robert Johnson,robert.johnson@urbancart.com,20-Aug-18,P094,Shower Curtain,Home,Bath,BathPro,HomeGoods,28,15,0.6,White,,40,10,2,2,0,5,4,Bank Transfer,Corporate,C345,Gold,REP011,Not Returned,,0,46.43,30,56,0,56,2.8,58.8,Delivered,3,No,No,0,,,WH02,In Stock,Clean</t>
  </si>
  <si>
    <t>ORD095,03-Mar-25,08-Mar-25,Delivered,Online,ST034,UrbanCart Denver,West,Denver,CO,West,Standard,Amanda Martinez,amanda.martinez@urbancart.com,03-Jul-22,P095,Electric Guitar,Electronics,Music,Strummer,MusicDistro,400,240,7,Red,,6,1,5,1,5,7,25,PayPal,Corporate,C234,Gold,REP015,Not Returned,,0,40,240,400,20,380,26.6,406.6,Delivered,5,Yes,No,0,PROMO25,Clearance,WH10,In Stock,Clean</t>
  </si>
  <si>
    <t>ORD096,04-Mar-25,07-Mar-25,Delivered,In-Store,ST067,UrbanCart Houston,South,Houston,TX,South,Standard,Thomas Brown,thomas.brown@urbancart.com,14-Apr-21,P096,Thermos,Fitness,Accessories,HotCold,SportsInc,22,12,0.5,Stainless,32oz,35,8,1,2,0,5,3,Debit Card,Individual,C089,Bronze,REP012,Not Returned,,0,45.45,24,44,0,44,2.2,46.2,Delivered,3,No,No,0,,,WH04,Low Stock,Clean</t>
  </si>
  <si>
    <t>ORD097,04-Mar-25,09-Mar-25,Pending,Online,ST091,UrbanCart Portland,West,Portland,OR,West,Standard,Sarah Williams,sarah.williams@urbancart.com,25-Feb-23,P097,Nightstand,Furniture,Bedroom,HomeStyle,FurnitureCo,130,75,12,White,,12,3,3,1,0,6,15,Credit Card,Corporate,C312,Platinum,REP003,Not Returned,,0,42.31,75,130,0,130,7.8,137.8,Pending,5,No,No,0,,,WH05,In Stock,Clean</t>
  </si>
  <si>
    <t>ORD098,05-Mar-25,08-Mar-25,Delivered,In-Store,ST056,UrbanCart Detroit,Central,Detroit,MI,Central,Standard,Patricia Miller,patricia.miller@urbancart.com,30-Nov-22,P098,Croissants,Food,Bakery,FrenchBake,FoodDistro,4,2,0.2,,,150,30,1,12,0,4,2,Cash,Individual,C045,Silver,REP010,Not Returned,,0,50,48,96,0,96,3.84,99.84,Delivered,3,No,Yes,10,PROMO05,BulkDiscount,WH08,In Stock,Clean</t>
  </si>
  <si>
    <t>ORD099,05-Mar-25,10-Mar-25,Delivered,Online,ST102,UrbanCart Columbus,Central,Columbus,OH,Central,Standard,James Wilson,james.wilson@urbancart.com,17-Apr-23,P099,Shoe Rack,Home,Storage,OrganizeIt,HomeGoods,45,25,3.5,Black,,18,4,2,1,0,6,6,PayPal,Corporate,C001,Platinum,REP005,Not Returned,,0,44.44,25,45,0,45,2.7,47.7,Delivered,5,No,No,0,PROMO10,Winter Sale,WH02,In Stock,Clean</t>
  </si>
  <si>
    <t>ORD100,06-Mar-25,09-Mar-25,Delivered,In-Store,ST045,UrbanCart Austin,South,Austin,TX,South,Standard,Lisa Rodriguez,lisa.rodriguez@urbancart.com,15-Jun-21,P100,Table Clock,Home,Decor,TimeWorks,HomeGoods,35,19,0.5,Silver,,25,5,1,1,5,6,3,Debit Card,Individual,C267,Bronze,REP014,Not Returned,,0,45.71,19,35,1.75,33.25,2,35.25,Delivered,3,No,No,0,PROMO15,NewYear,WH02,In Stock,Clean</t>
  </si>
  <si>
    <t>ORD101,06-Mar-25,11-Mar-25,Delivered,Online,ST112,UrbanCart Seattle,West,Seattle,WA,West,Standard,Jennifer Wong,jennifer.wong@urbancart.com,05-Nov-20,P101,Cutting Mat,Office,Stationery,ArtCraft,OfficeSupply,18,9,0.3,Green,A3,45,10,2,2,0,5,3,Credit Card,Individual,C156,Silver,REP008,Not Returned,,0,50,18,36,0,36,1.8,37.8,Delivered,5,No,No,0,,,WH06,In Stock,Clean</t>
  </si>
  <si>
    <t>ORD102,07-Mar-25,10-Mar-25,Delivered,In-Store,ST023,UrbanCart Boston,East,Boston,MA,East,Flagship,David Kim,david.kim@urbancart.com,12-Feb-19,P102,Pet Bed,Pets,Accessories,ComfyPet,PetCo,65,36,2.5,Gray,L,15,4,2,1,0,6,8,Bank Transfer,Corporate,C345,Gold,REP011,Not Returned,,0,44.62,36,65,0,65,3.9,68.9,Delivered,3,No,No,0,,,WH11,In Stock,Clean</t>
  </si>
  <si>
    <t>ORD103,07-Mar-25,12-Mar-25,Shipped,Online,ST089,UrbanCart Miami,South,Miami,FL,South,Standard,Carlos Mendez,carlos.mendez@urbancart.com,10-Sep-22,P103,USB Hub,Electronics,Computers,PortMaster,TechDistro,42,23,0.15,Black,4-port,40,10,1,2,0,5,4,PayPal,Individual,C089,Bronze,REP012,Not Returned,,0,45.24,46,84,0,84,4.2,88.2,Shipped,5,No,No,0,PROMO10,,WH01,In Stock,Clean</t>
  </si>
  <si>
    <t>ORD104,08-Mar-25,11-Mar-25,Delivered,In-Store,ST001,UrbanCart Phoenix,West,Phoenix,AZ,West,Flagship,Michael Chen,michael.chen@urbancart.com,01-Mar-20,P104,Wok,Home,Kitchen,NonStickPro,HomeGoods,55,30,2.2,Black,14-inch,20,5,2,1,5,6,5,Debit Card,Corporate,C001,Platinum,REP005,Not Returned,,0,45.45,30,55,2.75,52.25,3.14,55.39,Delivered,3,No,No,0,PROMO15,NewYear,WH02,In Stock,Clean</t>
  </si>
  <si>
    <t>ORD105,08-Mar-25,13-Mar-25,Delivered,Online,ST078,UrbanCart Chicago,Central,Chicago,IL,Central,Flagship,Robert Johnson,robert.johnson@urbancart.com,20-Aug-18,P105,Tie,Apparel,Accessories,FashionFit,TextileCo,28,15,0.1,Blue,One,45,10,1,2,0,5,3,Credit Card,Corporate,C234,Gold,REP015,Not Returned,,0,46.43,30,56,0,56,2.8,58.8,Delivered,5,No,No,0,,,WH03,In Stock,Clean</t>
  </si>
  <si>
    <t>ORD106,09-Mar-25,12-Mar-25,Delivered,In-Store,ST034,UrbanCart Denver,West,Denver,CO,West,Standard,Amanda Martinez,amanda.martinez@urbancart.com,03-Jul-22,P106,Facial Cleanser,Personal Care,Beauty,GlowUp,BeautyCo,24,13,0.3,White,,55,12,1,3,0,5,3,Cash,Individual,C178,Bronze,REP007,Not Returned,,0,45.83,39,72,0,72,3.6,75.6,Delivered,3,No,No,0,,,WH07,In Stock,Clean</t>
  </si>
  <si>
    <t>ORD107,09-Mar-25,14-Mar-25,Pending,Online,ST067,UrbanCart Houston,South,Houston,TX,South,Standard,Thomas Brown,thomas.brown@urbancart.com,14-Apr-21,P107,Memory Foam Pillow,Home,Bedding,ComfortHome,HomeGoods,48,26,1.2,White,Standard,25,6,2,2,5,6,5,PayPal,Individual,C045,Silver,REP010,Not Returned,,0,45.83,52,96,4.8,91.2,5.47,96.67,Pending,5,No,No,0,PROMO20,FurnitureSale,WH02,Low Stock,Clean</t>
  </si>
  <si>
    <t>ORD108,10-Mar-25,13-Mar-25,Delivered,In-Store,ST091,UrbanCart Portland,West,Portland,OR,West,Standard,Sarah Williams,sarah.williams@urbancart.com,25-Feb-23,P108,Cat Toy,Pets,Accessories,FurryFun,PetCo,8,4,0.1,Assorted,,150,30,1,6,0,5,2,Debit Card,Corporate,C312,Platinum,REP003,Not Returned,,0,50,24,48,0,48,2.4,50.4,Delivered,3,No,Yes,5,PROMO05,BulkDiscount,WH11,In Stock,Clean</t>
  </si>
  <si>
    <t>ORD109,10-Mar-25,15-Mar-25,Delivered,Online,ST056,UrbanCart Detroit,Central,Detroit,MI,Central,Standard,Patricia Miller,patricia.miller@urbancart.com,30-Nov-22,P109,Desk Lamp LED,Home,Lighting,LumiHome,HomeGoods,52,29,1.1,Black,,18,4,2,1,0,6,5,Credit Card,Corporate,C001,Platinum,REP005,Not Returned,,0,44.23,29,52,0,52,3.12,55.12,Delivered,5,No,No,0,PROMO10,Winter Sale,WH02,In Stock,Clean</t>
  </si>
  <si>
    <t>ORD110,11-Mar-25,14-Mar-25,Delivered,In-Store,ST102,UrbanCart Columbus,Central,Columbus,OH,Central,Standard,James Wilson,james.wilson@urbancart.com,17-Apr-23,P110,Basketball,Fitness,Sports,GoalMax,SportsInc,32,17,1.2,Orange,7,35,8,1,2,0,5,4,Bank Transfer,Individual,C089,Bronze,REP012,Not Returned,,0,46.88,34,64,0,64,3.2,67.2,Delivered,3,No,No,0,,,WH04,In Stock,Clean</t>
  </si>
  <si>
    <t>ORD111,11-Mar-25,16-Mar-25,Shipped,Online,ST045,UrbanCart Austin,South,Austin,TX,South,Standard,Lisa Rodriguez,lisa.rodriguez@urbancart.com,15-Jun-21,P111,Sandwich Maker,Home,Appliances,GrillMaster,HomeGoods,38,21,1.8,Black,,22,5,2,1,0,6,5,Credit Card,Individual,C156,Silver,REP008,Not Returned,,0,44.74,21,38,0,38,2.28,40.28,Shipped,5,No,No,0,,,WH02,In Stock,Clean</t>
  </si>
  <si>
    <t>ORD112,12-Mar-25,15-Mar-25,Delivered,In-Store,ST112,UrbanCart Seattle,West,Seattle,WA,West,Standard,Jennifer Wong,jennifer.wong@urbancart.com,05-Nov-20,P112,Dog Leash,Pets,Accessories,WalkWell,PetCo,18,10,0.3,Black,6ft,60,15,1,3,0,5,3,Debit Card,Corporate,C345,Gold,REP011,Not Returned,,0,44.44,30,54,0,54,2.7,56.7,Delivered,3,No,No,0,,,WH11,In Stock,Clean</t>
  </si>
  <si>
    <t>ORD113,12-Mar-25,17-Mar-25,Delivered,Online,ST023,UrbanCart Boston,East,Boston,MA,East,Flagship,David Kim,david.kim@urbancart.com,12-Feb-19,P113,Phone Stand,Electronics,Accessories,LogiTech,TechDistro,22,12,0.1,Black,,70,15,1,3,0,5,2,PayPal,Individual,C267,Bronze,REP014,Not Returned,,0,45.45,36,66,0,66,3.3,69.3,Delivered,5,No,No,0,PROMO10,,WH01,In Stock,Clean</t>
  </si>
  <si>
    <t>ORD114,13-Mar-25,16-Mar-25,Delivered,In-Store,ST089,UrbanCart Miami,South,Miami,FL,South,Standard,Carlos Mendez,carlos.mendez@urbancart.com,10-Sep-22,P114,Bath Mat,Home,Bath,SoftTouch,HomeGoods,22,12,0.6,Gray,,45,10,1,2,0,5,3,Cash,Individual,C045,Silver,REP010,Not Returned,,0,45.45,24,44,0,44,2.2,46.2,Delivered,3,No,No,0,,,WH02,In Stock,Clean</t>
  </si>
  <si>
    <t>ORD115,13-Mar-25,18-Mar-25,Pending,Online,ST001,UrbanCart Phoenix,West,Phoenix,AZ,West,Flagship,Michael Chen,michael.chen@urbancart.com,01-Mar-20,P115,Extension Tube,Electronics,Audio,SoundCo,TechDistro,16,9,0.1,Black,,45,10,1,3,0,5,2,Credit Card,Corporate,C234,Gold,REP015,Not Returned,,0,43.75,27,48,0,48,2.4,50.4,Pending,5,No,No,0,,,WH01,In Stock,Clean</t>
  </si>
  <si>
    <t>ORD116,14-Mar-25,17-Mar-25,Delivered,In-Store,ST078,UrbanCart Chicago,Central,Chicago,IL,Central,Flagship,Robert Johnson,robert.johnson@urbancart.com,20-Aug-18,P116,Grill Pan,Home,Kitchen,NonStickPro,HomeGoods,48,26,2.2,Black,10-inch,15,4,2,1,0,6,5,Bank Transfer,Corporate,C312,Platinum,REP003,Not Returned,,0,45.83,26,48,0,48,2.88,50.88,Delivered,3,No,No,0,PROMO15,NewYear,WH02,In Stock,Clean</t>
  </si>
  <si>
    <t>ORD117,14-Mar-25,19-Mar-25,Delivered,Online,ST034,UrbanCart Denver,West,Denver,CO,West,Standard,Amanda Martinez,amanda.martinez@urbancart.com,03-Jul-22,P117,Yoga Strap,Fitness,Accessories,FlexFit,SportsInc,15,8,0.2,Blue,8ft,55,12,1,4,0,5,2,PayPal,Individual,C089,Bronze,REP012,Not Returned,,0,46.67,32,60,0,60,3,63,Delivered,5,No,No,0,,,WH04,In Stock,Clean</t>
  </si>
  <si>
    <t>ORD118,15-Mar-25,18-Mar-25,Delivered,In-Store,ST067,UrbanCart Houston,South,Houston,TX,South,Standard,Thomas Brown,thomas.brown@urbancart.com,14-Apr-21,P118,Coffee Mug,Home,Kitchen,CeramicArt,HomeGoods,12,6,0.5,Blue,12oz,80,20,1,6,0,5,2,Debit Card,Individual,C156,Silver,REP008,Not Returned,,0,50,36,72,0,72,3.6,75.6,Delivered,3,No,Yes,5,PROMO05,BulkDiscount,WH02,In Stock,Clean</t>
  </si>
  <si>
    <t>ORD119,15-Mar-25,20-Mar-25,Shipped,Online,ST091,UrbanCart Portland,West,Portland,OR,West,Standard,Sarah Williams,sarah.williams@urbancart.com,25-Feb-23,P119,Wireless Charger,Electronics,Accessories,PowerPlus,TechDistro,35,19,0.1,White,,30,8,1,2,5,5,3,Credit Card,Individual,C178,Bronze,REP007,Not Returned,,0,45.71,38,70,3.5,66.5,3.33,69.83,Shipped,5,No,No,0,PROMO20,Clearance,WH01,Low Stock,Clean</t>
  </si>
  <si>
    <t>ORD120,16-Mar-25,19-Mar-25,Delivered,In-Store,ST056,UrbanCart Detroit,Central,Detroit,MI,Central,Standard,Patricia Miller,patricia.miller@urbancart.com,30-Nov-22,P120,Winter Scarf,Apparel,Accessories,FashionFit,WearCo,28,15,0.2,Gray,One,35,8,1,2,0,5,3,Cash,Corporate,C001,Platinum,REP005,Not Returned,,0,46.43,30,56,0,56,2.8,58.8,Delivered,3,No,No,0,PROMO10,Winter Sale,WH03,In Stock,Clean</t>
  </si>
  <si>
    <t>OrderID</t>
  </si>
  <si>
    <t>OrderDate</t>
  </si>
  <si>
    <t>DeliveryDate</t>
  </si>
  <si>
    <t>OrderStatus</t>
  </si>
  <si>
    <t>Channel</t>
  </si>
  <si>
    <t>StoreCode</t>
  </si>
  <si>
    <t>StoreName</t>
  </si>
  <si>
    <t>Region</t>
  </si>
  <si>
    <t>City</t>
  </si>
  <si>
    <t>State</t>
  </si>
  <si>
    <t>Zone</t>
  </si>
  <si>
    <t>StoreType</t>
  </si>
  <si>
    <t>Manager</t>
  </si>
  <si>
    <t>Contact</t>
  </si>
  <si>
    <t>OpeningDate</t>
  </si>
  <si>
    <t>ProductID</t>
  </si>
  <si>
    <t>ProductName</t>
  </si>
  <si>
    <t>Category</t>
  </si>
  <si>
    <t>SubCategory</t>
  </si>
  <si>
    <t>Brand</t>
  </si>
  <si>
    <t>Supplier</t>
  </si>
  <si>
    <t>UnitPrice</t>
  </si>
  <si>
    <t>CostPrice</t>
  </si>
  <si>
    <t>Weight</t>
  </si>
  <si>
    <t>Color</t>
  </si>
  <si>
    <t>Size</t>
  </si>
  <si>
    <t>StockLevel</t>
  </si>
  <si>
    <t>ReorderLevel</t>
  </si>
  <si>
    <t>LeadTime</t>
  </si>
  <si>
    <t>Quantity</t>
  </si>
  <si>
    <t>Discount%</t>
  </si>
  <si>
    <t>Tax%</t>
  </si>
  <si>
    <t>ShippingCost</t>
  </si>
  <si>
    <t>PaymentMethod</t>
  </si>
  <si>
    <t>CustomerType</t>
  </si>
  <si>
    <t>CustomerID</t>
  </si>
  <si>
    <t>CustomerTier</t>
  </si>
  <si>
    <t>SalesRep</t>
  </si>
  <si>
    <t>ReturnStatus</t>
  </si>
  <si>
    <t>ReturnReason</t>
  </si>
  <si>
    <t>RefundAmount</t>
  </si>
  <si>
    <t>ProfitMargin</t>
  </si>
  <si>
    <t>COGS</t>
  </si>
  <si>
    <t>GrossSales</t>
  </si>
  <si>
    <t>DiscountAmount</t>
  </si>
  <si>
    <t>NetSales</t>
  </si>
  <si>
    <t>TaxAmount</t>
  </si>
  <si>
    <t>TotalRevenue</t>
  </si>
  <si>
    <t>ShippingStatus</t>
  </si>
  <si>
    <t>DeliveryDays</t>
  </si>
  <si>
    <t>IsPriority</t>
  </si>
  <si>
    <t>IsBulkOrder</t>
  </si>
  <si>
    <t>BulkDiscount</t>
  </si>
  <si>
    <t>PromoCode</t>
  </si>
  <si>
    <t>Campaign</t>
  </si>
  <si>
    <t>WarehouseCode</t>
  </si>
  <si>
    <t>InventoryStatus</t>
  </si>
  <si>
    <t>DataQualityFlag</t>
  </si>
  <si>
    <t>ORD001</t>
  </si>
  <si>
    <t>Delivered</t>
  </si>
  <si>
    <t>Online</t>
  </si>
  <si>
    <t>ST001</t>
  </si>
  <si>
    <t>UrbanCart Phoenix</t>
  </si>
  <si>
    <t>West</t>
  </si>
  <si>
    <t>Phoenix</t>
  </si>
  <si>
    <t>AZ</t>
  </si>
  <si>
    <t>Flagship</t>
  </si>
  <si>
    <t>Michael Chen</t>
  </si>
  <si>
    <t>michael.chen@urbancart.com</t>
  </si>
  <si>
    <t>P001</t>
  </si>
  <si>
    <t>Laptop Pro 15</t>
  </si>
  <si>
    <t>Electronics</t>
  </si>
  <si>
    <t>Computers</t>
  </si>
  <si>
    <t>TechBrand</t>
  </si>
  <si>
    <t>InfiniteSys</t>
  </si>
  <si>
    <t>Silver</t>
  </si>
  <si>
    <t>15-inch</t>
  </si>
  <si>
    <t>Credit Card</t>
  </si>
  <si>
    <t>Corporate</t>
  </si>
  <si>
    <t>C001</t>
  </si>
  <si>
    <t>Platinum</t>
  </si>
  <si>
    <t>REP005</t>
  </si>
  <si>
    <t>Not Returned</t>
  </si>
  <si>
    <t>Yes</t>
  </si>
  <si>
    <t>No</t>
  </si>
  <si>
    <t>PROMO10</t>
  </si>
  <si>
    <t>Winter Sale</t>
  </si>
  <si>
    <t>WH01</t>
  </si>
  <si>
    <t>In Stock</t>
  </si>
  <si>
    <t>Clean</t>
  </si>
  <si>
    <t>ORD002</t>
  </si>
  <si>
    <t>In-Store</t>
  </si>
  <si>
    <t>ST045</t>
  </si>
  <si>
    <t>UrbanCart Austin</t>
  </si>
  <si>
    <t>South</t>
  </si>
  <si>
    <t>Austin</t>
  </si>
  <si>
    <t>TX</t>
  </si>
  <si>
    <t>Standard</t>
  </si>
  <si>
    <t>Lisa Rodriguez</t>
  </si>
  <si>
    <t>lisa.rodriguez@urbancart.com</t>
  </si>
  <si>
    <t>P023</t>
  </si>
  <si>
    <t>Cotton T-Shirt</t>
  </si>
  <si>
    <t>Apparel</t>
  </si>
  <si>
    <t>Clothing</t>
  </si>
  <si>
    <t>FashionFit</t>
  </si>
  <si>
    <t>TextileCo</t>
  </si>
  <si>
    <t>Blue</t>
  </si>
  <si>
    <t>M</t>
  </si>
  <si>
    <t>PayPal</t>
  </si>
  <si>
    <t>Individual</t>
  </si>
  <si>
    <t>C089</t>
  </si>
  <si>
    <t>Bronze</t>
  </si>
  <si>
    <t>REP012</t>
  </si>
  <si>
    <t>WH03</t>
  </si>
  <si>
    <t>ORD003</t>
  </si>
  <si>
    <t>ST089</t>
  </si>
  <si>
    <t>UrbanCart Miami</t>
  </si>
  <si>
    <t>Miami</t>
  </si>
  <si>
    <t>FL</t>
  </si>
  <si>
    <t>Carlos Mendez</t>
  </si>
  <si>
    <t>carlos.mendez@urbancart.com</t>
  </si>
  <si>
    <t>P008</t>
  </si>
  <si>
    <t>Blender Pro</t>
  </si>
  <si>
    <t>Home</t>
  </si>
  <si>
    <t>Kitchen</t>
  </si>
  <si>
    <t>KitchenAid</t>
  </si>
  <si>
    <t>HomeGoods</t>
  </si>
  <si>
    <t>Red</t>
  </si>
  <si>
    <t>Debit Card</t>
  </si>
  <si>
    <t>C156</t>
  </si>
  <si>
    <t>REP008</t>
  </si>
  <si>
    <t>PROMO15</t>
  </si>
  <si>
    <t>NewYear</t>
  </si>
  <si>
    <t>WH02</t>
  </si>
  <si>
    <t>Low Stock</t>
  </si>
  <si>
    <t>ORD004</t>
  </si>
  <si>
    <t>ST112</t>
  </si>
  <si>
    <t>UrbanCart Seattle</t>
  </si>
  <si>
    <t>Seattle</t>
  </si>
  <si>
    <t>WA</t>
  </si>
  <si>
    <t>Jennifer Wong</t>
  </si>
  <si>
    <t>jennifer.wong@urbancart.com</t>
  </si>
  <si>
    <t>P045</t>
  </si>
  <si>
    <t>Yoga Mat</t>
  </si>
  <si>
    <t>Fitness</t>
  </si>
  <si>
    <t>Equipment</t>
  </si>
  <si>
    <t>FlexFit</t>
  </si>
  <si>
    <t>SportsInc</t>
  </si>
  <si>
    <t>Purple</t>
  </si>
  <si>
    <t>C234</t>
  </si>
  <si>
    <t>Gold</t>
  </si>
  <si>
    <t>REP015</t>
  </si>
  <si>
    <t>WH04</t>
  </si>
  <si>
    <t>ORD005</t>
  </si>
  <si>
    <t>ST023</t>
  </si>
  <si>
    <t>UrbanCart Boston</t>
  </si>
  <si>
    <t>East</t>
  </si>
  <si>
    <t>Boston</t>
  </si>
  <si>
    <t>MA</t>
  </si>
  <si>
    <t>David Kim</t>
  </si>
  <si>
    <t>david.kim@urbancart.com</t>
  </si>
  <si>
    <t>P012</t>
  </si>
  <si>
    <t>Desk Chair</t>
  </si>
  <si>
    <t>Furniture</t>
  </si>
  <si>
    <t>Office</t>
  </si>
  <si>
    <t>ComfortSeat</t>
  </si>
  <si>
    <t>OfficeSupply</t>
  </si>
  <si>
    <t>Black</t>
  </si>
  <si>
    <t>Bank Transfer</t>
  </si>
  <si>
    <t>C312</t>
  </si>
  <si>
    <t>PROMO20</t>
  </si>
  <si>
    <t>FurnitureSale</t>
  </si>
  <si>
    <t>WH05</t>
  </si>
  <si>
    <t>ORD006</t>
  </si>
  <si>
    <t>ST078</t>
  </si>
  <si>
    <t>UrbanCart Chicago</t>
  </si>
  <si>
    <t>Central</t>
  </si>
  <si>
    <t>Chicago</t>
  </si>
  <si>
    <t>IL</t>
  </si>
  <si>
    <t>Robert Johnson</t>
  </si>
  <si>
    <t>robert.johnson@urbancart.com</t>
  </si>
  <si>
    <t>P031</t>
  </si>
  <si>
    <t>Smart Watch</t>
  </si>
  <si>
    <t>Wearables</t>
  </si>
  <si>
    <t>WearTech</t>
  </si>
  <si>
    <t>42mm</t>
  </si>
  <si>
    <t>C045</t>
  </si>
  <si>
    <t>REP010</t>
  </si>
  <si>
    <t>ORD007</t>
  </si>
  <si>
    <t>Shipped</t>
  </si>
  <si>
    <t>ST034</t>
  </si>
  <si>
    <t>UrbanCart Denver</t>
  </si>
  <si>
    <t>Denver</t>
  </si>
  <si>
    <t>CO</t>
  </si>
  <si>
    <t>Amanda Martinez</t>
  </si>
  <si>
    <t>amanda.martinez@urbancart.com</t>
  </si>
  <si>
    <t>P055</t>
  </si>
  <si>
    <t>Running Shoes</t>
  </si>
  <si>
    <t>Footwear</t>
  </si>
  <si>
    <t>SportMax</t>
  </si>
  <si>
    <t>AthleticInc</t>
  </si>
  <si>
    <t>C178</t>
  </si>
  <si>
    <t>REP007</t>
  </si>
  <si>
    <t>ORD008</t>
  </si>
  <si>
    <t>ST067</t>
  </si>
  <si>
    <t>UrbanCart Houston</t>
  </si>
  <si>
    <t>Houston</t>
  </si>
  <si>
    <t>Thomas Brown</t>
  </si>
  <si>
    <t>thomas.brown@urbancart.com</t>
  </si>
  <si>
    <t>P019</t>
  </si>
  <si>
    <t>Coffee Maker</t>
  </si>
  <si>
    <t>Appliances</t>
  </si>
  <si>
    <t>BrewMaster</t>
  </si>
  <si>
    <t>C201</t>
  </si>
  <si>
    <t>REP009</t>
  </si>
  <si>
    <t>ORD009</t>
  </si>
  <si>
    <t>ST091</t>
  </si>
  <si>
    <t>UrbanCart Portland</t>
  </si>
  <si>
    <t>Portland</t>
  </si>
  <si>
    <t>OR</t>
  </si>
  <si>
    <t>Sarah Williams</t>
  </si>
  <si>
    <t>sarah.williams@urbancart.com</t>
  </si>
  <si>
    <t>P038</t>
  </si>
  <si>
    <t>Winter Jacket</t>
  </si>
  <si>
    <t>Outerwear</t>
  </si>
  <si>
    <t>WearCo</t>
  </si>
  <si>
    <t>L</t>
  </si>
  <si>
    <t>C267</t>
  </si>
  <si>
    <t>REP014</t>
  </si>
  <si>
    <t>Returned</t>
  </si>
  <si>
    <t>Size Issue</t>
  </si>
  <si>
    <t>PROMO25</t>
  </si>
  <si>
    <t>Clearance</t>
  </si>
  <si>
    <t>ORD010</t>
  </si>
  <si>
    <t>ST056</t>
  </si>
  <si>
    <t>UrbanCart Detroit</t>
  </si>
  <si>
    <t>Detroit</t>
  </si>
  <si>
    <t>MI</t>
  </si>
  <si>
    <t>Patricia Miller</t>
  </si>
  <si>
    <t>patricia.miller@urbancart.com</t>
  </si>
  <si>
    <t>P007</t>
  </si>
  <si>
    <t>Wireless Mouse</t>
  </si>
  <si>
    <t>Accessories</t>
  </si>
  <si>
    <t>LogiTech</t>
  </si>
  <si>
    <t>TechDistro</t>
  </si>
  <si>
    <t>Cash</t>
  </si>
  <si>
    <t>C345</t>
  </si>
  <si>
    <t>REP011</t>
  </si>
  <si>
    <t>PROMO05</t>
  </si>
  <si>
    <t>ORD011</t>
  </si>
  <si>
    <t>Pending</t>
  </si>
  <si>
    <t>ST102</t>
  </si>
  <si>
    <t>UrbanCart Columbus</t>
  </si>
  <si>
    <t>Columbus</t>
  </si>
  <si>
    <t>OH</t>
  </si>
  <si>
    <t>James Wilson</t>
  </si>
  <si>
    <t>james.wilson@urbancart.com</t>
  </si>
  <si>
    <t>P026</t>
  </si>
  <si>
    <t>Desk Lamp</t>
  </si>
  <si>
    <t>Lighting</t>
  </si>
  <si>
    <t>LumiHome</t>
  </si>
  <si>
    <t>White</t>
  </si>
  <si>
    <t>ORD012</t>
  </si>
  <si>
    <t>P015</t>
  </si>
  <si>
    <t>Backpack</t>
  </si>
  <si>
    <t>Bags</t>
  </si>
  <si>
    <t>CarryAll</t>
  </si>
  <si>
    <t>AccessoryCo</t>
  </si>
  <si>
    <t>ORD013</t>
  </si>
  <si>
    <t>P042</t>
  </si>
  <si>
    <t>Water Bottle</t>
  </si>
  <si>
    <t>HydratePro</t>
  </si>
  <si>
    <t>ORD014</t>
  </si>
  <si>
    <t>P002</t>
  </si>
  <si>
    <t>Tablet Pro</t>
  </si>
  <si>
    <t>Space Gray</t>
  </si>
  <si>
    <t>11-inch</t>
  </si>
  <si>
    <t>ORD015</t>
  </si>
  <si>
    <t>Cancelled</t>
  </si>
  <si>
    <t>P034</t>
  </si>
  <si>
    <t>Hair Dryer</t>
  </si>
  <si>
    <t>Personal Care</t>
  </si>
  <si>
    <t>Beauty</t>
  </si>
  <si>
    <t>StylePro</t>
  </si>
  <si>
    <t>BeautyCo</t>
  </si>
  <si>
    <t>Pink</t>
  </si>
  <si>
    <t>Customer Request</t>
  </si>
  <si>
    <t>Out of Stock</t>
  </si>
  <si>
    <t>Dirty</t>
  </si>
  <si>
    <t>ORD016</t>
  </si>
  <si>
    <t>P048</t>
  </si>
  <si>
    <t>Treadmill</t>
  </si>
  <si>
    <t>CardioMax</t>
  </si>
  <si>
    <t>FitnessInc</t>
  </si>
  <si>
    <t>ORD017</t>
  </si>
  <si>
    <t>P010</t>
  </si>
  <si>
    <t>Novel Set</t>
  </si>
  <si>
    <t>Books</t>
  </si>
  <si>
    <t>Fiction</t>
  </si>
  <si>
    <t>ReadWell</t>
  </si>
  <si>
    <t>BookDistro</t>
  </si>
  <si>
    <t>WH06</t>
  </si>
  <si>
    <t>ORD018</t>
  </si>
  <si>
    <t>P021</t>
  </si>
  <si>
    <t>Yoga Block</t>
  </si>
  <si>
    <t>ORD019</t>
  </si>
  <si>
    <t>P036</t>
  </si>
  <si>
    <t>Dining Set</t>
  </si>
  <si>
    <t>Dining</t>
  </si>
  <si>
    <t>HomeStyle</t>
  </si>
  <si>
    <t>FurnitureCo</t>
  </si>
  <si>
    <t>Wood</t>
  </si>
  <si>
    <t>ORD020</t>
  </si>
  <si>
    <t>P005</t>
  </si>
  <si>
    <t>Gaming Mouse</t>
  </si>
  <si>
    <t>Gaming</t>
  </si>
  <si>
    <t>Razer</t>
  </si>
  <si>
    <t>GamerGear</t>
  </si>
  <si>
    <t>ORD021</t>
  </si>
  <si>
    <t>P051</t>
  </si>
  <si>
    <t>Protein Powder</t>
  </si>
  <si>
    <t>Supplements</t>
  </si>
  <si>
    <t>GainWell</t>
  </si>
  <si>
    <t>HealthInc</t>
  </si>
  <si>
    <t>Chocolate</t>
  </si>
  <si>
    <t>ORD022</t>
  </si>
  <si>
    <t>P017</t>
  </si>
  <si>
    <t>LED TV</t>
  </si>
  <si>
    <t>Home Theater</t>
  </si>
  <si>
    <t>Samsung</t>
  </si>
  <si>
    <t>ElectroDistro</t>
  </si>
  <si>
    <t>55-inch</t>
  </si>
  <si>
    <t>ORD023</t>
  </si>
  <si>
    <t>P029</t>
  </si>
  <si>
    <t>Bluetooth Speaker</t>
  </si>
  <si>
    <t>Audio</t>
  </si>
  <si>
    <t>SoundCo</t>
  </si>
  <si>
    <t>ORD024</t>
  </si>
  <si>
    <t>P040</t>
  </si>
  <si>
    <t>Hoodie</t>
  </si>
  <si>
    <t>Gray</t>
  </si>
  <si>
    <t>ORD025</t>
  </si>
  <si>
    <t>P057</t>
  </si>
  <si>
    <t>Dumbbell Set</t>
  </si>
  <si>
    <t>StrengthPro</t>
  </si>
  <si>
    <t>20lb</t>
  </si>
  <si>
    <t>ORD026</t>
  </si>
  <si>
    <t>P014</t>
  </si>
  <si>
    <t>Cookware Set</t>
  </si>
  <si>
    <t>MasterChef</t>
  </si>
  <si>
    <t>Stainless</t>
  </si>
  <si>
    <t>Damaged</t>
  </si>
  <si>
    <t>ORD027</t>
  </si>
  <si>
    <t>P049</t>
  </si>
  <si>
    <t>Desk Organizer</t>
  </si>
  <si>
    <t>OfficePro</t>
  </si>
  <si>
    <t>ORD028</t>
  </si>
  <si>
    <t>P025</t>
  </si>
  <si>
    <t>Electric Kettle</t>
  </si>
  <si>
    <t>HeatFast</t>
  </si>
  <si>
    <t>ORD029</t>
  </si>
  <si>
    <t>P059</t>
  </si>
  <si>
    <t>Resistance Bands</t>
  </si>
  <si>
    <t>Green</t>
  </si>
  <si>
    <t>ORD030</t>
  </si>
  <si>
    <t>P009</t>
  </si>
  <si>
    <t>Printer</t>
  </si>
  <si>
    <t>PrintMaster</t>
  </si>
  <si>
    <t>ORD031</t>
  </si>
  <si>
    <t>P032</t>
  </si>
  <si>
    <t>Jeans</t>
  </si>
  <si>
    <t>ORD032</t>
  </si>
  <si>
    <t>P018</t>
  </si>
  <si>
    <t>Air Purifier</t>
  </si>
  <si>
    <t>CleanAir</t>
  </si>
  <si>
    <t>ORD033</t>
  </si>
  <si>
    <t>P046</t>
  </si>
  <si>
    <t>Soccer Ball</t>
  </si>
  <si>
    <t>Sports</t>
  </si>
  <si>
    <t>GoalMax</t>
  </si>
  <si>
    <t>ORD034</t>
  </si>
  <si>
    <t>P011</t>
  </si>
  <si>
    <t>Monitor 24</t>
  </si>
  <si>
    <t>Dell</t>
  </si>
  <si>
    <t>24-inch</t>
  </si>
  <si>
    <t>ORD035</t>
  </si>
  <si>
    <t>P053</t>
  </si>
  <si>
    <t>Sweater</t>
  </si>
  <si>
    <t>ORD036</t>
  </si>
  <si>
    <t>P020</t>
  </si>
  <si>
    <t>Food Processor</t>
  </si>
  <si>
    <t>ORD037</t>
  </si>
  <si>
    <t>P006</t>
  </si>
  <si>
    <t>Wireless Earbuds</t>
  </si>
  <si>
    <t>SoundBud</t>
  </si>
  <si>
    <t>ORD038</t>
  </si>
  <si>
    <t>P035</t>
  </si>
  <si>
    <t>Throw Pillow</t>
  </si>
  <si>
    <t>Decor</t>
  </si>
  <si>
    <t>CozyHome</t>
  </si>
  <si>
    <t>Beige</t>
  </si>
  <si>
    <t>ORD039</t>
  </si>
  <si>
    <t>P058</t>
  </si>
  <si>
    <t>Weighing Scale</t>
  </si>
  <si>
    <t>AccuMeasure</t>
  </si>
  <si>
    <t>ORD040</t>
  </si>
  <si>
    <t>P028</t>
  </si>
  <si>
    <t>Sandals</t>
  </si>
  <si>
    <t>ShoeCo</t>
  </si>
  <si>
    <t>Brown</t>
  </si>
  <si>
    <t>ORD041</t>
  </si>
  <si>
    <t>P013</t>
  </si>
  <si>
    <t>Bookshelf</t>
  </si>
  <si>
    <t>Storage</t>
  </si>
  <si>
    <t>ORD042</t>
  </si>
  <si>
    <t>P041</t>
  </si>
  <si>
    <t>Face Cream</t>
  </si>
  <si>
    <t>GlowUp</t>
  </si>
  <si>
    <t>WH07</t>
  </si>
  <si>
    <t>ORD043</t>
  </si>
  <si>
    <t>P033</t>
  </si>
  <si>
    <t>Hiking Boots</t>
  </si>
  <si>
    <t>ORD044</t>
  </si>
  <si>
    <t>P050</t>
  </si>
  <si>
    <t>Wall Art</t>
  </si>
  <si>
    <t>ArtisticHome</t>
  </si>
  <si>
    <t>ORD045</t>
  </si>
  <si>
    <t>P016</t>
  </si>
  <si>
    <t>External HDD</t>
  </si>
  <si>
    <t>DataSafe</t>
  </si>
  <si>
    <t>2TB</t>
  </si>
  <si>
    <t>ORD046</t>
  </si>
  <si>
    <t>P060</t>
  </si>
  <si>
    <t>Yoga Pants</t>
  </si>
  <si>
    <t>ORD047</t>
  </si>
  <si>
    <t>P004</t>
  </si>
  <si>
    <t>Smartphone</t>
  </si>
  <si>
    <t>Mobile</t>
  </si>
  <si>
    <t>128GB</t>
  </si>
  <si>
    <t>ORD048</t>
  </si>
  <si>
    <t>P027</t>
  </si>
  <si>
    <t>Bath Towels</t>
  </si>
  <si>
    <t>Bath</t>
  </si>
  <si>
    <t>SoftTouch</t>
  </si>
  <si>
    <t>ORD049</t>
  </si>
  <si>
    <t>P039</t>
  </si>
  <si>
    <t>Suitcase</t>
  </si>
  <si>
    <t>Luggage</t>
  </si>
  <si>
    <t>TravelMax</t>
  </si>
  <si>
    <t>22-inch</t>
  </si>
  <si>
    <t>ORD050</t>
  </si>
  <si>
    <t>P022</t>
  </si>
  <si>
    <t>Paper Shredder</t>
  </si>
  <si>
    <t>SecureCut</t>
  </si>
  <si>
    <t>ORD051</t>
  </si>
  <si>
    <t>P047</t>
  </si>
  <si>
    <t>Cereal Box</t>
  </si>
  <si>
    <t>Food</t>
  </si>
  <si>
    <t>Grocery</t>
  </si>
  <si>
    <t>HealthyLife</t>
  </si>
  <si>
    <t>FoodDistro</t>
  </si>
  <si>
    <t>WH08</t>
  </si>
  <si>
    <t>ORD052</t>
  </si>
  <si>
    <t>P054</t>
  </si>
  <si>
    <t>Necklace</t>
  </si>
  <si>
    <t>Jewelry</t>
  </si>
  <si>
    <t>Fashion</t>
  </si>
  <si>
    <t>SparkleCo</t>
  </si>
  <si>
    <t>Defective</t>
  </si>
  <si>
    <t>ORD053</t>
  </si>
  <si>
    <t>P024</t>
  </si>
  <si>
    <t>Cutting Board</t>
  </si>
  <si>
    <t>WoodCraft</t>
  </si>
  <si>
    <t>ORD054</t>
  </si>
  <si>
    <t>P037</t>
  </si>
  <si>
    <t>Rice Cooker</t>
  </si>
  <si>
    <t>RiceMaster</t>
  </si>
  <si>
    <t>ORD055</t>
  </si>
  <si>
    <t>P052</t>
  </si>
  <si>
    <t>Shampoo</t>
  </si>
  <si>
    <t>Hair</t>
  </si>
  <si>
    <t>PureSilk</t>
  </si>
  <si>
    <t>ORD056</t>
  </si>
  <si>
    <t>P003</t>
  </si>
  <si>
    <t>Wireless Keyboard</t>
  </si>
  <si>
    <t>ORD057</t>
  </si>
  <si>
    <t>P044</t>
  </si>
  <si>
    <t>Wine Glasses</t>
  </si>
  <si>
    <t>CrystalClear</t>
  </si>
  <si>
    <t>Clear</t>
  </si>
  <si>
    <t>ORD058</t>
  </si>
  <si>
    <t>P056</t>
  </si>
  <si>
    <t>Football</t>
  </si>
  <si>
    <t>ORD059</t>
  </si>
  <si>
    <t>P030</t>
  </si>
  <si>
    <t>Belt</t>
  </si>
  <si>
    <t>LeatherCo</t>
  </si>
  <si>
    <t>ORD060</t>
  </si>
  <si>
    <t>P043</t>
  </si>
  <si>
    <t>Frying Pan</t>
  </si>
  <si>
    <t>NonStickPro</t>
  </si>
  <si>
    <t>12-inch</t>
  </si>
  <si>
    <t>ORD061</t>
  </si>
  <si>
    <t>P061</t>
  </si>
  <si>
    <t>Tablet Case</t>
  </si>
  <si>
    <t>ProtectPlus</t>
  </si>
  <si>
    <t>10-inch</t>
  </si>
  <si>
    <t>ORD062</t>
  </si>
  <si>
    <t>P062</t>
  </si>
  <si>
    <t>Plant Pot</t>
  </si>
  <si>
    <t>Garden</t>
  </si>
  <si>
    <t>GreenThumb</t>
  </si>
  <si>
    <t>Terra</t>
  </si>
  <si>
    <t>6-inch</t>
  </si>
  <si>
    <t>ORD063</t>
  </si>
  <si>
    <t>P063</t>
  </si>
  <si>
    <t>USB Flash Drive</t>
  </si>
  <si>
    <t>64GB</t>
  </si>
  <si>
    <t>ORD064</t>
  </si>
  <si>
    <t>P064</t>
  </si>
  <si>
    <t>Microwave</t>
  </si>
  <si>
    <t>HeatWave</t>
  </si>
  <si>
    <t>ORD065</t>
  </si>
  <si>
    <t>P065</t>
  </si>
  <si>
    <t>Socks</t>
  </si>
  <si>
    <t>One</t>
  </si>
  <si>
    <t>ORD066</t>
  </si>
  <si>
    <t>P066</t>
  </si>
  <si>
    <t>Car Vacuum</t>
  </si>
  <si>
    <t>Automotive</t>
  </si>
  <si>
    <t>Cleaning</t>
  </si>
  <si>
    <t>PowerClean</t>
  </si>
  <si>
    <t>AutoDistro</t>
  </si>
  <si>
    <t>WH09</t>
  </si>
  <si>
    <t>ORD067</t>
  </si>
  <si>
    <t>P067</t>
  </si>
  <si>
    <t>Candle Set</t>
  </si>
  <si>
    <t>Scentsy</t>
  </si>
  <si>
    <t>Various</t>
  </si>
  <si>
    <t>ORD068</t>
  </si>
  <si>
    <t>P068</t>
  </si>
  <si>
    <t>Dumbbells</t>
  </si>
  <si>
    <t>15lb</t>
  </si>
  <si>
    <t>ORD069</t>
  </si>
  <si>
    <t>P069</t>
  </si>
  <si>
    <t>Bedsheet</t>
  </si>
  <si>
    <t>Bedding</t>
  </si>
  <si>
    <t>ComfortHome</t>
  </si>
  <si>
    <t>Queen</t>
  </si>
  <si>
    <t>ORD070</t>
  </si>
  <si>
    <t>P070</t>
  </si>
  <si>
    <t>Router</t>
  </si>
  <si>
    <t>Networking</t>
  </si>
  <si>
    <t>NetGear</t>
  </si>
  <si>
    <t>ORD071</t>
  </si>
  <si>
    <t>P071</t>
  </si>
  <si>
    <t>Sunglasses</t>
  </si>
  <si>
    <t>Eyewear</t>
  </si>
  <si>
    <t>SunStyle</t>
  </si>
  <si>
    <t>Style</t>
  </si>
  <si>
    <t>ORD072</t>
  </si>
  <si>
    <t>P072</t>
  </si>
  <si>
    <t>Desk</t>
  </si>
  <si>
    <t>ORD073</t>
  </si>
  <si>
    <t>P073</t>
  </si>
  <si>
    <t>Tool Set</t>
  </si>
  <si>
    <t>Hardware</t>
  </si>
  <si>
    <t>HandyMan</t>
  </si>
  <si>
    <t>ORD074</t>
  </si>
  <si>
    <t>P074</t>
  </si>
  <si>
    <t>Hair Straightener</t>
  </si>
  <si>
    <t>ORD075</t>
  </si>
  <si>
    <t>P075</t>
  </si>
  <si>
    <t>Notebook</t>
  </si>
  <si>
    <t>Stationery</t>
  </si>
  <si>
    <t>WriteWell</t>
  </si>
  <si>
    <t>ORD076</t>
  </si>
  <si>
    <t>P076</t>
  </si>
  <si>
    <t>Hand Vacuum</t>
  </si>
  <si>
    <t>DirtDevil</t>
  </si>
  <si>
    <t>ORD077</t>
  </si>
  <si>
    <t>P077</t>
  </si>
  <si>
    <t>Blender Bottle</t>
  </si>
  <si>
    <t>ShakePro</t>
  </si>
  <si>
    <t>24oz</t>
  </si>
  <si>
    <t>ORD078</t>
  </si>
  <si>
    <t>P078</t>
  </si>
  <si>
    <t>Area Rug</t>
  </si>
  <si>
    <t>SoftStep</t>
  </si>
  <si>
    <t>5x7</t>
  </si>
  <si>
    <t>ORD079</t>
  </si>
  <si>
    <t>P079</t>
  </si>
  <si>
    <t>Webcam</t>
  </si>
  <si>
    <t>ORD080</t>
  </si>
  <si>
    <t>P080</t>
  </si>
  <si>
    <t>Coffee Table</t>
  </si>
  <si>
    <t>Living</t>
  </si>
  <si>
    <t>ORD081</t>
  </si>
  <si>
    <t>P081</t>
  </si>
  <si>
    <t>Earrings</t>
  </si>
  <si>
    <t>ORD082</t>
  </si>
  <si>
    <t>P082</t>
  </si>
  <si>
    <t>Rain Jacket</t>
  </si>
  <si>
    <t>ORD083</t>
  </si>
  <si>
    <t>P083</t>
  </si>
  <si>
    <t>Camera</t>
  </si>
  <si>
    <t>Photography</t>
  </si>
  <si>
    <t>Canon</t>
  </si>
  <si>
    <t>ORD084</t>
  </si>
  <si>
    <t>P084</t>
  </si>
  <si>
    <t>Wine Rack</t>
  </si>
  <si>
    <t>WineCellar</t>
  </si>
  <si>
    <t>ORD085</t>
  </si>
  <si>
    <t>P085</t>
  </si>
  <si>
    <t>Pillows</t>
  </si>
  <si>
    <t>ORD086</t>
  </si>
  <si>
    <t>P086</t>
  </si>
  <si>
    <t>GPS Tracker</t>
  </si>
  <si>
    <t>TrackMaster</t>
  </si>
  <si>
    <t>ORD087</t>
  </si>
  <si>
    <t>P087</t>
  </si>
  <si>
    <t>Laundry Basket</t>
  </si>
  <si>
    <t>HomeHelp</t>
  </si>
  <si>
    <t>ORD088</t>
  </si>
  <si>
    <t>P088</t>
  </si>
  <si>
    <t>Jump Rope</t>
  </si>
  <si>
    <t>ORD089</t>
  </si>
  <si>
    <t>P089</t>
  </si>
  <si>
    <t>Photo Frame</t>
  </si>
  <si>
    <t>Memories</t>
  </si>
  <si>
    <t>8x10</t>
  </si>
  <si>
    <t>ORD090</t>
  </si>
  <si>
    <t>P090</t>
  </si>
  <si>
    <t>Keyboard Piano</t>
  </si>
  <si>
    <t>Music</t>
  </si>
  <si>
    <t>KeyNote</t>
  </si>
  <si>
    <t>MusicDistro</t>
  </si>
  <si>
    <t>61-key</t>
  </si>
  <si>
    <t>WH10</t>
  </si>
  <si>
    <t>ORD091</t>
  </si>
  <si>
    <t>P091</t>
  </si>
  <si>
    <t>Winter Gloves</t>
  </si>
  <si>
    <t>ORD092</t>
  </si>
  <si>
    <t>P092</t>
  </si>
  <si>
    <t>Extension Cord</t>
  </si>
  <si>
    <t>PowerPlus</t>
  </si>
  <si>
    <t>10ft</t>
  </si>
  <si>
    <t>ORD093</t>
  </si>
  <si>
    <t>P093</t>
  </si>
  <si>
    <t>Protein Bars</t>
  </si>
  <si>
    <t>Snacks</t>
  </si>
  <si>
    <t>ORD094</t>
  </si>
  <si>
    <t>P094</t>
  </si>
  <si>
    <t>Shower Curtain</t>
  </si>
  <si>
    <t>BathPro</t>
  </si>
  <si>
    <t>ORD095</t>
  </si>
  <si>
    <t>P095</t>
  </si>
  <si>
    <t>Electric Guitar</t>
  </si>
  <si>
    <t>Strummer</t>
  </si>
  <si>
    <t>ORD096</t>
  </si>
  <si>
    <t>P096</t>
  </si>
  <si>
    <t>Thermos</t>
  </si>
  <si>
    <t>HotCold</t>
  </si>
  <si>
    <t>32oz</t>
  </si>
  <si>
    <t>ORD097</t>
  </si>
  <si>
    <t>P097</t>
  </si>
  <si>
    <t>Nightstand</t>
  </si>
  <si>
    <t>Bedroom</t>
  </si>
  <si>
    <t>ORD098</t>
  </si>
  <si>
    <t>P098</t>
  </si>
  <si>
    <t>Croissants</t>
  </si>
  <si>
    <t>Bakery</t>
  </si>
  <si>
    <t>FrenchBake</t>
  </si>
  <si>
    <t>ORD099</t>
  </si>
  <si>
    <t>P099</t>
  </si>
  <si>
    <t>Shoe Rack</t>
  </si>
  <si>
    <t>OrganizeIt</t>
  </si>
  <si>
    <t>ORD100</t>
  </si>
  <si>
    <t>P100</t>
  </si>
  <si>
    <t>Table Clock</t>
  </si>
  <si>
    <t>TimeWorks</t>
  </si>
  <si>
    <t>ORD101</t>
  </si>
  <si>
    <t>P101</t>
  </si>
  <si>
    <t>Cutting Mat</t>
  </si>
  <si>
    <t>ArtCraft</t>
  </si>
  <si>
    <t>A3</t>
  </si>
  <si>
    <t>ORD102</t>
  </si>
  <si>
    <t>P102</t>
  </si>
  <si>
    <t>Pet Bed</t>
  </si>
  <si>
    <t>Pets</t>
  </si>
  <si>
    <t>ComfyPet</t>
  </si>
  <si>
    <t>PetCo</t>
  </si>
  <si>
    <t>WH11</t>
  </si>
  <si>
    <t>ORD103</t>
  </si>
  <si>
    <t>P103</t>
  </si>
  <si>
    <t>USB Hub</t>
  </si>
  <si>
    <t>PortMaster</t>
  </si>
  <si>
    <t>4-port</t>
  </si>
  <si>
    <t>ORD104</t>
  </si>
  <si>
    <t>P104</t>
  </si>
  <si>
    <t>Wok</t>
  </si>
  <si>
    <t>14-inch</t>
  </si>
  <si>
    <t>ORD105</t>
  </si>
  <si>
    <t>P105</t>
  </si>
  <si>
    <t>Tie</t>
  </si>
  <si>
    <t>ORD106</t>
  </si>
  <si>
    <t>P106</t>
  </si>
  <si>
    <t>Facial Cleanser</t>
  </si>
  <si>
    <t>ORD107</t>
  </si>
  <si>
    <t>P107</t>
  </si>
  <si>
    <t>Memory Foam Pillow</t>
  </si>
  <si>
    <t>ORD108</t>
  </si>
  <si>
    <t>P108</t>
  </si>
  <si>
    <t>Cat Toy</t>
  </si>
  <si>
    <t>FurryFun</t>
  </si>
  <si>
    <t>Assorted</t>
  </si>
  <si>
    <t>ORD109</t>
  </si>
  <si>
    <t>P109</t>
  </si>
  <si>
    <t>Desk Lamp LED</t>
  </si>
  <si>
    <t>ORD110</t>
  </si>
  <si>
    <t>P110</t>
  </si>
  <si>
    <t>Basketball</t>
  </si>
  <si>
    <t>Orange</t>
  </si>
  <si>
    <t>ORD111</t>
  </si>
  <si>
    <t>P111</t>
  </si>
  <si>
    <t>Sandwich Maker</t>
  </si>
  <si>
    <t>GrillMaster</t>
  </si>
  <si>
    <t>ORD112</t>
  </si>
  <si>
    <t>P112</t>
  </si>
  <si>
    <t>Dog Leash</t>
  </si>
  <si>
    <t>WalkWell</t>
  </si>
  <si>
    <t>6ft</t>
  </si>
  <si>
    <t>ORD113</t>
  </si>
  <si>
    <t>P113</t>
  </si>
  <si>
    <t>Phone Stand</t>
  </si>
  <si>
    <t>ORD114</t>
  </si>
  <si>
    <t>P114</t>
  </si>
  <si>
    <t>Bath Mat</t>
  </si>
  <si>
    <t>ORD115</t>
  </si>
  <si>
    <t>P115</t>
  </si>
  <si>
    <t>Extension Tube</t>
  </si>
  <si>
    <t>ORD116</t>
  </si>
  <si>
    <t>P116</t>
  </si>
  <si>
    <t>Grill Pan</t>
  </si>
  <si>
    <t>ORD117</t>
  </si>
  <si>
    <t>P117</t>
  </si>
  <si>
    <t>Yoga Strap</t>
  </si>
  <si>
    <t>8ft</t>
  </si>
  <si>
    <t>ORD118</t>
  </si>
  <si>
    <t>P118</t>
  </si>
  <si>
    <t>Coffee Mug</t>
  </si>
  <si>
    <t>CeramicArt</t>
  </si>
  <si>
    <t>12oz</t>
  </si>
  <si>
    <t>ORD119</t>
  </si>
  <si>
    <t>P119</t>
  </si>
  <si>
    <t>Wireless Charger</t>
  </si>
  <si>
    <t>ORD120</t>
  </si>
  <si>
    <t>P120</t>
  </si>
  <si>
    <t>Winter Scarf</t>
  </si>
  <si>
    <t>N/A</t>
  </si>
  <si>
    <t>Column1</t>
  </si>
  <si>
    <t>Column2</t>
  </si>
  <si>
    <t>C313</t>
  </si>
  <si>
    <t>REP006</t>
  </si>
  <si>
    <t>REP013</t>
  </si>
  <si>
    <t>REP016</t>
  </si>
  <si>
    <t>REP017</t>
  </si>
  <si>
    <t>REP018</t>
  </si>
  <si>
    <t>REP019</t>
  </si>
  <si>
    <t>REP020</t>
  </si>
  <si>
    <t>REP021</t>
  </si>
  <si>
    <t>REP022</t>
  </si>
  <si>
    <t>REP023</t>
  </si>
  <si>
    <t>REP024</t>
  </si>
  <si>
    <t>REP025</t>
  </si>
  <si>
    <t>REP026</t>
  </si>
  <si>
    <t>REP027</t>
  </si>
  <si>
    <t>REP028</t>
  </si>
  <si>
    <t>REP029</t>
  </si>
  <si>
    <t>REP030</t>
  </si>
  <si>
    <t>REP031</t>
  </si>
  <si>
    <t>REP032</t>
  </si>
  <si>
    <t>REP033</t>
  </si>
  <si>
    <t>REP034</t>
  </si>
  <si>
    <t>REP035</t>
  </si>
  <si>
    <t>REP036</t>
  </si>
  <si>
    <t>REP037</t>
  </si>
  <si>
    <t>REP038</t>
  </si>
  <si>
    <t>REP039</t>
  </si>
  <si>
    <t>REP040</t>
  </si>
  <si>
    <t>REP041</t>
  </si>
  <si>
    <t>REP042</t>
  </si>
  <si>
    <t>REP043</t>
  </si>
  <si>
    <t>REP044</t>
  </si>
  <si>
    <t>REP045</t>
  </si>
  <si>
    <t>REP046</t>
  </si>
  <si>
    <t>REP047</t>
  </si>
  <si>
    <t>REP048</t>
  </si>
  <si>
    <t>REP049</t>
  </si>
  <si>
    <t>REP050</t>
  </si>
  <si>
    <t>REP051</t>
  </si>
  <si>
    <t>REP052</t>
  </si>
  <si>
    <t>REP053</t>
  </si>
  <si>
    <t>REP054</t>
  </si>
  <si>
    <t>REP055</t>
  </si>
  <si>
    <t>REP056</t>
  </si>
  <si>
    <t>REP057</t>
  </si>
  <si>
    <t>REP058</t>
  </si>
  <si>
    <t>REP059</t>
  </si>
  <si>
    <t>REP060</t>
  </si>
  <si>
    <t>REP061</t>
  </si>
  <si>
    <t>REP062</t>
  </si>
  <si>
    <t>REP063</t>
  </si>
  <si>
    <t>REP064</t>
  </si>
  <si>
    <t>REP065</t>
  </si>
  <si>
    <t>REP066</t>
  </si>
  <si>
    <t>REP067</t>
  </si>
  <si>
    <t>REP068</t>
  </si>
  <si>
    <t>REP069</t>
  </si>
  <si>
    <t>REP070</t>
  </si>
  <si>
    <t>REP071</t>
  </si>
  <si>
    <t>REP072</t>
  </si>
  <si>
    <t>REP073</t>
  </si>
  <si>
    <t>REP074</t>
  </si>
  <si>
    <t>REP075</t>
  </si>
  <si>
    <t>REP076</t>
  </si>
  <si>
    <t>REP077</t>
  </si>
  <si>
    <t>REP078</t>
  </si>
  <si>
    <t>REP079</t>
  </si>
  <si>
    <t>REP080</t>
  </si>
  <si>
    <t>REP081</t>
  </si>
  <si>
    <t>REP082</t>
  </si>
  <si>
    <t>REP083</t>
  </si>
  <si>
    <t>REP084</t>
  </si>
  <si>
    <t>REP085</t>
  </si>
  <si>
    <t>REP086</t>
  </si>
  <si>
    <t>REP087</t>
  </si>
  <si>
    <t>REP088</t>
  </si>
  <si>
    <t>REP089</t>
  </si>
  <si>
    <t>REP090</t>
  </si>
  <si>
    <t>REP091</t>
  </si>
  <si>
    <t>REP092</t>
  </si>
  <si>
    <t>REP093</t>
  </si>
  <si>
    <t>REP094</t>
  </si>
  <si>
    <t>REP095</t>
  </si>
  <si>
    <t>REP096</t>
  </si>
  <si>
    <t>REP097</t>
  </si>
  <si>
    <t>REP098</t>
  </si>
  <si>
    <t>REP099</t>
  </si>
  <si>
    <t>REP100</t>
  </si>
  <si>
    <t>REP101</t>
  </si>
  <si>
    <t>REP102</t>
  </si>
  <si>
    <t>REP103</t>
  </si>
  <si>
    <t>REP104</t>
  </si>
  <si>
    <t>REP105</t>
  </si>
  <si>
    <t>REP106</t>
  </si>
  <si>
    <t>REP107</t>
  </si>
  <si>
    <t>REP108</t>
  </si>
  <si>
    <t>REP109</t>
  </si>
  <si>
    <t>REP110</t>
  </si>
  <si>
    <t>REP111</t>
  </si>
  <si>
    <t>REP112</t>
  </si>
  <si>
    <t>REP113</t>
  </si>
  <si>
    <t>REP114</t>
  </si>
  <si>
    <t>REP115</t>
  </si>
  <si>
    <t>REP116</t>
  </si>
  <si>
    <t>REP117</t>
  </si>
  <si>
    <t>REP118</t>
  </si>
  <si>
    <t>REP119</t>
  </si>
  <si>
    <t>REP120</t>
  </si>
  <si>
    <t>REP121</t>
  </si>
  <si>
    <t>REP122</t>
  </si>
  <si>
    <t>REP123</t>
  </si>
  <si>
    <t>REP124</t>
  </si>
  <si>
    <t>Column3</t>
  </si>
  <si>
    <t>Column4</t>
  </si>
  <si>
    <t>Column5</t>
  </si>
  <si>
    <t>Column6</t>
  </si>
  <si>
    <t>Column7</t>
  </si>
  <si>
    <t>Column8</t>
  </si>
  <si>
    <t>Column9</t>
  </si>
  <si>
    <t>Column10</t>
  </si>
  <si>
    <t>Column11</t>
  </si>
  <si>
    <t>Column12</t>
  </si>
  <si>
    <t>Column13</t>
  </si>
  <si>
    <t>PRODUCT MASTER </t>
  </si>
  <si>
    <t>STORE MASTER</t>
  </si>
  <si>
    <t>ST002</t>
  </si>
  <si>
    <t>ST003</t>
  </si>
  <si>
    <t>ST004</t>
  </si>
  <si>
    <t>ST005</t>
  </si>
  <si>
    <t>ST006</t>
  </si>
  <si>
    <t>ST007</t>
  </si>
  <si>
    <t>ST008</t>
  </si>
  <si>
    <t>ST009</t>
  </si>
  <si>
    <t>ST010</t>
  </si>
  <si>
    <t>ST011</t>
  </si>
  <si>
    <t>ST012</t>
  </si>
  <si>
    <t>ST013</t>
  </si>
  <si>
    <t>ST014</t>
  </si>
  <si>
    <t>ST015</t>
  </si>
  <si>
    <t>ST016</t>
  </si>
  <si>
    <t>ST017</t>
  </si>
  <si>
    <t>ST018</t>
  </si>
  <si>
    <t>ST019</t>
  </si>
  <si>
    <t>ST020</t>
  </si>
  <si>
    <t>ST021</t>
  </si>
  <si>
    <t>ST022</t>
  </si>
  <si>
    <t>ST024</t>
  </si>
  <si>
    <t>ST025</t>
  </si>
  <si>
    <t>ST026</t>
  </si>
  <si>
    <t>ST027</t>
  </si>
  <si>
    <t>ST028</t>
  </si>
  <si>
    <t>ST029</t>
  </si>
  <si>
    <t>ST030</t>
  </si>
  <si>
    <t>ST031</t>
  </si>
  <si>
    <t>ST032</t>
  </si>
  <si>
    <t>ST033</t>
  </si>
  <si>
    <t>ST035</t>
  </si>
  <si>
    <t>ST036</t>
  </si>
  <si>
    <t>ST037</t>
  </si>
  <si>
    <t>ST038</t>
  </si>
  <si>
    <t>ST039</t>
  </si>
  <si>
    <t>ST040</t>
  </si>
  <si>
    <t>ST041</t>
  </si>
  <si>
    <t>ST042</t>
  </si>
  <si>
    <t>ST043</t>
  </si>
  <si>
    <t>ST044</t>
  </si>
  <si>
    <t>ST046</t>
  </si>
  <si>
    <t>ST047</t>
  </si>
  <si>
    <t>ST048</t>
  </si>
  <si>
    <t>ST049</t>
  </si>
  <si>
    <t>ST050</t>
  </si>
  <si>
    <t>ST051</t>
  </si>
  <si>
    <t>ST052</t>
  </si>
  <si>
    <t>ST053</t>
  </si>
  <si>
    <t>ST054</t>
  </si>
  <si>
    <t>ST055</t>
  </si>
  <si>
    <t>ST057</t>
  </si>
  <si>
    <t>ST058</t>
  </si>
  <si>
    <t>ST059</t>
  </si>
  <si>
    <t>ST060</t>
  </si>
  <si>
    <t>ST061</t>
  </si>
  <si>
    <t>ST062</t>
  </si>
  <si>
    <t>ST063</t>
  </si>
  <si>
    <t>ST064</t>
  </si>
  <si>
    <t>ST065</t>
  </si>
  <si>
    <t>ST066</t>
  </si>
  <si>
    <t>ST068</t>
  </si>
  <si>
    <t>ST069</t>
  </si>
  <si>
    <t>ST070</t>
  </si>
  <si>
    <t>ST071</t>
  </si>
  <si>
    <t>ST072</t>
  </si>
  <si>
    <t>ST073</t>
  </si>
  <si>
    <t>ST074</t>
  </si>
  <si>
    <t>ST075</t>
  </si>
  <si>
    <t>ST076</t>
  </si>
  <si>
    <t>ST077</t>
  </si>
  <si>
    <t>ST079</t>
  </si>
  <si>
    <t>ST080</t>
  </si>
  <si>
    <t>ST081</t>
  </si>
  <si>
    <t>ST082</t>
  </si>
  <si>
    <t>ST083</t>
  </si>
  <si>
    <t>ST084</t>
  </si>
  <si>
    <t>ST085</t>
  </si>
  <si>
    <t>ST086</t>
  </si>
  <si>
    <t>ST087</t>
  </si>
  <si>
    <t>ST088</t>
  </si>
  <si>
    <t>ST090</t>
  </si>
  <si>
    <t>ST092</t>
  </si>
  <si>
    <t>ST093</t>
  </si>
  <si>
    <t>ST094</t>
  </si>
  <si>
    <t>ST095</t>
  </si>
  <si>
    <t>ST096</t>
  </si>
  <si>
    <t>ST097</t>
  </si>
  <si>
    <t>ST098</t>
  </si>
  <si>
    <t>ST099</t>
  </si>
  <si>
    <t>ST100</t>
  </si>
  <si>
    <t>ST101</t>
  </si>
  <si>
    <t>ST103</t>
  </si>
  <si>
    <t>ST104</t>
  </si>
  <si>
    <t>ST105</t>
  </si>
  <si>
    <t>ST106</t>
  </si>
  <si>
    <t>ST107</t>
  </si>
  <si>
    <t>ST108</t>
  </si>
  <si>
    <t>ST109</t>
  </si>
  <si>
    <t>ST110</t>
  </si>
  <si>
    <t>ST111</t>
  </si>
  <si>
    <t>ST113</t>
  </si>
  <si>
    <t>ST114</t>
  </si>
  <si>
    <t>ST115</t>
  </si>
  <si>
    <t>ST116</t>
  </si>
  <si>
    <t>ST117</t>
  </si>
  <si>
    <t>ST118</t>
  </si>
  <si>
    <t>ST119</t>
  </si>
  <si>
    <t>ST120</t>
  </si>
  <si>
    <t>REGION TAX MASTER</t>
  </si>
  <si>
    <t>TaxRate</t>
  </si>
  <si>
    <t>Row Labels</t>
  </si>
  <si>
    <t>Grand Total</t>
  </si>
  <si>
    <t>Sum of TotalRevenue</t>
  </si>
  <si>
    <t>Jan</t>
  </si>
  <si>
    <t>Feb</t>
  </si>
  <si>
    <t>Mar</t>
  </si>
  <si>
    <t>Count of OrderID</t>
  </si>
  <si>
    <t>Revenue by Category &amp; Region</t>
  </si>
  <si>
    <t>Monthly Sales Trend</t>
  </si>
  <si>
    <t> Store Performance</t>
  </si>
  <si>
    <t>Sum of ProfitMargin</t>
  </si>
  <si>
    <t>Total Revenue</t>
  </si>
  <si>
    <t>Total Orders</t>
  </si>
  <si>
    <t>Return Rate %</t>
  </si>
  <si>
    <t>Average Order Value</t>
  </si>
  <si>
    <t>Total Items Sold</t>
  </si>
  <si>
    <t>Unique Customers</t>
  </si>
  <si>
    <t>Top Region</t>
  </si>
  <si>
    <t>Lowest Region</t>
  </si>
  <si>
    <t>C002</t>
  </si>
  <si>
    <t>C003</t>
  </si>
  <si>
    <t>C004</t>
  </si>
  <si>
    <t>C005</t>
  </si>
  <si>
    <t>C006</t>
  </si>
  <si>
    <t>C007</t>
  </si>
  <si>
    <t>C008</t>
  </si>
  <si>
    <t>C009</t>
  </si>
  <si>
    <t>C010</t>
  </si>
  <si>
    <t>C011</t>
  </si>
  <si>
    <t>C012</t>
  </si>
  <si>
    <t>C013</t>
  </si>
  <si>
    <t>C014</t>
  </si>
  <si>
    <t>C015</t>
  </si>
  <si>
    <t>C016</t>
  </si>
  <si>
    <t>C017</t>
  </si>
  <si>
    <t>C018</t>
  </si>
  <si>
    <t>C019</t>
  </si>
  <si>
    <t>C020</t>
  </si>
  <si>
    <t>C021</t>
  </si>
  <si>
    <t>C022</t>
  </si>
  <si>
    <t>C023</t>
  </si>
  <si>
    <t>C024</t>
  </si>
  <si>
    <t>C025</t>
  </si>
  <si>
    <t>C026</t>
  </si>
  <si>
    <t>C027</t>
  </si>
  <si>
    <t>C028</t>
  </si>
  <si>
    <t>C029</t>
  </si>
  <si>
    <t>C030</t>
  </si>
  <si>
    <t>C031</t>
  </si>
  <si>
    <t>C032</t>
  </si>
  <si>
    <t>C033</t>
  </si>
  <si>
    <t>C034</t>
  </si>
  <si>
    <t>C035</t>
  </si>
  <si>
    <t>C036</t>
  </si>
  <si>
    <t>C037</t>
  </si>
  <si>
    <t>C038</t>
  </si>
  <si>
    <t>C039</t>
  </si>
  <si>
    <t>C040</t>
  </si>
  <si>
    <t>C041</t>
  </si>
  <si>
    <t>C042</t>
  </si>
  <si>
    <t>C043</t>
  </si>
  <si>
    <t>C044</t>
  </si>
  <si>
    <t>C046</t>
  </si>
  <si>
    <t>C047</t>
  </si>
  <si>
    <t>C048</t>
  </si>
  <si>
    <t>C049</t>
  </si>
  <si>
    <t>C050</t>
  </si>
  <si>
    <t>C051</t>
  </si>
  <si>
    <t>C052</t>
  </si>
  <si>
    <t>C053</t>
  </si>
  <si>
    <t>C054</t>
  </si>
  <si>
    <t>C055</t>
  </si>
  <si>
    <t>C056</t>
  </si>
  <si>
    <t>C057</t>
  </si>
  <si>
    <t>C058</t>
  </si>
  <si>
    <t>C059</t>
  </si>
  <si>
    <t>C060</t>
  </si>
  <si>
    <t>C061</t>
  </si>
  <si>
    <t>C062</t>
  </si>
  <si>
    <t>C063</t>
  </si>
  <si>
    <t>C064</t>
  </si>
  <si>
    <t>C065</t>
  </si>
  <si>
    <t>C066</t>
  </si>
  <si>
    <t>C067</t>
  </si>
  <si>
    <t>C068</t>
  </si>
  <si>
    <t>C069</t>
  </si>
  <si>
    <t>C070</t>
  </si>
  <si>
    <t>C071</t>
  </si>
  <si>
    <t>C072</t>
  </si>
  <si>
    <t>C073</t>
  </si>
  <si>
    <t>C074</t>
  </si>
  <si>
    <t>C075</t>
  </si>
  <si>
    <t>C076</t>
  </si>
  <si>
    <t>C077</t>
  </si>
  <si>
    <t>C078</t>
  </si>
  <si>
    <t>C079</t>
  </si>
  <si>
    <t>C080</t>
  </si>
  <si>
    <t>C081</t>
  </si>
  <si>
    <t>C082</t>
  </si>
  <si>
    <t>C083</t>
  </si>
  <si>
    <t>C084</t>
  </si>
  <si>
    <t>C085</t>
  </si>
  <si>
    <t>C086</t>
  </si>
  <si>
    <t>C087</t>
  </si>
  <si>
    <t>C088</t>
  </si>
  <si>
    <t>C090</t>
  </si>
  <si>
    <t>C091</t>
  </si>
  <si>
    <t>C092</t>
  </si>
  <si>
    <t>C093</t>
  </si>
  <si>
    <t>C094</t>
  </si>
  <si>
    <t>C095</t>
  </si>
  <si>
    <t>C096</t>
  </si>
  <si>
    <t>C097</t>
  </si>
  <si>
    <t>C098</t>
  </si>
  <si>
    <t>C099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</si>
  <si>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</si>
  <si>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</si>
  <si>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</si>
  <si>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</si>
  <si>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</si>
  <si>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</si>
  <si>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</si>
  <si>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</si>
  <si>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</si>
  <si>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</si>
  <si>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</si>
  <si>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</si>
  <si>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</si>
  <si>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</si>
  <si>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</si>
  <si>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</si>
  <si>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</si>
  <si>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</si>
  <si>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</si>
  <si>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</si>
  <si>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</si>
  <si>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Regions</t>
  </si>
  <si>
    <t>Top 5 Products</t>
  </si>
  <si>
    <t>Bottom 5 Products</t>
  </si>
  <si>
    <t>Top 5 Stores</t>
  </si>
  <si>
    <t>Count of ReturnReason</t>
  </si>
  <si>
    <t>Months</t>
  </si>
  <si>
    <t>Store Names</t>
  </si>
  <si>
    <t>Product Category</t>
  </si>
  <si>
    <t>Sum of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</si>
</sst>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m\-yyyy;@" x16r2:formatCode16="[$-en-PK,1]dd\-mmm\-yyyy;@"/>
    <numFmt numFmtId="165" formatCode="_-[$$-409]* #,##0.00_ ;_-[$$-409]* \-#,##0.00\ ;_-[$$-409]* &quot;-&quot;??_ ;_-@_ "/>
  </numFmts>
  <fonts count="10" x14ac:knownFonts="1">
    <font>
      <sz val="11"/>
      <color theme="1"/>
      <name val="Calibri"/>
      <family val="2"/>
      <scheme val="minor"/>
    </font>
    <font>
      <b/>
      <i/>
      <sz val="12"/>
      <color theme="1"/>
      <name val="Calibri"/>
      <family val="2"/>
      <scheme val="minor"/>
    </font>
    <font>
      <b/>
      <sz val="11"/>
      <color theme="0"/>
      <name val="Calibri"/>
      <family val="2"/>
      <scheme val="minor"/>
    </font>
    <font>
      <b/>
      <sz val="11"/>
      <color theme="1"/>
      <name val="Calibri"/>
      <family val="2"/>
      <scheme val="minor"/>
    </font>
    <font>
      <sz val="8"/>
      <name val="Calibri"/>
      <family val="2"/>
      <scheme val="minor"/>
    </font>
    <font>
      <b/>
      <i/>
      <sz val="18"/>
      <color theme="1"/>
      <name val="Calibri"/>
      <family val="2"/>
      <scheme val="minor"/>
    </font>
    <font>
      <b/>
      <i/>
      <sz val="16"/>
      <color theme="2"/>
      <name val="Calibri"/>
      <family val="2"/>
      <scheme val="minor"/>
    </font>
    <font>
      <b/>
      <i/>
      <sz val="11"/>
      <name val="Calibri"/>
      <family val="2"/>
      <scheme val="minor"/>
    </font>
    <font>
      <sz val="11"/>
      <name val="Calibri"/>
      <family val="2"/>
      <scheme val="minor"/>
    </font>
    <font>
      <b/>
      <i/>
      <sz val="11"/>
      <color rgb="FFF8F8F8"/>
      <name val="Calibri"/>
      <family val="2"/>
      <scheme val="minor"/>
    </font>
  </fonts>
  <fills count="9">
    <fill>
      <patternFill patternType="none"/>
    </fill>
    <fill>
      <patternFill patternType="gray125"/>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9" tint="-0.499984740745262"/>
        <bgColor indexed="64"/>
      </patternFill>
    </fill>
    <fill>
      <patternFill patternType="solid">
        <fgColor theme="4" tint="-0.249977111117893"/>
        <bgColor indexed="64"/>
      </patternFill>
    </fill>
    <fill>
      <patternFill patternType="solid">
        <fgColor rgb="FF975CCB"/>
        <bgColor indexed="64"/>
      </patternFill>
    </fill>
    <fill>
      <patternFill patternType="solid">
        <fgColor rgb="FF909EE6"/>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72">
    <xf numFmtId="0" fontId="0" fillId="0" borderId="0" xfId="0"/>
    <xf numFmtId="0" fontId="0" fillId="0" borderId="5" xfId="0"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1" fillId="0" borderId="0" xfId="0" applyFont="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164" fontId="0" fillId="0" borderId="1" xfId="0" applyNumberFormat="1" applyBorder="1" applyAlignment="1">
      <alignment horizontal="center" vertical="center"/>
    </xf>
    <xf numFmtId="164" fontId="0" fillId="0" borderId="8" xfId="0" applyNumberFormat="1" applyBorder="1" applyAlignment="1">
      <alignment horizontal="center" vertical="center"/>
    </xf>
    <xf numFmtId="165" fontId="0" fillId="0" borderId="1" xfId="0" applyNumberFormat="1" applyBorder="1" applyAlignment="1">
      <alignment horizontal="center" vertical="center"/>
    </xf>
    <xf numFmtId="165" fontId="0" fillId="0" borderId="8" xfId="0" applyNumberFormat="1" applyBorder="1" applyAlignment="1">
      <alignment horizontal="center" vertical="center"/>
    </xf>
    <xf numFmtId="165" fontId="0" fillId="0" borderId="1" xfId="0" applyNumberFormat="1" applyBorder="1" applyAlignment="1">
      <alignment horizontal="left" vertical="center" indent="1"/>
    </xf>
    <xf numFmtId="165" fontId="0" fillId="0" borderId="8" xfId="0" applyNumberFormat="1" applyBorder="1" applyAlignment="1">
      <alignment horizontal="left" vertical="center" indent="1"/>
    </xf>
    <xf numFmtId="9" fontId="0" fillId="0" borderId="1" xfId="0" applyNumberFormat="1" applyBorder="1" applyAlignment="1">
      <alignment horizontal="center" vertical="center"/>
    </xf>
    <xf numFmtId="9" fontId="0" fillId="0" borderId="8" xfId="0" applyNumberFormat="1" applyBorder="1" applyAlignment="1">
      <alignment horizontal="center" vertical="center"/>
    </xf>
    <xf numFmtId="165" fontId="0" fillId="0" borderId="1" xfId="0" applyNumberFormat="1" applyBorder="1" applyAlignment="1">
      <alignment horizontal="left" vertical="center" indent="2"/>
    </xf>
    <xf numFmtId="165" fontId="0" fillId="0" borderId="8" xfId="0" applyNumberFormat="1" applyBorder="1" applyAlignment="1">
      <alignment horizontal="left" vertical="center" indent="2"/>
    </xf>
    <xf numFmtId="165" fontId="0" fillId="0" borderId="1" xfId="0" applyNumberFormat="1" applyBorder="1" applyAlignment="1">
      <alignment horizontal="left" vertical="center" indent="3"/>
    </xf>
    <xf numFmtId="165" fontId="0" fillId="0" borderId="8" xfId="0" applyNumberFormat="1" applyBorder="1" applyAlignment="1">
      <alignment horizontal="left" vertical="center" indent="3"/>
    </xf>
    <xf numFmtId="165" fontId="0" fillId="0" borderId="1" xfId="0" applyNumberFormat="1" applyBorder="1" applyAlignment="1">
      <alignment horizontal="left" vertical="center" indent="4"/>
    </xf>
    <xf numFmtId="165" fontId="0" fillId="0" borderId="8" xfId="0" applyNumberFormat="1" applyBorder="1" applyAlignment="1">
      <alignment horizontal="left" vertical="center" indent="4"/>
    </xf>
    <xf numFmtId="165" fontId="0" fillId="0" borderId="1" xfId="0" applyNumberFormat="1" applyBorder="1" applyAlignment="1">
      <alignment horizontal="left" vertical="center" indent="5"/>
    </xf>
    <xf numFmtId="165" fontId="0" fillId="0" borderId="8" xfId="0" applyNumberFormat="1" applyBorder="1" applyAlignment="1">
      <alignment horizontal="left" vertical="center" indent="5"/>
    </xf>
    <xf numFmtId="165" fontId="0" fillId="0" borderId="1" xfId="0" applyNumberFormat="1" applyBorder="1" applyAlignment="1">
      <alignment horizontal="left" vertical="center" indent="6"/>
    </xf>
    <xf numFmtId="165" fontId="0" fillId="0" borderId="8" xfId="0" applyNumberFormat="1" applyBorder="1" applyAlignment="1">
      <alignment horizontal="left" vertical="center" indent="6"/>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4" xfId="0" applyFont="1"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165" fontId="0" fillId="3" borderId="9" xfId="0" applyNumberForma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9" fontId="0" fillId="3" borderId="9" xfId="0" applyNumberFormat="1" applyFill="1" applyBorder="1" applyAlignment="1">
      <alignment horizontal="center" vertical="center"/>
    </xf>
    <xf numFmtId="0" fontId="0" fillId="0" borderId="0" xfId="0" pivotButton="1"/>
    <xf numFmtId="0" fontId="0" fillId="0" borderId="0" xfId="0" applyAlignment="1">
      <alignment horizontal="left"/>
    </xf>
    <xf numFmtId="165" fontId="0" fillId="0" borderId="0" xfId="0" applyNumberFormat="1"/>
    <xf numFmtId="0" fontId="0" fillId="0" borderId="1" xfId="0" pivotButton="1" applyBorder="1" applyAlignment="1">
      <alignment horizontal="center" vertical="center"/>
    </xf>
    <xf numFmtId="0" fontId="0" fillId="0" borderId="0" xfId="0" pivotButton="1" applyAlignment="1">
      <alignment horizontal="center" vertical="center"/>
    </xf>
    <xf numFmtId="0" fontId="0" fillId="0" borderId="0" xfId="0"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left" vertical="center" indent="7"/>
    </xf>
    <xf numFmtId="165" fontId="0" fillId="0" borderId="1" xfId="0" applyNumberFormat="1" applyBorder="1" applyAlignment="1">
      <alignment horizontal="left" vertical="center" indent="7"/>
    </xf>
    <xf numFmtId="0" fontId="7" fillId="0" borderId="3" xfId="0" applyFont="1" applyBorder="1" applyAlignment="1">
      <alignment horizontal="center" vertical="center"/>
    </xf>
    <xf numFmtId="0" fontId="8" fillId="0" borderId="8" xfId="0" applyFont="1" applyBorder="1" applyAlignment="1">
      <alignment horizontal="center" vertical="center"/>
    </xf>
    <xf numFmtId="165" fontId="8" fillId="0" borderId="8" xfId="0" applyNumberFormat="1" applyFont="1" applyBorder="1" applyAlignment="1">
      <alignment horizontal="left" vertical="center" indent="3"/>
    </xf>
    <xf numFmtId="165" fontId="8" fillId="0" borderId="8" xfId="0" applyNumberFormat="1" applyFont="1" applyBorder="1" applyAlignment="1">
      <alignment horizontal="left" vertical="center" indent="9"/>
    </xf>
    <xf numFmtId="9" fontId="8" fillId="0" borderId="8" xfId="0" applyNumberFormat="1" applyFont="1" applyBorder="1" applyAlignment="1">
      <alignment horizontal="center" vertical="center"/>
    </xf>
    <xf numFmtId="0" fontId="9" fillId="7" borderId="1" xfId="0" applyFont="1" applyFill="1" applyBorder="1" applyAlignment="1">
      <alignment horizontal="center" vertical="center"/>
    </xf>
    <xf numFmtId="0" fontId="9" fillId="7" borderId="3" xfId="0" applyFont="1" applyFill="1" applyBorder="1" applyAlignment="1">
      <alignment horizontal="center" vertical="center"/>
    </xf>
    <xf numFmtId="0" fontId="0" fillId="8" borderId="1" xfId="0" applyFill="1" applyBorder="1" applyAlignment="1">
      <alignment horizontal="center" vertical="center"/>
    </xf>
    <xf numFmtId="165" fontId="0" fillId="8" borderId="1" xfId="0" applyNumberFormat="1" applyFill="1" applyBorder="1" applyAlignment="1">
      <alignment horizontal="center" vertical="center"/>
    </xf>
    <xf numFmtId="165" fontId="0" fillId="8" borderId="1" xfId="0" applyNumberFormat="1" applyFill="1" applyBorder="1" applyAlignment="1">
      <alignment horizontal="left" vertical="center" indent="10"/>
    </xf>
    <xf numFmtId="0" fontId="5" fillId="4" borderId="17" xfId="0" applyFont="1" applyFill="1" applyBorder="1" applyAlignment="1">
      <alignment horizontal="center" vertical="center"/>
    </xf>
    <xf numFmtId="0" fontId="5" fillId="4" borderId="18" xfId="0" applyFont="1" applyFill="1" applyBorder="1" applyAlignment="1">
      <alignment horizontal="center" vertical="center"/>
    </xf>
    <xf numFmtId="0" fontId="5" fillId="4" borderId="19" xfId="0" applyFont="1" applyFill="1" applyBorder="1" applyAlignment="1">
      <alignment horizontal="center" vertical="center"/>
    </xf>
    <xf numFmtId="0" fontId="5" fillId="4" borderId="20" xfId="0" applyFont="1" applyFill="1" applyBorder="1" applyAlignment="1">
      <alignment horizontal="center" vertical="center"/>
    </xf>
    <xf numFmtId="0" fontId="5" fillId="4" borderId="11" xfId="0" applyFont="1" applyFill="1" applyBorder="1" applyAlignment="1">
      <alignment horizontal="center" vertical="center"/>
    </xf>
    <xf numFmtId="0" fontId="5" fillId="4" borderId="12" xfId="0" applyFont="1" applyFill="1" applyBorder="1" applyAlignment="1">
      <alignment horizontal="center" vertical="center"/>
    </xf>
    <xf numFmtId="0" fontId="5" fillId="4" borderId="13" xfId="0" applyFont="1" applyFill="1" applyBorder="1" applyAlignment="1">
      <alignment horizontal="center" vertical="center"/>
    </xf>
    <xf numFmtId="0" fontId="5" fillId="4" borderId="14" xfId="0" applyFont="1" applyFill="1" applyBorder="1" applyAlignment="1">
      <alignment horizontal="center" vertical="center"/>
    </xf>
    <xf numFmtId="0" fontId="5" fillId="4" borderId="15" xfId="0" applyFont="1" applyFill="1" applyBorder="1" applyAlignment="1">
      <alignment horizontal="center" vertical="center"/>
    </xf>
    <xf numFmtId="0" fontId="5" fillId="4" borderId="16" xfId="0" applyFont="1" applyFill="1" applyBorder="1" applyAlignment="1">
      <alignment horizontal="center" vertical="center"/>
    </xf>
    <xf numFmtId="0" fontId="6" fillId="6" borderId="0" xfId="0" applyFont="1" applyFill="1" applyAlignment="1">
      <alignment horizontal="center" vertical="center"/>
    </xf>
    <xf numFmtId="0" fontId="6" fillId="6" borderId="10" xfId="0" applyFont="1" applyFill="1" applyBorder="1" applyAlignment="1">
      <alignment horizontal="center" vertical="center"/>
    </xf>
    <xf numFmtId="0" fontId="0" fillId="0" borderId="0" xfId="0" applyNumberFormat="1"/>
    <xf numFmtId="0" fontId="0" fillId="0" borderId="0" xfId="0" applyNumberFormat="1" applyAlignment="1">
      <alignment horizontal="center" vertical="center"/>
    </xf>
  </cellXfs>
  <cellStyles count="1">
    <cellStyle name="Normal" xfId="0" builtinId="0"/>
  </cellStyles>
  <dxfs count="255">
    <dxf>
      <alignment relativeIndent="1"/>
    </dxf>
    <dxf>
      <alignment relativeIndent="1"/>
    </dxf>
    <dxf>
      <alignment relativeIndent="1"/>
    </dxf>
    <dxf>
      <alignment relativeIndent="1"/>
    </dxf>
    <dxf>
      <alignment relativeIndent="1"/>
    </dxf>
    <dxf>
      <alignment relativeIndent="1"/>
    </dxf>
    <dxf>
      <alignment horizontal="left" relativeIndent="1"/>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vertical="center"/>
    </dxf>
    <dxf>
      <alignment vertical="center"/>
    </dxf>
    <dxf>
      <alignment vertic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relativeIndent="1"/>
    </dxf>
    <dxf>
      <alignment horizontal="left" relativeIndent="1"/>
    </dxf>
    <dxf>
      <font>
        <strike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auto="1"/>
        <name val="Consolas"/>
        <family val="3"/>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Calibri"/>
        <family val="2"/>
        <scheme val="minor"/>
      </font>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right/>
        <top style="thin">
          <color indexed="64"/>
        </top>
        <bottom/>
      </border>
    </dxf>
    <dxf>
      <font>
        <strike val="0"/>
        <outline val="0"/>
        <shadow val="0"/>
        <u val="none"/>
        <vertAlign val="baseline"/>
        <sz val="11"/>
        <color auto="1"/>
        <name val="Calibri"/>
        <family val="2"/>
        <scheme val="minor"/>
      </font>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alignment horizontal="center" vertical="center" textRotation="0" wrapText="0" indent="0" justifyLastLine="0" shrinkToFit="0" readingOrder="0"/>
    </dxf>
    <dxf>
      <border outline="0">
        <bottom style="thin">
          <color indexed="64"/>
        </bottom>
      </border>
    </dxf>
    <dxf>
      <font>
        <b/>
        <i/>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3"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9" tint="-0.49998474074526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5" formatCode="_-[$$-409]* #,##0.00_ ;_-[$$-409]* \-#,##0.00\ ;_-[$$-409]* &quot;-&quot;??_ ;_-@_ "/>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9" tint="-0.499984740745262"/>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9" tint="-0.499984740745262"/>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numFmt numFmtId="165" formatCode="_-[$$-409]* #,##0.00_ ;_-[$$-409]* \-#,##0.00\ ;_-[$$-409]* &quot;-&quot;??_ ;_-@_ "/>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numFmt numFmtId="165" formatCode="_-[$$-409]* #,##0.00_ ;_-[$$-409]* \-#,##0.00\ ;_-[$$-409]* &quot;-&quot;??_ ;_-@_ "/>
      <alignment horizontal="left" vertical="center" textRotation="0" wrapText="0" indent="5"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numFmt numFmtId="165" formatCode="_-[$$-409]* #,##0.00_ ;_-[$$-409]* \-#,##0.00\ ;_-[$$-409]* &quot;-&quot;??_ ;_-@_ "/>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numFmt numFmtId="165" formatCode="_-[$$-409]* #,##0.00_ ;_-[$$-409]* \-#,##0.00\ ;_-[$$-409]* &quot;-&quot;??_ ;_-@_ "/>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dd\-mmm\-yyyy;@" x16r2:formatCode16="[$-en-PK,1]d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dd\-mmm\-yyyy;@" x16r2:formatCode16="[$-en-PK,1]d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4" formatCode="[$]dd\-mmm\-yyyy;@" x16r2:formatCode16="[$-en-PK,1]d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font>
        <b/>
        <i/>
        <strike val="0"/>
        <outline val="0"/>
        <shadow val="0"/>
        <u val="none"/>
        <vertAlign val="baseline"/>
        <sz val="12"/>
        <color theme="1"/>
        <name val="Calibri"/>
        <family val="2"/>
        <scheme val="minor"/>
      </font>
      <fill>
        <patternFill patternType="solid">
          <fgColor indexed="64"/>
          <bgColor theme="8"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numFmt numFmtId="165" formatCode="_-[$$-409]* #,##0.00_ ;_-[$$-409]* \-#,##0.00\ ;_-[$$-409]* &quot;-&quot;??_ ;_-@_ "/>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top style="thin">
          <color indexed="64"/>
        </top>
        <bottom style="thin">
          <color indexed="64"/>
        </bottom>
      </border>
    </dxf>
    <dxf>
      <numFmt numFmtId="165" formatCode="_-[$$-409]* #,##0.00_ ;_-[$$-409]* \-#,##0.00\ ;_-[$$-409]* &quot;-&quot;??_ ;_-@_ "/>
      <alignment horizontal="left" vertical="center" textRotation="0" wrapText="0" indent="5"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numFmt numFmtId="165" formatCode="_-[$$-409]* #,##0.00_ ;_-[$$-409]* \-#,##0.00\ ;_-[$$-409]* &quot;-&quot;??_ ;_-@_ "/>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numFmt numFmtId="165" formatCode="_-[$$-409]* #,##0.00_ ;_-[$$-409]* \-#,##0.00\ ;_-[$$-409]* &quot;-&quot;??_ ;_-@_ "/>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numFmt numFmtId="165" formatCode="_-[$$-409]* #,##0.00_ ;_-[$$-409]* \-#,##0.00\ ;_-[$$-409]* &quot;-&quot;??_ ;_-@_ "/>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dd\-mmm\-yyyy;@" x16r2:formatCode16="[$-en-PK,1]d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dd\-mmm\-yyyy;@" x16r2:formatCode16="[$-en-PK,1]d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4" formatCode="[$]dd\-mmm\-yyyy;@" x16r2:formatCode16="[$-en-PK,1]d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font>
        <b/>
        <i/>
        <strike val="0"/>
        <outline val="0"/>
        <shadow val="0"/>
        <u val="none"/>
        <vertAlign val="baseline"/>
        <sz val="12"/>
        <color theme="1"/>
        <name val="Calibri"/>
        <family val="2"/>
        <scheme val="minor"/>
      </font>
      <fill>
        <patternFill patternType="solid">
          <fgColor indexed="64"/>
          <bgColor theme="8"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sz val="14"/>
        <color theme="2"/>
      </font>
    </dxf>
    <dxf>
      <font>
        <b val="0"/>
        <i/>
        <sz val="12"/>
      </font>
      <fill>
        <patternFill>
          <bgColor rgb="FF07657B"/>
        </patternFill>
      </fill>
    </dxf>
    <dxf>
      <font>
        <b/>
        <i val="0"/>
        <sz val="14"/>
        <color theme="2"/>
        <name val="Aharoni"/>
        <scheme val="none"/>
      </font>
    </dxf>
    <dxf>
      <fill>
        <patternFill>
          <bgColor theme="8" tint="-0.499984740745262"/>
        </patternFill>
      </fill>
    </dxf>
    <dxf>
      <font>
        <color theme="2"/>
      </font>
      <fill>
        <patternFill>
          <bgColor rgb="FF00133A"/>
        </patternFill>
      </fill>
    </dxf>
  </dxfs>
  <tableStyles count="5" defaultTableStyle="TableStyleMedium2" defaultPivotStyle="PivotStyleLight16">
    <tableStyle name="Slicer Style 1" pivot="0" table="0" count="1" xr9:uid="{E4DD2C51-9408-401E-A9AC-6CFDEAAD9BF2}"/>
    <tableStyle name="Slicer Style 2" pivot="0" table="0" count="4" xr9:uid="{BA585454-77F4-43D1-86B9-04BD93EB95E5}">
      <tableStyleElement type="wholeTable" dxfId="254"/>
    </tableStyle>
    <tableStyle name="Slicer Style 3" pivot="0" table="0" count="1" xr9:uid="{C6085345-B395-48C9-AA19-5D987D0C58D6}">
      <tableStyleElement type="wholeTable" dxfId="253"/>
    </tableStyle>
    <tableStyle name="Slicer Style 4" pivot="0" table="0" count="2" xr9:uid="{34DADEBF-470B-49F3-A979-EF3BD7973495}">
      <tableStyleElement type="wholeTable" dxfId="252"/>
      <tableStyleElement type="headerRow" dxfId="251"/>
    </tableStyle>
    <tableStyle name="Slicer Style 5" pivot="0" table="0" count="1" xr9:uid="{5D8565B5-41C1-4550-A665-1040A1EE5C02}">
      <tableStyleElement type="headerRow" dxfId="250"/>
    </tableStyle>
  </tableStyles>
  <colors>
    <mruColors>
      <color rgb="FF00133A"/>
      <color rgb="FF00194C"/>
      <color rgb="FFF8F8F8"/>
      <color rgb="FF001C54"/>
      <color rgb="FF001746"/>
      <color rgb="FF07657B"/>
      <color rgb="FF00297A"/>
      <color rgb="FF00355C"/>
      <color rgb="FF00129A"/>
      <color rgb="FF004A82"/>
    </mruColors>
  </colors>
  <extLst>
    <ext xmlns:x14="http://schemas.microsoft.com/office/spreadsheetml/2009/9/main" uri="{46F421CA-312F-682f-3DD2-61675219B42D}">
      <x14:dxfs count="4">
        <dxf>
          <fill>
            <patternFill>
              <bgColor rgb="FF0070C0"/>
            </patternFill>
          </fill>
        </dxf>
        <dxf>
          <fill>
            <patternFill>
              <bgColor rgb="FF002060"/>
            </patternFill>
          </fill>
        </dxf>
        <dxf>
          <fill>
            <patternFill>
              <bgColor rgb="FF001C54"/>
            </patternFill>
          </fill>
        </dxf>
        <dxf>
          <fill>
            <patternFill>
              <bgColor theme="8"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s>
        </x14:slicerStyle>
        <x14:slicerStyle name="Slicer Style 2">
          <x14:slicerStyleElements>
            <x14:slicerStyleElement type="unselectedItemWithData" dxfId="2"/>
            <x14:slicerStyleElement type="selectedItemWithData" dxfId="1"/>
            <x14:slicerStyleElement type="hoveredUnselectedItemWithData" dxfId="0"/>
          </x14:slicerStyleElements>
        </x14:slicerStyle>
        <x14:slicerStyle name="Slicer Style 3"/>
        <x14:slicerStyle name="Slicer Style 4"/>
        <x14:slicerStyle name="Slicer Style 5"/>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&amp; INVENTORY DASHBOARD.xlsm]Pivot_Layer!PivotTable1</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Pivot_Layer!$B$3:$B$4</c:f>
              <c:strCache>
                <c:ptCount val="1"/>
                <c:pt idx="0">
                  <c:v>Central</c:v>
                </c:pt>
              </c:strCache>
            </c:strRef>
          </c:tx>
          <c:spPr>
            <a:solidFill>
              <a:schemeClr val="accent1"/>
            </a:solidFill>
            <a:ln>
              <a:noFill/>
            </a:ln>
            <a:effectLst/>
            <a:sp3d/>
          </c:spPr>
          <c:invertIfNegative val="0"/>
          <c:cat>
            <c:strRef>
              <c:f>Pivot_Layer!$A$5:$A$17</c:f>
              <c:strCache>
                <c:ptCount val="13"/>
                <c:pt idx="0">
                  <c:v>Accessories</c:v>
                </c:pt>
                <c:pt idx="1">
                  <c:v>Apparel</c:v>
                </c:pt>
                <c:pt idx="2">
                  <c:v>Automotive</c:v>
                </c:pt>
                <c:pt idx="3">
                  <c:v>Books</c:v>
                </c:pt>
                <c:pt idx="4">
                  <c:v>Electronics</c:v>
                </c:pt>
                <c:pt idx="5">
                  <c:v>Fitness</c:v>
                </c:pt>
                <c:pt idx="6">
                  <c:v>Food</c:v>
                </c:pt>
                <c:pt idx="7">
                  <c:v>Furniture</c:v>
                </c:pt>
                <c:pt idx="8">
                  <c:v>Home</c:v>
                </c:pt>
                <c:pt idx="9">
                  <c:v>Jewelry</c:v>
                </c:pt>
                <c:pt idx="10">
                  <c:v>Office</c:v>
                </c:pt>
                <c:pt idx="11">
                  <c:v>Personal Care</c:v>
                </c:pt>
                <c:pt idx="12">
                  <c:v>Pets</c:v>
                </c:pt>
              </c:strCache>
            </c:strRef>
          </c:cat>
          <c:val>
            <c:numRef>
              <c:f>Pivot_Layer!$B$5:$B$17</c:f>
              <c:numCache>
                <c:formatCode>_-[$$-409]* #,##0.00_ ;_-[$$-409]* \-#,##0.00\ ;_-[$$-409]* "-"??_ ;_-@_ </c:formatCode>
                <c:ptCount val="13"/>
                <c:pt idx="1">
                  <c:v>8</c:v>
                </c:pt>
                <c:pt idx="2">
                  <c:v>6</c:v>
                </c:pt>
                <c:pt idx="3">
                  <c:v>14.116145000000001</c:v>
                </c:pt>
                <c:pt idx="4">
                  <c:v>1609.0430000000001</c:v>
                </c:pt>
                <c:pt idx="5">
                  <c:v>58.037615000000002</c:v>
                </c:pt>
                <c:pt idx="6">
                  <c:v>2</c:v>
                </c:pt>
                <c:pt idx="8">
                  <c:v>97.6388125</c:v>
                </c:pt>
                <c:pt idx="10">
                  <c:v>33</c:v>
                </c:pt>
                <c:pt idx="11">
                  <c:v>3</c:v>
                </c:pt>
              </c:numCache>
            </c:numRef>
          </c:val>
          <c:extLst>
            <c:ext xmlns:c16="http://schemas.microsoft.com/office/drawing/2014/chart" uri="{C3380CC4-5D6E-409C-BE32-E72D297353CC}">
              <c16:uniqueId val="{00000012-BE5C-402B-AB8A-6877FB517F41}"/>
            </c:ext>
          </c:extLst>
        </c:ser>
        <c:ser>
          <c:idx val="1"/>
          <c:order val="1"/>
          <c:tx>
            <c:strRef>
              <c:f>Pivot_Layer!$C$3:$C$4</c:f>
              <c:strCache>
                <c:ptCount val="1"/>
                <c:pt idx="0">
                  <c:v>East</c:v>
                </c:pt>
              </c:strCache>
            </c:strRef>
          </c:tx>
          <c:spPr>
            <a:solidFill>
              <a:schemeClr val="accent2"/>
            </a:solidFill>
            <a:ln>
              <a:noFill/>
            </a:ln>
            <a:effectLst/>
            <a:sp3d/>
          </c:spPr>
          <c:invertIfNegative val="0"/>
          <c:cat>
            <c:strRef>
              <c:f>Pivot_Layer!$A$5:$A$17</c:f>
              <c:strCache>
                <c:ptCount val="13"/>
                <c:pt idx="0">
                  <c:v>Accessories</c:v>
                </c:pt>
                <c:pt idx="1">
                  <c:v>Apparel</c:v>
                </c:pt>
                <c:pt idx="2">
                  <c:v>Automotive</c:v>
                </c:pt>
                <c:pt idx="3">
                  <c:v>Books</c:v>
                </c:pt>
                <c:pt idx="4">
                  <c:v>Electronics</c:v>
                </c:pt>
                <c:pt idx="5">
                  <c:v>Fitness</c:v>
                </c:pt>
                <c:pt idx="6">
                  <c:v>Food</c:v>
                </c:pt>
                <c:pt idx="7">
                  <c:v>Furniture</c:v>
                </c:pt>
                <c:pt idx="8">
                  <c:v>Home</c:v>
                </c:pt>
                <c:pt idx="9">
                  <c:v>Jewelry</c:v>
                </c:pt>
                <c:pt idx="10">
                  <c:v>Office</c:v>
                </c:pt>
                <c:pt idx="11">
                  <c:v>Personal Care</c:v>
                </c:pt>
                <c:pt idx="12">
                  <c:v>Pets</c:v>
                </c:pt>
              </c:strCache>
            </c:strRef>
          </c:cat>
          <c:val>
            <c:numRef>
              <c:f>Pivot_Layer!$C$5:$C$17</c:f>
              <c:numCache>
                <c:formatCode>_-[$$-409]* #,##0.00_ ;_-[$$-409]* \-#,##0.00\ ;_-[$$-409]* "-"??_ ;_-@_ </c:formatCode>
                <c:ptCount val="13"/>
                <c:pt idx="1">
                  <c:v>3</c:v>
                </c:pt>
                <c:pt idx="4">
                  <c:v>429.32400000000001</c:v>
                </c:pt>
                <c:pt idx="5">
                  <c:v>19</c:v>
                </c:pt>
                <c:pt idx="7">
                  <c:v>183.85300000000001</c:v>
                </c:pt>
                <c:pt idx="8">
                  <c:v>17</c:v>
                </c:pt>
                <c:pt idx="12">
                  <c:v>8</c:v>
                </c:pt>
              </c:numCache>
            </c:numRef>
          </c:val>
          <c:extLst>
            <c:ext xmlns:c16="http://schemas.microsoft.com/office/drawing/2014/chart" uri="{C3380CC4-5D6E-409C-BE32-E72D297353CC}">
              <c16:uniqueId val="{00000018-BE5C-402B-AB8A-6877FB517F41}"/>
            </c:ext>
          </c:extLst>
        </c:ser>
        <c:ser>
          <c:idx val="2"/>
          <c:order val="2"/>
          <c:tx>
            <c:strRef>
              <c:f>Pivot_Layer!$D$3:$D$4</c:f>
              <c:strCache>
                <c:ptCount val="1"/>
                <c:pt idx="0">
                  <c:v>South</c:v>
                </c:pt>
              </c:strCache>
            </c:strRef>
          </c:tx>
          <c:spPr>
            <a:solidFill>
              <a:schemeClr val="accent3"/>
            </a:solidFill>
            <a:ln>
              <a:noFill/>
            </a:ln>
            <a:effectLst/>
            <a:sp3d/>
          </c:spPr>
          <c:invertIfNegative val="0"/>
          <c:cat>
            <c:strRef>
              <c:f>Pivot_Layer!$A$5:$A$17</c:f>
              <c:strCache>
                <c:ptCount val="13"/>
                <c:pt idx="0">
                  <c:v>Accessories</c:v>
                </c:pt>
                <c:pt idx="1">
                  <c:v>Apparel</c:v>
                </c:pt>
                <c:pt idx="2">
                  <c:v>Automotive</c:v>
                </c:pt>
                <c:pt idx="3">
                  <c:v>Books</c:v>
                </c:pt>
                <c:pt idx="4">
                  <c:v>Electronics</c:v>
                </c:pt>
                <c:pt idx="5">
                  <c:v>Fitness</c:v>
                </c:pt>
                <c:pt idx="6">
                  <c:v>Food</c:v>
                </c:pt>
                <c:pt idx="7">
                  <c:v>Furniture</c:v>
                </c:pt>
                <c:pt idx="8">
                  <c:v>Home</c:v>
                </c:pt>
                <c:pt idx="9">
                  <c:v>Jewelry</c:v>
                </c:pt>
                <c:pt idx="10">
                  <c:v>Office</c:v>
                </c:pt>
                <c:pt idx="11">
                  <c:v>Personal Care</c:v>
                </c:pt>
                <c:pt idx="12">
                  <c:v>Pets</c:v>
                </c:pt>
              </c:strCache>
            </c:strRef>
          </c:cat>
          <c:val>
            <c:numRef>
              <c:f>Pivot_Layer!$D$5:$D$17</c:f>
              <c:numCache>
                <c:formatCode>_-[$$-409]* #,##0.00_ ;_-[$$-409]* \-#,##0.00\ ;_-[$$-409]* "-"??_ ;_-@_ </c:formatCode>
                <c:ptCount val="13"/>
                <c:pt idx="0">
                  <c:v>8</c:v>
                </c:pt>
                <c:pt idx="1">
                  <c:v>8</c:v>
                </c:pt>
                <c:pt idx="4">
                  <c:v>93.212099999999992</c:v>
                </c:pt>
                <c:pt idx="5">
                  <c:v>3</c:v>
                </c:pt>
                <c:pt idx="7">
                  <c:v>232.567215</c:v>
                </c:pt>
                <c:pt idx="8">
                  <c:v>106.70971729999999</c:v>
                </c:pt>
                <c:pt idx="9">
                  <c:v>5</c:v>
                </c:pt>
                <c:pt idx="11">
                  <c:v>13</c:v>
                </c:pt>
              </c:numCache>
            </c:numRef>
          </c:val>
          <c:extLst>
            <c:ext xmlns:c16="http://schemas.microsoft.com/office/drawing/2014/chart" uri="{C3380CC4-5D6E-409C-BE32-E72D297353CC}">
              <c16:uniqueId val="{00000019-BE5C-402B-AB8A-6877FB517F41}"/>
            </c:ext>
          </c:extLst>
        </c:ser>
        <c:ser>
          <c:idx val="3"/>
          <c:order val="3"/>
          <c:tx>
            <c:strRef>
              <c:f>Pivot_Layer!$E$3:$E$4</c:f>
              <c:strCache>
                <c:ptCount val="1"/>
                <c:pt idx="0">
                  <c:v>West</c:v>
                </c:pt>
              </c:strCache>
            </c:strRef>
          </c:tx>
          <c:spPr>
            <a:solidFill>
              <a:schemeClr val="accent4"/>
            </a:solidFill>
            <a:ln>
              <a:noFill/>
            </a:ln>
            <a:effectLst/>
            <a:sp3d/>
          </c:spPr>
          <c:invertIfNegative val="0"/>
          <c:cat>
            <c:strRef>
              <c:f>Pivot_Layer!$A$5:$A$17</c:f>
              <c:strCache>
                <c:ptCount val="13"/>
                <c:pt idx="0">
                  <c:v>Accessories</c:v>
                </c:pt>
                <c:pt idx="1">
                  <c:v>Apparel</c:v>
                </c:pt>
                <c:pt idx="2">
                  <c:v>Automotive</c:v>
                </c:pt>
                <c:pt idx="3">
                  <c:v>Books</c:v>
                </c:pt>
                <c:pt idx="4">
                  <c:v>Electronics</c:v>
                </c:pt>
                <c:pt idx="5">
                  <c:v>Fitness</c:v>
                </c:pt>
                <c:pt idx="6">
                  <c:v>Food</c:v>
                </c:pt>
                <c:pt idx="7">
                  <c:v>Furniture</c:v>
                </c:pt>
                <c:pt idx="8">
                  <c:v>Home</c:v>
                </c:pt>
                <c:pt idx="9">
                  <c:v>Jewelry</c:v>
                </c:pt>
                <c:pt idx="10">
                  <c:v>Office</c:v>
                </c:pt>
                <c:pt idx="11">
                  <c:v>Personal Care</c:v>
                </c:pt>
                <c:pt idx="12">
                  <c:v>Pets</c:v>
                </c:pt>
              </c:strCache>
            </c:strRef>
          </c:cat>
          <c:val>
            <c:numRef>
              <c:f>Pivot_Layer!$E$5:$E$17</c:f>
              <c:numCache>
                <c:formatCode>_-[$$-409]* #,##0.00_ ;_-[$$-409]* \-#,##0.00\ ;_-[$$-409]* "-"??_ ;_-@_ </c:formatCode>
                <c:ptCount val="13"/>
                <c:pt idx="0">
                  <c:v>19.515207499999999</c:v>
                </c:pt>
                <c:pt idx="1">
                  <c:v>126.37400375</c:v>
                </c:pt>
                <c:pt idx="4">
                  <c:v>3064.0209449999998</c:v>
                </c:pt>
                <c:pt idx="5">
                  <c:v>2065.6280300000003</c:v>
                </c:pt>
                <c:pt idx="6">
                  <c:v>6</c:v>
                </c:pt>
                <c:pt idx="7">
                  <c:v>15</c:v>
                </c:pt>
                <c:pt idx="8">
                  <c:v>55.018262499999999</c:v>
                </c:pt>
                <c:pt idx="10">
                  <c:v>9</c:v>
                </c:pt>
                <c:pt idx="11">
                  <c:v>6</c:v>
                </c:pt>
                <c:pt idx="12">
                  <c:v>5</c:v>
                </c:pt>
              </c:numCache>
            </c:numRef>
          </c:val>
          <c:extLst>
            <c:ext xmlns:c16="http://schemas.microsoft.com/office/drawing/2014/chart" uri="{C3380CC4-5D6E-409C-BE32-E72D297353CC}">
              <c16:uniqueId val="{0000001A-BE5C-402B-AB8A-6877FB517F41}"/>
            </c:ext>
          </c:extLst>
        </c:ser>
        <c:dLbls>
          <c:showLegendKey val="0"/>
          <c:showVal val="0"/>
          <c:showCatName val="0"/>
          <c:showSerName val="0"/>
          <c:showPercent val="0"/>
          <c:showBubbleSize val="0"/>
        </c:dLbls>
        <c:gapWidth val="150"/>
        <c:shape val="box"/>
        <c:axId val="730761704"/>
        <c:axId val="730760624"/>
        <c:axId val="0"/>
      </c:bar3DChart>
      <c:catAx>
        <c:axId val="7307617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760624"/>
        <c:crosses val="autoZero"/>
        <c:auto val="1"/>
        <c:lblAlgn val="ctr"/>
        <c:lblOffset val="100"/>
        <c:noMultiLvlLbl val="0"/>
      </c:catAx>
      <c:valAx>
        <c:axId val="730760624"/>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761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&amp; INVENTORY DASHBOARD.xlsm]Pivot_Layer!PivotTable2</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Pivot_Layer!$B$27</c:f>
              <c:strCache>
                <c:ptCount val="1"/>
                <c:pt idx="0">
                  <c:v>Sum of TotalRevenue</c:v>
                </c:pt>
              </c:strCache>
            </c:strRef>
          </c:tx>
          <c:spPr>
            <a:solidFill>
              <a:schemeClr val="accent1"/>
            </a:solidFill>
            <a:ln>
              <a:noFill/>
            </a:ln>
            <a:effectLst/>
            <a:sp3d/>
          </c:spPr>
          <c:cat>
            <c:strRef>
              <c:f>Pivot_Layer!$A$28:$A$31</c:f>
              <c:strCache>
                <c:ptCount val="3"/>
                <c:pt idx="0">
                  <c:v>Jan</c:v>
                </c:pt>
                <c:pt idx="1">
                  <c:v>Feb</c:v>
                </c:pt>
                <c:pt idx="2">
                  <c:v>Mar</c:v>
                </c:pt>
              </c:strCache>
            </c:strRef>
          </c:cat>
          <c:val>
            <c:numRef>
              <c:f>Pivot_Layer!$B$28:$B$31</c:f>
              <c:numCache>
                <c:formatCode>_-[$$-409]* #,##0.00_ ;_-[$$-409]* \-#,##0.00\ ;_-[$$-409]* "-"??_ ;_-@_ </c:formatCode>
                <c:ptCount val="3"/>
                <c:pt idx="0">
                  <c:v>7180.0773412499984</c:v>
                </c:pt>
                <c:pt idx="1">
                  <c:v>892.52672749999999</c:v>
                </c:pt>
                <c:pt idx="2">
                  <c:v>259.4539848</c:v>
                </c:pt>
              </c:numCache>
            </c:numRef>
          </c:val>
          <c:smooth val="0"/>
          <c:extLst>
            <c:ext xmlns:c16="http://schemas.microsoft.com/office/drawing/2014/chart" uri="{C3380CC4-5D6E-409C-BE32-E72D297353CC}">
              <c16:uniqueId val="{00000000-604B-4C29-AD1C-2AC39F1DE5B0}"/>
            </c:ext>
          </c:extLst>
        </c:ser>
        <c:ser>
          <c:idx val="1"/>
          <c:order val="1"/>
          <c:tx>
            <c:strRef>
              <c:f>Pivot_Layer!$C$27</c:f>
              <c:strCache>
                <c:ptCount val="1"/>
                <c:pt idx="0">
                  <c:v>Count of OrderID</c:v>
                </c:pt>
              </c:strCache>
            </c:strRef>
          </c:tx>
          <c:spPr>
            <a:solidFill>
              <a:schemeClr val="accent2"/>
            </a:solidFill>
            <a:ln>
              <a:noFill/>
            </a:ln>
            <a:effectLst/>
            <a:sp3d/>
          </c:spPr>
          <c:cat>
            <c:strRef>
              <c:f>Pivot_Layer!$A$28:$A$31</c:f>
              <c:strCache>
                <c:ptCount val="3"/>
                <c:pt idx="0">
                  <c:v>Jan</c:v>
                </c:pt>
                <c:pt idx="1">
                  <c:v>Feb</c:v>
                </c:pt>
                <c:pt idx="2">
                  <c:v>Mar</c:v>
                </c:pt>
              </c:strCache>
            </c:strRef>
          </c:cat>
          <c:val>
            <c:numRef>
              <c:f>Pivot_Layer!$C$28:$C$31</c:f>
              <c:numCache>
                <c:formatCode>General</c:formatCode>
                <c:ptCount val="3"/>
                <c:pt idx="0">
                  <c:v>33</c:v>
                </c:pt>
                <c:pt idx="1">
                  <c:v>56</c:v>
                </c:pt>
                <c:pt idx="2">
                  <c:v>31</c:v>
                </c:pt>
              </c:numCache>
            </c:numRef>
          </c:val>
          <c:smooth val="0"/>
          <c:extLst>
            <c:ext xmlns:c16="http://schemas.microsoft.com/office/drawing/2014/chart" uri="{C3380CC4-5D6E-409C-BE32-E72D297353CC}">
              <c16:uniqueId val="{00000001-604B-4C29-AD1C-2AC39F1DE5B0}"/>
            </c:ext>
          </c:extLst>
        </c:ser>
        <c:dLbls>
          <c:showLegendKey val="0"/>
          <c:showVal val="0"/>
          <c:showCatName val="0"/>
          <c:showSerName val="0"/>
          <c:showPercent val="0"/>
          <c:showBubbleSize val="0"/>
        </c:dLbls>
        <c:axId val="576992776"/>
        <c:axId val="576994576"/>
        <c:axId val="133013664"/>
      </c:line3DChart>
      <c:catAx>
        <c:axId val="576992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994576"/>
        <c:crosses val="autoZero"/>
        <c:auto val="1"/>
        <c:lblAlgn val="ctr"/>
        <c:lblOffset val="100"/>
        <c:noMultiLvlLbl val="0"/>
      </c:catAx>
      <c:valAx>
        <c:axId val="576994576"/>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992776"/>
        <c:crosses val="autoZero"/>
        <c:crossBetween val="between"/>
      </c:valAx>
      <c:serAx>
        <c:axId val="13301366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99457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&amp; INVENTORY DASHBOARD.xlsm]Pivot_Layer!PivotTable3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Pivot_Layer!$B$39</c:f>
              <c:strCache>
                <c:ptCount val="1"/>
                <c:pt idx="0">
                  <c:v>Count of ReturnReason</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dPt>
            <c:idx val="10"/>
            <c:bubble3D val="0"/>
            <c:spPr>
              <a:solidFill>
                <a:schemeClr val="accent5">
                  <a:lumMod val="60000"/>
                </a:schemeClr>
              </a:solidFill>
              <a:ln w="25400">
                <a:solidFill>
                  <a:schemeClr val="lt1"/>
                </a:solidFill>
              </a:ln>
              <a:effectLst/>
              <a:sp3d contourW="25400">
                <a:contourClr>
                  <a:schemeClr val="lt1"/>
                </a:contourClr>
              </a:sp3d>
            </c:spPr>
          </c:dPt>
          <c:cat>
            <c:strRef>
              <c:f>Pivot_Layer!$A$40:$A$50</c:f>
              <c:strCache>
                <c:ptCount val="11"/>
                <c:pt idx="0">
                  <c:v>UrbanCart Austin</c:v>
                </c:pt>
                <c:pt idx="1">
                  <c:v>UrbanCart Boston</c:v>
                </c:pt>
                <c:pt idx="2">
                  <c:v>UrbanCart Chicago</c:v>
                </c:pt>
                <c:pt idx="3">
                  <c:v>UrbanCart Columbus</c:v>
                </c:pt>
                <c:pt idx="4">
                  <c:v>UrbanCart Denver</c:v>
                </c:pt>
                <c:pt idx="5">
                  <c:v>UrbanCart Detroit</c:v>
                </c:pt>
                <c:pt idx="6">
                  <c:v>UrbanCart Houston</c:v>
                </c:pt>
                <c:pt idx="7">
                  <c:v>UrbanCart Miami</c:v>
                </c:pt>
                <c:pt idx="8">
                  <c:v>UrbanCart Phoenix</c:v>
                </c:pt>
                <c:pt idx="9">
                  <c:v>UrbanCart Portland</c:v>
                </c:pt>
                <c:pt idx="10">
                  <c:v>UrbanCart Seattle</c:v>
                </c:pt>
              </c:strCache>
            </c:strRef>
          </c:cat>
          <c:val>
            <c:numRef>
              <c:f>Pivot_Layer!$B$40:$B$50</c:f>
              <c:numCache>
                <c:formatCode>General</c:formatCode>
                <c:ptCount val="11"/>
                <c:pt idx="0">
                  <c:v>11</c:v>
                </c:pt>
                <c:pt idx="1">
                  <c:v>11</c:v>
                </c:pt>
                <c:pt idx="2">
                  <c:v>12</c:v>
                </c:pt>
                <c:pt idx="3">
                  <c:v>10</c:v>
                </c:pt>
                <c:pt idx="4">
                  <c:v>10</c:v>
                </c:pt>
                <c:pt idx="5">
                  <c:v>11</c:v>
                </c:pt>
                <c:pt idx="6">
                  <c:v>11</c:v>
                </c:pt>
                <c:pt idx="7">
                  <c:v>11</c:v>
                </c:pt>
                <c:pt idx="8">
                  <c:v>11</c:v>
                </c:pt>
                <c:pt idx="9">
                  <c:v>11</c:v>
                </c:pt>
                <c:pt idx="10">
                  <c:v>11</c:v>
                </c:pt>
              </c:numCache>
            </c:numRef>
          </c:val>
          <c:extLst>
            <c:ext xmlns:c16="http://schemas.microsoft.com/office/drawing/2014/chart" uri="{C3380CC4-5D6E-409C-BE32-E72D297353CC}">
              <c16:uniqueId val="{0000002E-AD16-483E-9819-C3A2D9D2ED14}"/>
            </c:ext>
          </c:extLst>
        </c:ser>
        <c:ser>
          <c:idx val="1"/>
          <c:order val="1"/>
          <c:tx>
            <c:strRef>
              <c:f>Pivot_Layer!$C$39</c:f>
              <c:strCache>
                <c:ptCount val="1"/>
                <c:pt idx="0">
                  <c:v>Sum of ProfitMargin</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dPt>
            <c:idx val="10"/>
            <c:bubble3D val="0"/>
            <c:spPr>
              <a:solidFill>
                <a:schemeClr val="accent5">
                  <a:lumMod val="60000"/>
                </a:schemeClr>
              </a:solidFill>
              <a:ln w="25400">
                <a:solidFill>
                  <a:schemeClr val="lt1"/>
                </a:solidFill>
              </a:ln>
              <a:effectLst/>
              <a:sp3d contourW="25400">
                <a:contourClr>
                  <a:schemeClr val="lt1"/>
                </a:contourClr>
              </a:sp3d>
            </c:spPr>
          </c:dPt>
          <c:cat>
            <c:strRef>
              <c:f>Pivot_Layer!$A$40:$A$50</c:f>
              <c:strCache>
                <c:ptCount val="11"/>
                <c:pt idx="0">
                  <c:v>UrbanCart Austin</c:v>
                </c:pt>
                <c:pt idx="1">
                  <c:v>UrbanCart Boston</c:v>
                </c:pt>
                <c:pt idx="2">
                  <c:v>UrbanCart Chicago</c:v>
                </c:pt>
                <c:pt idx="3">
                  <c:v>UrbanCart Columbus</c:v>
                </c:pt>
                <c:pt idx="4">
                  <c:v>UrbanCart Denver</c:v>
                </c:pt>
                <c:pt idx="5">
                  <c:v>UrbanCart Detroit</c:v>
                </c:pt>
                <c:pt idx="6">
                  <c:v>UrbanCart Houston</c:v>
                </c:pt>
                <c:pt idx="7">
                  <c:v>UrbanCart Miami</c:v>
                </c:pt>
                <c:pt idx="8">
                  <c:v>UrbanCart Phoenix</c:v>
                </c:pt>
                <c:pt idx="9">
                  <c:v>UrbanCart Portland</c:v>
                </c:pt>
                <c:pt idx="10">
                  <c:v>UrbanCart Seattle</c:v>
                </c:pt>
              </c:strCache>
            </c:strRef>
          </c:cat>
          <c:val>
            <c:numRef>
              <c:f>Pivot_Layer!$C$40:$C$50</c:f>
              <c:numCache>
                <c:formatCode>_-[$$-409]* #,##0.00_ ;_-[$$-409]* \-#,##0.00\ ;_-[$$-409]* "-"??_ ;_-@_ </c:formatCode>
                <c:ptCount val="11"/>
                <c:pt idx="0">
                  <c:v>-80.397097752511186</c:v>
                </c:pt>
                <c:pt idx="1">
                  <c:v>-95.603628733562246</c:v>
                </c:pt>
                <c:pt idx="2">
                  <c:v>-90.051939155630279</c:v>
                </c:pt>
                <c:pt idx="3">
                  <c:v>-71.705817001497522</c:v>
                </c:pt>
                <c:pt idx="4">
                  <c:v>-81.034495887907411</c:v>
                </c:pt>
                <c:pt idx="5">
                  <c:v>-99.808499857451608</c:v>
                </c:pt>
                <c:pt idx="6">
                  <c:v>-96.158712331642874</c:v>
                </c:pt>
                <c:pt idx="7">
                  <c:v>-120.24004251909599</c:v>
                </c:pt>
                <c:pt idx="8">
                  <c:v>-87.152455871119642</c:v>
                </c:pt>
                <c:pt idx="9">
                  <c:v>-93.978051750501507</c:v>
                </c:pt>
                <c:pt idx="10">
                  <c:v>-76.457347253201675</c:v>
                </c:pt>
              </c:numCache>
            </c:numRef>
          </c:val>
          <c:extLst>
            <c:ext xmlns:c16="http://schemas.microsoft.com/office/drawing/2014/chart" uri="{C3380CC4-5D6E-409C-BE32-E72D297353CC}">
              <c16:uniqueId val="{0000002F-AD16-483E-9819-C3A2D9D2ED14}"/>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&amp; INVENTORY DASHBOARD.xlsm]Pivot_Layer!PivotTable6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Pivot_Layer!$B$56</c:f>
              <c:strCache>
                <c:ptCount val="1"/>
                <c:pt idx="0">
                  <c:v>Sum of TotalRevenue</c:v>
                </c:pt>
              </c:strCache>
            </c:strRef>
          </c:tx>
          <c:spPr>
            <a:solidFill>
              <a:schemeClr val="accent1"/>
            </a:solidFill>
            <a:ln>
              <a:noFill/>
            </a:ln>
            <a:effectLst/>
          </c:spPr>
          <c:cat>
            <c:strRef>
              <c:f>Pivot_Layer!$A$57:$A$177</c:f>
              <c:strCache>
                <c:ptCount val="120"/>
                <c:pt idx="0">
                  <c:v>Air Purifier</c:v>
                </c:pt>
                <c:pt idx="1">
                  <c:v>Area Rug</c:v>
                </c:pt>
                <c:pt idx="2">
                  <c:v>Backpack</c:v>
                </c:pt>
                <c:pt idx="3">
                  <c:v>Basketball</c:v>
                </c:pt>
                <c:pt idx="4">
                  <c:v>Bath Mat</c:v>
                </c:pt>
                <c:pt idx="5">
                  <c:v>Bath Towels</c:v>
                </c:pt>
                <c:pt idx="6">
                  <c:v>Bedsheet</c:v>
                </c:pt>
                <c:pt idx="7">
                  <c:v>Belt</c:v>
                </c:pt>
                <c:pt idx="8">
                  <c:v>Blender Bottle</c:v>
                </c:pt>
                <c:pt idx="9">
                  <c:v>Blender Pro</c:v>
                </c:pt>
                <c:pt idx="10">
                  <c:v>Bluetooth Speaker</c:v>
                </c:pt>
                <c:pt idx="11">
                  <c:v>Bookshelf</c:v>
                </c:pt>
                <c:pt idx="12">
                  <c:v>Camera</c:v>
                </c:pt>
                <c:pt idx="13">
                  <c:v>Candle Set</c:v>
                </c:pt>
                <c:pt idx="14">
                  <c:v>Car Vacuum</c:v>
                </c:pt>
                <c:pt idx="15">
                  <c:v>Cat Toy</c:v>
                </c:pt>
                <c:pt idx="16">
                  <c:v>Cereal Box</c:v>
                </c:pt>
                <c:pt idx="17">
                  <c:v>Coffee Maker</c:v>
                </c:pt>
                <c:pt idx="18">
                  <c:v>Coffee Mug</c:v>
                </c:pt>
                <c:pt idx="19">
                  <c:v>Coffee Table</c:v>
                </c:pt>
                <c:pt idx="20">
                  <c:v>Cookware Set</c:v>
                </c:pt>
                <c:pt idx="21">
                  <c:v>Cotton T-Shirt</c:v>
                </c:pt>
                <c:pt idx="22">
                  <c:v>Croissants</c:v>
                </c:pt>
                <c:pt idx="23">
                  <c:v>Cutting Board</c:v>
                </c:pt>
                <c:pt idx="24">
                  <c:v>Cutting Mat</c:v>
                </c:pt>
                <c:pt idx="25">
                  <c:v>Desk</c:v>
                </c:pt>
                <c:pt idx="26">
                  <c:v>Desk Chair</c:v>
                </c:pt>
                <c:pt idx="27">
                  <c:v>Desk Lamp</c:v>
                </c:pt>
                <c:pt idx="28">
                  <c:v>Desk Lamp LED</c:v>
                </c:pt>
                <c:pt idx="29">
                  <c:v>Desk Organizer</c:v>
                </c:pt>
                <c:pt idx="30">
                  <c:v>Dining Set</c:v>
                </c:pt>
                <c:pt idx="31">
                  <c:v>Dog Leash</c:v>
                </c:pt>
                <c:pt idx="32">
                  <c:v>Dumbbell Set</c:v>
                </c:pt>
                <c:pt idx="33">
                  <c:v>Dumbbells</c:v>
                </c:pt>
                <c:pt idx="34">
                  <c:v>Earrings</c:v>
                </c:pt>
                <c:pt idx="35">
                  <c:v>Electric Guitar</c:v>
                </c:pt>
                <c:pt idx="36">
                  <c:v>Electric Kettle</c:v>
                </c:pt>
                <c:pt idx="37">
                  <c:v>Extension Cord</c:v>
                </c:pt>
                <c:pt idx="38">
                  <c:v>Extension Tube</c:v>
                </c:pt>
                <c:pt idx="39">
                  <c:v>External HDD</c:v>
                </c:pt>
                <c:pt idx="40">
                  <c:v>Face Cream</c:v>
                </c:pt>
                <c:pt idx="41">
                  <c:v>Facial Cleanser</c:v>
                </c:pt>
                <c:pt idx="42">
                  <c:v>Food Processor</c:v>
                </c:pt>
                <c:pt idx="43">
                  <c:v>Football</c:v>
                </c:pt>
                <c:pt idx="44">
                  <c:v>Frying Pan</c:v>
                </c:pt>
                <c:pt idx="45">
                  <c:v>Gaming Mouse</c:v>
                </c:pt>
                <c:pt idx="46">
                  <c:v>GPS Tracker</c:v>
                </c:pt>
                <c:pt idx="47">
                  <c:v>Grill Pan</c:v>
                </c:pt>
                <c:pt idx="48">
                  <c:v>Hair Dryer</c:v>
                </c:pt>
                <c:pt idx="49">
                  <c:v>Hair Straightener</c:v>
                </c:pt>
                <c:pt idx="50">
                  <c:v>Hand Vacuum</c:v>
                </c:pt>
                <c:pt idx="51">
                  <c:v>Hiking Boots</c:v>
                </c:pt>
                <c:pt idx="52">
                  <c:v>Hoodie</c:v>
                </c:pt>
                <c:pt idx="53">
                  <c:v>Jeans</c:v>
                </c:pt>
                <c:pt idx="54">
                  <c:v>Jump Rope</c:v>
                </c:pt>
                <c:pt idx="55">
                  <c:v>Keyboard Piano</c:v>
                </c:pt>
                <c:pt idx="56">
                  <c:v>Laptop Pro 15</c:v>
                </c:pt>
                <c:pt idx="57">
                  <c:v>Laundry Basket</c:v>
                </c:pt>
                <c:pt idx="58">
                  <c:v>LED TV</c:v>
                </c:pt>
                <c:pt idx="59">
                  <c:v>Memory Foam Pillow</c:v>
                </c:pt>
                <c:pt idx="60">
                  <c:v>Microwave</c:v>
                </c:pt>
                <c:pt idx="61">
                  <c:v>Monitor 24</c:v>
                </c:pt>
                <c:pt idx="62">
                  <c:v>Necklace</c:v>
                </c:pt>
                <c:pt idx="63">
                  <c:v>Nightstand</c:v>
                </c:pt>
                <c:pt idx="64">
                  <c:v>Notebook</c:v>
                </c:pt>
                <c:pt idx="65">
                  <c:v>Novel Set</c:v>
                </c:pt>
                <c:pt idx="66">
                  <c:v>Paper Shredder</c:v>
                </c:pt>
                <c:pt idx="67">
                  <c:v>Pet Bed</c:v>
                </c:pt>
                <c:pt idx="68">
                  <c:v>Phone Stand</c:v>
                </c:pt>
                <c:pt idx="69">
                  <c:v>Photo Frame</c:v>
                </c:pt>
                <c:pt idx="70">
                  <c:v>Pillows</c:v>
                </c:pt>
                <c:pt idx="71">
                  <c:v>Plant Pot</c:v>
                </c:pt>
                <c:pt idx="72">
                  <c:v>Printer</c:v>
                </c:pt>
                <c:pt idx="73">
                  <c:v>Protein Bars</c:v>
                </c:pt>
                <c:pt idx="74">
                  <c:v>Protein Powder</c:v>
                </c:pt>
                <c:pt idx="75">
                  <c:v>Rain Jacket</c:v>
                </c:pt>
                <c:pt idx="76">
                  <c:v>Resistance Bands</c:v>
                </c:pt>
                <c:pt idx="77">
                  <c:v>Rice Cooker</c:v>
                </c:pt>
                <c:pt idx="78">
                  <c:v>Router</c:v>
                </c:pt>
                <c:pt idx="79">
                  <c:v>Running Shoes</c:v>
                </c:pt>
                <c:pt idx="80">
                  <c:v>Sandals</c:v>
                </c:pt>
                <c:pt idx="81">
                  <c:v>Sandwich Maker</c:v>
                </c:pt>
                <c:pt idx="82">
                  <c:v>Shampoo</c:v>
                </c:pt>
                <c:pt idx="83">
                  <c:v>Shoe Rack</c:v>
                </c:pt>
                <c:pt idx="84">
                  <c:v>Shower Curtain</c:v>
                </c:pt>
                <c:pt idx="85">
                  <c:v>Smart Watch</c:v>
                </c:pt>
                <c:pt idx="86">
                  <c:v>Smartphone</c:v>
                </c:pt>
                <c:pt idx="87">
                  <c:v>Soccer Ball</c:v>
                </c:pt>
                <c:pt idx="88">
                  <c:v>Socks</c:v>
                </c:pt>
                <c:pt idx="89">
                  <c:v>Suitcase</c:v>
                </c:pt>
                <c:pt idx="90">
                  <c:v>Sunglasses</c:v>
                </c:pt>
                <c:pt idx="91">
                  <c:v>Sweater</c:v>
                </c:pt>
                <c:pt idx="92">
                  <c:v>Table Clock</c:v>
                </c:pt>
                <c:pt idx="93">
                  <c:v>Tablet Case</c:v>
                </c:pt>
                <c:pt idx="94">
                  <c:v>Tablet Pro</c:v>
                </c:pt>
                <c:pt idx="95">
                  <c:v>Thermos</c:v>
                </c:pt>
                <c:pt idx="96">
                  <c:v>Throw Pillow</c:v>
                </c:pt>
                <c:pt idx="97">
                  <c:v>Tie</c:v>
                </c:pt>
                <c:pt idx="98">
                  <c:v>Tool Set</c:v>
                </c:pt>
                <c:pt idx="99">
                  <c:v>Treadmill</c:v>
                </c:pt>
                <c:pt idx="100">
                  <c:v>USB Flash Drive</c:v>
                </c:pt>
                <c:pt idx="101">
                  <c:v>USB Hub</c:v>
                </c:pt>
                <c:pt idx="102">
                  <c:v>Wall Art</c:v>
                </c:pt>
                <c:pt idx="103">
                  <c:v>Water Bottle</c:v>
                </c:pt>
                <c:pt idx="104">
                  <c:v>Webcam</c:v>
                </c:pt>
                <c:pt idx="105">
                  <c:v>Weighing Scale</c:v>
                </c:pt>
                <c:pt idx="106">
                  <c:v>Wine Glasses</c:v>
                </c:pt>
                <c:pt idx="107">
                  <c:v>Wine Rack</c:v>
                </c:pt>
                <c:pt idx="108">
                  <c:v>Winter Gloves</c:v>
                </c:pt>
                <c:pt idx="109">
                  <c:v>Winter Jacket</c:v>
                </c:pt>
                <c:pt idx="110">
                  <c:v>Winter Scarf</c:v>
                </c:pt>
                <c:pt idx="111">
                  <c:v>Wireless Charger</c:v>
                </c:pt>
                <c:pt idx="112">
                  <c:v>Wireless Earbuds</c:v>
                </c:pt>
                <c:pt idx="113">
                  <c:v>Wireless Keyboard</c:v>
                </c:pt>
                <c:pt idx="114">
                  <c:v>Wireless Mouse</c:v>
                </c:pt>
                <c:pt idx="115">
                  <c:v>Wok</c:v>
                </c:pt>
                <c:pt idx="116">
                  <c:v>Yoga Block</c:v>
                </c:pt>
                <c:pt idx="117">
                  <c:v>Yoga Mat</c:v>
                </c:pt>
                <c:pt idx="118">
                  <c:v>Yoga Pants</c:v>
                </c:pt>
                <c:pt idx="119">
                  <c:v>Yoga Strap</c:v>
                </c:pt>
              </c:strCache>
            </c:strRef>
          </c:cat>
          <c:val>
            <c:numRef>
              <c:f>Pivot_Layer!$B$57:$B$177</c:f>
              <c:numCache>
                <c:formatCode>_-[$$-409]* #,##0.00_ ;_-[$$-409]* \-#,##0.00\ ;_-[$$-409]* "-"??_ ;_-@_ </c:formatCode>
                <c:ptCount val="120"/>
                <c:pt idx="0">
                  <c:v>35.012</c:v>
                </c:pt>
                <c:pt idx="1">
                  <c:v>15</c:v>
                </c:pt>
                <c:pt idx="2">
                  <c:v>5</c:v>
                </c:pt>
                <c:pt idx="3">
                  <c:v>4</c:v>
                </c:pt>
                <c:pt idx="4">
                  <c:v>3</c:v>
                </c:pt>
                <c:pt idx="5">
                  <c:v>4</c:v>
                </c:pt>
                <c:pt idx="6">
                  <c:v>5</c:v>
                </c:pt>
                <c:pt idx="7">
                  <c:v>3</c:v>
                </c:pt>
                <c:pt idx="8">
                  <c:v>3</c:v>
                </c:pt>
                <c:pt idx="9">
                  <c:v>19.229334999999999</c:v>
                </c:pt>
                <c:pt idx="10">
                  <c:v>8</c:v>
                </c:pt>
                <c:pt idx="11">
                  <c:v>41.21134</c:v>
                </c:pt>
                <c:pt idx="12">
                  <c:v>10</c:v>
                </c:pt>
                <c:pt idx="13">
                  <c:v>4</c:v>
                </c:pt>
                <c:pt idx="14">
                  <c:v>6</c:v>
                </c:pt>
                <c:pt idx="15">
                  <c:v>2</c:v>
                </c:pt>
                <c:pt idx="16">
                  <c:v>2</c:v>
                </c:pt>
                <c:pt idx="17">
                  <c:v>10</c:v>
                </c:pt>
                <c:pt idx="18">
                  <c:v>2</c:v>
                </c:pt>
                <c:pt idx="19">
                  <c:v>60.027999999999999</c:v>
                </c:pt>
                <c:pt idx="20">
                  <c:v>23.25675</c:v>
                </c:pt>
                <c:pt idx="21">
                  <c:v>8</c:v>
                </c:pt>
                <c:pt idx="22">
                  <c:v>2</c:v>
                </c:pt>
                <c:pt idx="23">
                  <c:v>7.451225</c:v>
                </c:pt>
                <c:pt idx="24">
                  <c:v>3</c:v>
                </c:pt>
                <c:pt idx="25">
                  <c:v>25</c:v>
                </c:pt>
                <c:pt idx="26">
                  <c:v>123.825</c:v>
                </c:pt>
                <c:pt idx="27">
                  <c:v>10.11355625</c:v>
                </c:pt>
                <c:pt idx="28">
                  <c:v>5</c:v>
                </c:pt>
                <c:pt idx="29">
                  <c:v>4</c:v>
                </c:pt>
                <c:pt idx="30">
                  <c:v>191.355875</c:v>
                </c:pt>
                <c:pt idx="31">
                  <c:v>3</c:v>
                </c:pt>
                <c:pt idx="32">
                  <c:v>15</c:v>
                </c:pt>
                <c:pt idx="33">
                  <c:v>12.052430000000001</c:v>
                </c:pt>
                <c:pt idx="34">
                  <c:v>2</c:v>
                </c:pt>
                <c:pt idx="35">
                  <c:v>105.056</c:v>
                </c:pt>
                <c:pt idx="36">
                  <c:v>6</c:v>
                </c:pt>
                <c:pt idx="37">
                  <c:v>2</c:v>
                </c:pt>
                <c:pt idx="38">
                  <c:v>2</c:v>
                </c:pt>
                <c:pt idx="39">
                  <c:v>30.2121</c:v>
                </c:pt>
                <c:pt idx="40">
                  <c:v>3</c:v>
                </c:pt>
                <c:pt idx="41">
                  <c:v>3</c:v>
                </c:pt>
                <c:pt idx="42">
                  <c:v>12</c:v>
                </c:pt>
                <c:pt idx="43">
                  <c:v>4</c:v>
                </c:pt>
                <c:pt idx="44">
                  <c:v>4</c:v>
                </c:pt>
                <c:pt idx="45">
                  <c:v>5</c:v>
                </c:pt>
                <c:pt idx="46">
                  <c:v>4</c:v>
                </c:pt>
                <c:pt idx="47">
                  <c:v>5</c:v>
                </c:pt>
                <c:pt idx="48">
                  <c:v>8</c:v>
                </c:pt>
                <c:pt idx="49">
                  <c:v>5</c:v>
                </c:pt>
                <c:pt idx="50">
                  <c:v>6.5132562499999995</c:v>
                </c:pt>
                <c:pt idx="51">
                  <c:v>33.037615000000002</c:v>
                </c:pt>
                <c:pt idx="52">
                  <c:v>5</c:v>
                </c:pt>
                <c:pt idx="53">
                  <c:v>21.407199999999996</c:v>
                </c:pt>
                <c:pt idx="54">
                  <c:v>2</c:v>
                </c:pt>
                <c:pt idx="55">
                  <c:v>31.209720000000001</c:v>
                </c:pt>
                <c:pt idx="56">
                  <c:v>2907.3040000000001</c:v>
                </c:pt>
                <c:pt idx="57">
                  <c:v>4</c:v>
                </c:pt>
                <c:pt idx="58">
                  <c:v>1330.896</c:v>
                </c:pt>
                <c:pt idx="59">
                  <c:v>9.6107648000000001</c:v>
                </c:pt>
                <c:pt idx="60">
                  <c:v>18.053629999999998</c:v>
                </c:pt>
                <c:pt idx="61">
                  <c:v>15</c:v>
                </c:pt>
                <c:pt idx="62">
                  <c:v>3</c:v>
                </c:pt>
                <c:pt idx="63">
                  <c:v>15</c:v>
                </c:pt>
                <c:pt idx="64">
                  <c:v>2</c:v>
                </c:pt>
                <c:pt idx="65">
                  <c:v>14.116145000000001</c:v>
                </c:pt>
                <c:pt idx="66">
                  <c:v>8</c:v>
                </c:pt>
                <c:pt idx="67">
                  <c:v>8</c:v>
                </c:pt>
                <c:pt idx="68">
                  <c:v>2</c:v>
                </c:pt>
                <c:pt idx="69">
                  <c:v>3</c:v>
                </c:pt>
                <c:pt idx="70">
                  <c:v>5</c:v>
                </c:pt>
                <c:pt idx="71">
                  <c:v>4</c:v>
                </c:pt>
                <c:pt idx="72">
                  <c:v>15</c:v>
                </c:pt>
                <c:pt idx="73">
                  <c:v>4</c:v>
                </c:pt>
                <c:pt idx="74">
                  <c:v>5</c:v>
                </c:pt>
                <c:pt idx="75">
                  <c:v>8.6146674999999995</c:v>
                </c:pt>
                <c:pt idx="76">
                  <c:v>3</c:v>
                </c:pt>
                <c:pt idx="77">
                  <c:v>8</c:v>
                </c:pt>
                <c:pt idx="78">
                  <c:v>8</c:v>
                </c:pt>
                <c:pt idx="79">
                  <c:v>15.203599999999998</c:v>
                </c:pt>
                <c:pt idx="80">
                  <c:v>4</c:v>
                </c:pt>
                <c:pt idx="81">
                  <c:v>5</c:v>
                </c:pt>
                <c:pt idx="82">
                  <c:v>3</c:v>
                </c:pt>
                <c:pt idx="83">
                  <c:v>6</c:v>
                </c:pt>
                <c:pt idx="84">
                  <c:v>4</c:v>
                </c:pt>
                <c:pt idx="85">
                  <c:v>260.14700000000005</c:v>
                </c:pt>
                <c:pt idx="86">
                  <c:v>415.32400000000001</c:v>
                </c:pt>
                <c:pt idx="87">
                  <c:v>5</c:v>
                </c:pt>
                <c:pt idx="88">
                  <c:v>2</c:v>
                </c:pt>
                <c:pt idx="89">
                  <c:v>12</c:v>
                </c:pt>
                <c:pt idx="90">
                  <c:v>7.5152074999999998</c:v>
                </c:pt>
                <c:pt idx="91">
                  <c:v>7.5132562499999995</c:v>
                </c:pt>
                <c:pt idx="92">
                  <c:v>3.6128675000000001</c:v>
                </c:pt>
                <c:pt idx="93">
                  <c:v>3</c:v>
                </c:pt>
                <c:pt idx="94">
                  <c:v>12</c:v>
                </c:pt>
                <c:pt idx="95">
                  <c:v>3</c:v>
                </c:pt>
                <c:pt idx="96">
                  <c:v>3</c:v>
                </c:pt>
                <c:pt idx="97">
                  <c:v>3</c:v>
                </c:pt>
                <c:pt idx="98">
                  <c:v>0</c:v>
                </c:pt>
                <c:pt idx="99">
                  <c:v>2011.3720000000003</c:v>
                </c:pt>
                <c:pt idx="100">
                  <c:v>2</c:v>
                </c:pt>
                <c:pt idx="101">
                  <c:v>4</c:v>
                </c:pt>
                <c:pt idx="102">
                  <c:v>8</c:v>
                </c:pt>
                <c:pt idx="103">
                  <c:v>8</c:v>
                </c:pt>
                <c:pt idx="104">
                  <c:v>4</c:v>
                </c:pt>
                <c:pt idx="105">
                  <c:v>6</c:v>
                </c:pt>
                <c:pt idx="106">
                  <c:v>6</c:v>
                </c:pt>
                <c:pt idx="107">
                  <c:v>6</c:v>
                </c:pt>
                <c:pt idx="108">
                  <c:v>3</c:v>
                </c:pt>
                <c:pt idx="109">
                  <c:v>79.838880000000003</c:v>
                </c:pt>
                <c:pt idx="110">
                  <c:v>3</c:v>
                </c:pt>
                <c:pt idx="111">
                  <c:v>5.451225</c:v>
                </c:pt>
                <c:pt idx="112">
                  <c:v>5</c:v>
                </c:pt>
                <c:pt idx="113">
                  <c:v>4</c:v>
                </c:pt>
                <c:pt idx="114">
                  <c:v>5</c:v>
                </c:pt>
                <c:pt idx="115">
                  <c:v>6.5134074999999996</c:v>
                </c:pt>
                <c:pt idx="116">
                  <c:v>0</c:v>
                </c:pt>
                <c:pt idx="117">
                  <c:v>10</c:v>
                </c:pt>
                <c:pt idx="118">
                  <c:v>4</c:v>
                </c:pt>
                <c:pt idx="119">
                  <c:v>2</c:v>
                </c:pt>
              </c:numCache>
            </c:numRef>
          </c:val>
          <c:extLst>
            <c:ext xmlns:c16="http://schemas.microsoft.com/office/drawing/2014/chart" uri="{C3380CC4-5D6E-409C-BE32-E72D297353CC}">
              <c16:uniqueId val="{00000000-E4A9-4421-852E-404AD72BFCB2}"/>
            </c:ext>
          </c:extLst>
        </c:ser>
        <c:ser>
          <c:idx val="1"/>
          <c:order val="1"/>
          <c:tx>
            <c:strRef>
              <c:f>Pivot_Layer!$C$56</c:f>
              <c:strCache>
                <c:ptCount val="1"/>
                <c:pt idx="0">
                  <c:v>Sum of Quantity</c:v>
                </c:pt>
              </c:strCache>
            </c:strRef>
          </c:tx>
          <c:spPr>
            <a:solidFill>
              <a:schemeClr val="accent2"/>
            </a:solidFill>
            <a:ln>
              <a:noFill/>
            </a:ln>
            <a:effectLst/>
          </c:spPr>
          <c:cat>
            <c:strRef>
              <c:f>Pivot_Layer!$A$57:$A$177</c:f>
              <c:strCache>
                <c:ptCount val="120"/>
                <c:pt idx="0">
                  <c:v>Air Purifier</c:v>
                </c:pt>
                <c:pt idx="1">
                  <c:v>Area Rug</c:v>
                </c:pt>
                <c:pt idx="2">
                  <c:v>Backpack</c:v>
                </c:pt>
                <c:pt idx="3">
                  <c:v>Basketball</c:v>
                </c:pt>
                <c:pt idx="4">
                  <c:v>Bath Mat</c:v>
                </c:pt>
                <c:pt idx="5">
                  <c:v>Bath Towels</c:v>
                </c:pt>
                <c:pt idx="6">
                  <c:v>Bedsheet</c:v>
                </c:pt>
                <c:pt idx="7">
                  <c:v>Belt</c:v>
                </c:pt>
                <c:pt idx="8">
                  <c:v>Blender Bottle</c:v>
                </c:pt>
                <c:pt idx="9">
                  <c:v>Blender Pro</c:v>
                </c:pt>
                <c:pt idx="10">
                  <c:v>Bluetooth Speaker</c:v>
                </c:pt>
                <c:pt idx="11">
                  <c:v>Bookshelf</c:v>
                </c:pt>
                <c:pt idx="12">
                  <c:v>Camera</c:v>
                </c:pt>
                <c:pt idx="13">
                  <c:v>Candle Set</c:v>
                </c:pt>
                <c:pt idx="14">
                  <c:v>Car Vacuum</c:v>
                </c:pt>
                <c:pt idx="15">
                  <c:v>Cat Toy</c:v>
                </c:pt>
                <c:pt idx="16">
                  <c:v>Cereal Box</c:v>
                </c:pt>
                <c:pt idx="17">
                  <c:v>Coffee Maker</c:v>
                </c:pt>
                <c:pt idx="18">
                  <c:v>Coffee Mug</c:v>
                </c:pt>
                <c:pt idx="19">
                  <c:v>Coffee Table</c:v>
                </c:pt>
                <c:pt idx="20">
                  <c:v>Cookware Set</c:v>
                </c:pt>
                <c:pt idx="21">
                  <c:v>Cotton T-Shirt</c:v>
                </c:pt>
                <c:pt idx="22">
                  <c:v>Croissants</c:v>
                </c:pt>
                <c:pt idx="23">
                  <c:v>Cutting Board</c:v>
                </c:pt>
                <c:pt idx="24">
                  <c:v>Cutting Mat</c:v>
                </c:pt>
                <c:pt idx="25">
                  <c:v>Desk</c:v>
                </c:pt>
                <c:pt idx="26">
                  <c:v>Desk Chair</c:v>
                </c:pt>
                <c:pt idx="27">
                  <c:v>Desk Lamp</c:v>
                </c:pt>
                <c:pt idx="28">
                  <c:v>Desk Lamp LED</c:v>
                </c:pt>
                <c:pt idx="29">
                  <c:v>Desk Organizer</c:v>
                </c:pt>
                <c:pt idx="30">
                  <c:v>Dining Set</c:v>
                </c:pt>
                <c:pt idx="31">
                  <c:v>Dog Leash</c:v>
                </c:pt>
                <c:pt idx="32">
                  <c:v>Dumbbell Set</c:v>
                </c:pt>
                <c:pt idx="33">
                  <c:v>Dumbbells</c:v>
                </c:pt>
                <c:pt idx="34">
                  <c:v>Earrings</c:v>
                </c:pt>
                <c:pt idx="35">
                  <c:v>Electric Guitar</c:v>
                </c:pt>
                <c:pt idx="36">
                  <c:v>Electric Kettle</c:v>
                </c:pt>
                <c:pt idx="37">
                  <c:v>Extension Cord</c:v>
                </c:pt>
                <c:pt idx="38">
                  <c:v>Extension Tube</c:v>
                </c:pt>
                <c:pt idx="39">
                  <c:v>External HDD</c:v>
                </c:pt>
                <c:pt idx="40">
                  <c:v>Face Cream</c:v>
                </c:pt>
                <c:pt idx="41">
                  <c:v>Facial Cleanser</c:v>
                </c:pt>
                <c:pt idx="42">
                  <c:v>Food Processor</c:v>
                </c:pt>
                <c:pt idx="43">
                  <c:v>Football</c:v>
                </c:pt>
                <c:pt idx="44">
                  <c:v>Frying Pan</c:v>
                </c:pt>
                <c:pt idx="45">
                  <c:v>Gaming Mouse</c:v>
                </c:pt>
                <c:pt idx="46">
                  <c:v>GPS Tracker</c:v>
                </c:pt>
                <c:pt idx="47">
                  <c:v>Grill Pan</c:v>
                </c:pt>
                <c:pt idx="48">
                  <c:v>Hair Dryer</c:v>
                </c:pt>
                <c:pt idx="49">
                  <c:v>Hair Straightener</c:v>
                </c:pt>
                <c:pt idx="50">
                  <c:v>Hand Vacuum</c:v>
                </c:pt>
                <c:pt idx="51">
                  <c:v>Hiking Boots</c:v>
                </c:pt>
                <c:pt idx="52">
                  <c:v>Hoodie</c:v>
                </c:pt>
                <c:pt idx="53">
                  <c:v>Jeans</c:v>
                </c:pt>
                <c:pt idx="54">
                  <c:v>Jump Rope</c:v>
                </c:pt>
                <c:pt idx="55">
                  <c:v>Keyboard Piano</c:v>
                </c:pt>
                <c:pt idx="56">
                  <c:v>Laptop Pro 15</c:v>
                </c:pt>
                <c:pt idx="57">
                  <c:v>Laundry Basket</c:v>
                </c:pt>
                <c:pt idx="58">
                  <c:v>LED TV</c:v>
                </c:pt>
                <c:pt idx="59">
                  <c:v>Memory Foam Pillow</c:v>
                </c:pt>
                <c:pt idx="60">
                  <c:v>Microwave</c:v>
                </c:pt>
                <c:pt idx="61">
                  <c:v>Monitor 24</c:v>
                </c:pt>
                <c:pt idx="62">
                  <c:v>Necklace</c:v>
                </c:pt>
                <c:pt idx="63">
                  <c:v>Nightstand</c:v>
                </c:pt>
                <c:pt idx="64">
                  <c:v>Notebook</c:v>
                </c:pt>
                <c:pt idx="65">
                  <c:v>Novel Set</c:v>
                </c:pt>
                <c:pt idx="66">
                  <c:v>Paper Shredder</c:v>
                </c:pt>
                <c:pt idx="67">
                  <c:v>Pet Bed</c:v>
                </c:pt>
                <c:pt idx="68">
                  <c:v>Phone Stand</c:v>
                </c:pt>
                <c:pt idx="69">
                  <c:v>Photo Frame</c:v>
                </c:pt>
                <c:pt idx="70">
                  <c:v>Pillows</c:v>
                </c:pt>
                <c:pt idx="71">
                  <c:v>Plant Pot</c:v>
                </c:pt>
                <c:pt idx="72">
                  <c:v>Printer</c:v>
                </c:pt>
                <c:pt idx="73">
                  <c:v>Protein Bars</c:v>
                </c:pt>
                <c:pt idx="74">
                  <c:v>Protein Powder</c:v>
                </c:pt>
                <c:pt idx="75">
                  <c:v>Rain Jacket</c:v>
                </c:pt>
                <c:pt idx="76">
                  <c:v>Resistance Bands</c:v>
                </c:pt>
                <c:pt idx="77">
                  <c:v>Rice Cooker</c:v>
                </c:pt>
                <c:pt idx="78">
                  <c:v>Router</c:v>
                </c:pt>
                <c:pt idx="79">
                  <c:v>Running Shoes</c:v>
                </c:pt>
                <c:pt idx="80">
                  <c:v>Sandals</c:v>
                </c:pt>
                <c:pt idx="81">
                  <c:v>Sandwich Maker</c:v>
                </c:pt>
                <c:pt idx="82">
                  <c:v>Shampoo</c:v>
                </c:pt>
                <c:pt idx="83">
                  <c:v>Shoe Rack</c:v>
                </c:pt>
                <c:pt idx="84">
                  <c:v>Shower Curtain</c:v>
                </c:pt>
                <c:pt idx="85">
                  <c:v>Smart Watch</c:v>
                </c:pt>
                <c:pt idx="86">
                  <c:v>Smartphone</c:v>
                </c:pt>
                <c:pt idx="87">
                  <c:v>Soccer Ball</c:v>
                </c:pt>
                <c:pt idx="88">
                  <c:v>Socks</c:v>
                </c:pt>
                <c:pt idx="89">
                  <c:v>Suitcase</c:v>
                </c:pt>
                <c:pt idx="90">
                  <c:v>Sunglasses</c:v>
                </c:pt>
                <c:pt idx="91">
                  <c:v>Sweater</c:v>
                </c:pt>
                <c:pt idx="92">
                  <c:v>Table Clock</c:v>
                </c:pt>
                <c:pt idx="93">
                  <c:v>Tablet Case</c:v>
                </c:pt>
                <c:pt idx="94">
                  <c:v>Tablet Pro</c:v>
                </c:pt>
                <c:pt idx="95">
                  <c:v>Thermos</c:v>
                </c:pt>
                <c:pt idx="96">
                  <c:v>Throw Pillow</c:v>
                </c:pt>
                <c:pt idx="97">
                  <c:v>Tie</c:v>
                </c:pt>
                <c:pt idx="98">
                  <c:v>Tool Set</c:v>
                </c:pt>
                <c:pt idx="99">
                  <c:v>Treadmill</c:v>
                </c:pt>
                <c:pt idx="100">
                  <c:v>USB Flash Drive</c:v>
                </c:pt>
                <c:pt idx="101">
                  <c:v>USB Hub</c:v>
                </c:pt>
                <c:pt idx="102">
                  <c:v>Wall Art</c:v>
                </c:pt>
                <c:pt idx="103">
                  <c:v>Water Bottle</c:v>
                </c:pt>
                <c:pt idx="104">
                  <c:v>Webcam</c:v>
                </c:pt>
                <c:pt idx="105">
                  <c:v>Weighing Scale</c:v>
                </c:pt>
                <c:pt idx="106">
                  <c:v>Wine Glasses</c:v>
                </c:pt>
                <c:pt idx="107">
                  <c:v>Wine Rack</c:v>
                </c:pt>
                <c:pt idx="108">
                  <c:v>Winter Gloves</c:v>
                </c:pt>
                <c:pt idx="109">
                  <c:v>Winter Jacket</c:v>
                </c:pt>
                <c:pt idx="110">
                  <c:v>Winter Scarf</c:v>
                </c:pt>
                <c:pt idx="111">
                  <c:v>Wireless Charger</c:v>
                </c:pt>
                <c:pt idx="112">
                  <c:v>Wireless Earbuds</c:v>
                </c:pt>
                <c:pt idx="113">
                  <c:v>Wireless Keyboard</c:v>
                </c:pt>
                <c:pt idx="114">
                  <c:v>Wireless Mouse</c:v>
                </c:pt>
                <c:pt idx="115">
                  <c:v>Wok</c:v>
                </c:pt>
                <c:pt idx="116">
                  <c:v>Yoga Block</c:v>
                </c:pt>
                <c:pt idx="117">
                  <c:v>Yoga Mat</c:v>
                </c:pt>
                <c:pt idx="118">
                  <c:v>Yoga Pants</c:v>
                </c:pt>
                <c:pt idx="119">
                  <c:v>Yoga Strap</c:v>
                </c:pt>
              </c:strCache>
            </c:strRef>
          </c:cat>
          <c:val>
            <c:numRef>
              <c:f>Pivot_Layer!$C$57:$C$177</c:f>
              <c:numCache>
                <c:formatCode>General</c:formatCode>
                <c:ptCount val="120"/>
                <c:pt idx="0">
                  <c:v>1</c:v>
                </c:pt>
                <c:pt idx="1">
                  <c:v>1</c:v>
                </c:pt>
                <c:pt idx="2">
                  <c:v>2</c:v>
                </c:pt>
                <c:pt idx="3">
                  <c:v>2</c:v>
                </c:pt>
                <c:pt idx="4">
                  <c:v>2</c:v>
                </c:pt>
                <c:pt idx="5">
                  <c:v>6</c:v>
                </c:pt>
                <c:pt idx="6">
                  <c:v>2</c:v>
                </c:pt>
                <c:pt idx="7">
                  <c:v>2</c:v>
                </c:pt>
                <c:pt idx="8">
                  <c:v>4</c:v>
                </c:pt>
                <c:pt idx="9">
                  <c:v>1</c:v>
                </c:pt>
                <c:pt idx="10">
                  <c:v>1</c:v>
                </c:pt>
                <c:pt idx="11">
                  <c:v>1</c:v>
                </c:pt>
                <c:pt idx="12">
                  <c:v>1</c:v>
                </c:pt>
                <c:pt idx="13">
                  <c:v>2</c:v>
                </c:pt>
                <c:pt idx="14">
                  <c:v>1</c:v>
                </c:pt>
                <c:pt idx="15">
                  <c:v>6</c:v>
                </c:pt>
                <c:pt idx="16">
                  <c:v>12</c:v>
                </c:pt>
                <c:pt idx="17">
                  <c:v>2</c:v>
                </c:pt>
                <c:pt idx="18">
                  <c:v>6</c:v>
                </c:pt>
                <c:pt idx="19">
                  <c:v>1</c:v>
                </c:pt>
                <c:pt idx="20">
                  <c:v>1</c:v>
                </c:pt>
                <c:pt idx="21">
                  <c:v>5</c:v>
                </c:pt>
                <c:pt idx="22">
                  <c:v>12</c:v>
                </c:pt>
                <c:pt idx="23">
                  <c:v>2</c:v>
                </c:pt>
                <c:pt idx="24">
                  <c:v>2</c:v>
                </c:pt>
                <c:pt idx="25">
                  <c:v>1</c:v>
                </c:pt>
                <c:pt idx="26">
                  <c:v>1</c:v>
                </c:pt>
                <c:pt idx="27">
                  <c:v>1</c:v>
                </c:pt>
                <c:pt idx="28">
                  <c:v>1</c:v>
                </c:pt>
                <c:pt idx="29">
                  <c:v>5</c:v>
                </c:pt>
                <c:pt idx="30">
                  <c:v>1</c:v>
                </c:pt>
                <c:pt idx="31">
                  <c:v>3</c:v>
                </c:pt>
                <c:pt idx="32">
                  <c:v>1</c:v>
                </c:pt>
                <c:pt idx="33">
                  <c:v>1</c:v>
                </c:pt>
                <c:pt idx="34">
                  <c:v>2</c:v>
                </c:pt>
                <c:pt idx="35">
                  <c:v>1</c:v>
                </c:pt>
                <c:pt idx="36">
                  <c:v>2</c:v>
                </c:pt>
                <c:pt idx="37">
                  <c:v>6</c:v>
                </c:pt>
                <c:pt idx="38">
                  <c:v>3</c:v>
                </c:pt>
                <c:pt idx="39">
                  <c:v>2</c:v>
                </c:pt>
                <c:pt idx="40">
                  <c:v>3</c:v>
                </c:pt>
                <c:pt idx="41">
                  <c:v>3</c:v>
                </c:pt>
                <c:pt idx="42">
                  <c:v>1</c:v>
                </c:pt>
                <c:pt idx="43">
                  <c:v>3</c:v>
                </c:pt>
                <c:pt idx="44">
                  <c:v>2</c:v>
                </c:pt>
                <c:pt idx="45">
                  <c:v>2</c:v>
                </c:pt>
                <c:pt idx="46">
                  <c:v>1</c:v>
                </c:pt>
                <c:pt idx="47">
                  <c:v>1</c:v>
                </c:pt>
                <c:pt idx="48">
                  <c:v>1</c:v>
                </c:pt>
                <c:pt idx="49">
                  <c:v>1</c:v>
                </c:pt>
                <c:pt idx="50">
                  <c:v>1</c:v>
                </c:pt>
                <c:pt idx="51">
                  <c:v>1</c:v>
                </c:pt>
                <c:pt idx="52">
                  <c:v>3</c:v>
                </c:pt>
                <c:pt idx="53">
                  <c:v>2</c:v>
                </c:pt>
                <c:pt idx="54">
                  <c:v>5</c:v>
                </c:pt>
                <c:pt idx="55">
                  <c:v>1</c:v>
                </c:pt>
                <c:pt idx="56">
                  <c:v>2</c:v>
                </c:pt>
                <c:pt idx="57">
                  <c:v>2</c:v>
                </c:pt>
                <c:pt idx="58">
                  <c:v>1</c:v>
                </c:pt>
                <c:pt idx="59">
                  <c:v>2</c:v>
                </c:pt>
                <c:pt idx="60">
                  <c:v>1</c:v>
                </c:pt>
                <c:pt idx="61">
                  <c:v>1</c:v>
                </c:pt>
                <c:pt idx="62">
                  <c:v>1</c:v>
                </c:pt>
                <c:pt idx="63">
                  <c:v>1</c:v>
                </c:pt>
                <c:pt idx="64">
                  <c:v>25</c:v>
                </c:pt>
                <c:pt idx="65">
                  <c:v>3</c:v>
                </c:pt>
                <c:pt idx="66">
                  <c:v>1</c:v>
                </c:pt>
                <c:pt idx="67">
                  <c:v>1</c:v>
                </c:pt>
                <c:pt idx="68">
                  <c:v>3</c:v>
                </c:pt>
                <c:pt idx="69">
                  <c:v>3</c:v>
                </c:pt>
                <c:pt idx="70">
                  <c:v>2</c:v>
                </c:pt>
                <c:pt idx="71">
                  <c:v>3</c:v>
                </c:pt>
                <c:pt idx="72">
                  <c:v>1</c:v>
                </c:pt>
                <c:pt idx="73">
                  <c:v>40</c:v>
                </c:pt>
                <c:pt idx="74">
                  <c:v>2</c:v>
                </c:pt>
                <c:pt idx="75">
                  <c:v>1</c:v>
                </c:pt>
                <c:pt idx="76">
                  <c:v>3</c:v>
                </c:pt>
                <c:pt idx="77">
                  <c:v>1</c:v>
                </c:pt>
                <c:pt idx="78">
                  <c:v>1</c:v>
                </c:pt>
                <c:pt idx="79">
                  <c:v>1</c:v>
                </c:pt>
                <c:pt idx="80">
                  <c:v>2</c:v>
                </c:pt>
                <c:pt idx="81">
                  <c:v>1</c:v>
                </c:pt>
                <c:pt idx="82">
                  <c:v>8</c:v>
                </c:pt>
                <c:pt idx="83">
                  <c:v>1</c:v>
                </c:pt>
                <c:pt idx="84">
                  <c:v>2</c:v>
                </c:pt>
                <c:pt idx="85">
                  <c:v>2</c:v>
                </c:pt>
                <c:pt idx="86">
                  <c:v>1</c:v>
                </c:pt>
                <c:pt idx="87">
                  <c:v>2</c:v>
                </c:pt>
                <c:pt idx="88">
                  <c:v>15</c:v>
                </c:pt>
                <c:pt idx="89">
                  <c:v>1</c:v>
                </c:pt>
                <c:pt idx="90">
                  <c:v>1</c:v>
                </c:pt>
                <c:pt idx="91">
                  <c:v>1</c:v>
                </c:pt>
                <c:pt idx="92">
                  <c:v>1</c:v>
                </c:pt>
                <c:pt idx="93">
                  <c:v>2</c:v>
                </c:pt>
                <c:pt idx="94">
                  <c:v>1</c:v>
                </c:pt>
                <c:pt idx="95">
                  <c:v>2</c:v>
                </c:pt>
                <c:pt idx="96">
                  <c:v>4</c:v>
                </c:pt>
                <c:pt idx="97">
                  <c:v>2</c:v>
                </c:pt>
                <c:pt idx="98">
                  <c:v>0</c:v>
                </c:pt>
                <c:pt idx="99">
                  <c:v>1</c:v>
                </c:pt>
                <c:pt idx="100">
                  <c:v>5</c:v>
                </c:pt>
                <c:pt idx="101">
                  <c:v>2</c:v>
                </c:pt>
                <c:pt idx="102">
                  <c:v>2</c:v>
                </c:pt>
                <c:pt idx="103">
                  <c:v>6</c:v>
                </c:pt>
                <c:pt idx="104">
                  <c:v>1</c:v>
                </c:pt>
                <c:pt idx="105">
                  <c:v>1</c:v>
                </c:pt>
                <c:pt idx="106">
                  <c:v>4</c:v>
                </c:pt>
                <c:pt idx="107">
                  <c:v>2</c:v>
                </c:pt>
                <c:pt idx="108">
                  <c:v>3</c:v>
                </c:pt>
                <c:pt idx="109">
                  <c:v>1</c:v>
                </c:pt>
                <c:pt idx="110">
                  <c:v>2</c:v>
                </c:pt>
                <c:pt idx="111">
                  <c:v>2</c:v>
                </c:pt>
                <c:pt idx="112">
                  <c:v>1</c:v>
                </c:pt>
                <c:pt idx="113">
                  <c:v>2</c:v>
                </c:pt>
                <c:pt idx="114">
                  <c:v>4</c:v>
                </c:pt>
                <c:pt idx="115">
                  <c:v>1</c:v>
                </c:pt>
                <c:pt idx="116">
                  <c:v>10</c:v>
                </c:pt>
                <c:pt idx="117">
                  <c:v>3</c:v>
                </c:pt>
                <c:pt idx="118">
                  <c:v>2</c:v>
                </c:pt>
                <c:pt idx="119">
                  <c:v>4</c:v>
                </c:pt>
              </c:numCache>
            </c:numRef>
          </c:val>
          <c:extLst>
            <c:ext xmlns:c16="http://schemas.microsoft.com/office/drawing/2014/chart" uri="{C3380CC4-5D6E-409C-BE32-E72D297353CC}">
              <c16:uniqueId val="{00000001-E4A9-4421-852E-404AD72BFCB2}"/>
            </c:ext>
          </c:extLst>
        </c:ser>
        <c:dLbls>
          <c:showLegendKey val="0"/>
          <c:showVal val="0"/>
          <c:showCatName val="0"/>
          <c:showSerName val="0"/>
          <c:showPercent val="0"/>
          <c:showBubbleSize val="0"/>
        </c:dLbls>
        <c:axId val="756455560"/>
        <c:axId val="756456640"/>
      </c:areaChart>
      <c:catAx>
        <c:axId val="756455560"/>
        <c:scaling>
          <c:orientation val="minMax"/>
        </c:scaling>
        <c:delete val="1"/>
        <c:axPos val="b"/>
        <c:numFmt formatCode="General" sourceLinked="1"/>
        <c:majorTickMark val="out"/>
        <c:minorTickMark val="none"/>
        <c:tickLblPos val="nextTo"/>
        <c:crossAx val="756456640"/>
        <c:crosses val="autoZero"/>
        <c:auto val="1"/>
        <c:lblAlgn val="ctr"/>
        <c:lblOffset val="100"/>
        <c:noMultiLvlLbl val="0"/>
      </c:catAx>
      <c:valAx>
        <c:axId val="756456640"/>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4555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&amp; INVENTORY DASHBOARD.xlsm]Pivot_Layer!PivotTable1</c:name>
    <c:fmtId val="4"/>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76200">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innerShdw blurRad="63500" dist="50800" dir="10800000">
            <a:prstClr val="black">
              <a:alpha val="50000"/>
            </a:prstClr>
          </a:innerShdw>
        </a:effectLst>
        <a:sp3d/>
      </c:spPr>
    </c:sideWall>
    <c:backWall>
      <c:thickness val="0"/>
      <c:spPr>
        <a:noFill/>
        <a:ln>
          <a:noFill/>
        </a:ln>
        <a:effectLst>
          <a:innerShdw blurRad="63500" dist="50800" dir="10800000">
            <a:prstClr val="black">
              <a:alpha val="50000"/>
            </a:prstClr>
          </a:innerShdw>
        </a:effectLst>
        <a:sp3d/>
      </c:spPr>
    </c:backWall>
    <c:plotArea>
      <c:layout/>
      <c:bar3DChart>
        <c:barDir val="col"/>
        <c:grouping val="clustered"/>
        <c:varyColors val="0"/>
        <c:ser>
          <c:idx val="0"/>
          <c:order val="0"/>
          <c:tx>
            <c:strRef>
              <c:f>Pivot_Layer!$B$3:$B$4</c:f>
              <c:strCache>
                <c:ptCount val="1"/>
                <c:pt idx="0">
                  <c:v>Central</c:v>
                </c:pt>
              </c:strCache>
            </c:strRef>
          </c:tx>
          <c:spPr>
            <a:solidFill>
              <a:schemeClr val="accent1"/>
            </a:solidFill>
            <a:ln>
              <a:noFill/>
            </a:ln>
            <a:effectLst/>
            <a:sp3d/>
          </c:spPr>
          <c:invertIfNegative val="0"/>
          <c:cat>
            <c:strRef>
              <c:f>Pivot_Layer!$A$5:$A$17</c:f>
              <c:strCache>
                <c:ptCount val="13"/>
                <c:pt idx="0">
                  <c:v>Accessories</c:v>
                </c:pt>
                <c:pt idx="1">
                  <c:v>Apparel</c:v>
                </c:pt>
                <c:pt idx="2">
                  <c:v>Automotive</c:v>
                </c:pt>
                <c:pt idx="3">
                  <c:v>Books</c:v>
                </c:pt>
                <c:pt idx="4">
                  <c:v>Electronics</c:v>
                </c:pt>
                <c:pt idx="5">
                  <c:v>Fitness</c:v>
                </c:pt>
                <c:pt idx="6">
                  <c:v>Food</c:v>
                </c:pt>
                <c:pt idx="7">
                  <c:v>Furniture</c:v>
                </c:pt>
                <c:pt idx="8">
                  <c:v>Home</c:v>
                </c:pt>
                <c:pt idx="9">
                  <c:v>Jewelry</c:v>
                </c:pt>
                <c:pt idx="10">
                  <c:v>Office</c:v>
                </c:pt>
                <c:pt idx="11">
                  <c:v>Personal Care</c:v>
                </c:pt>
                <c:pt idx="12">
                  <c:v>Pets</c:v>
                </c:pt>
              </c:strCache>
            </c:strRef>
          </c:cat>
          <c:val>
            <c:numRef>
              <c:f>Pivot_Layer!$B$5:$B$17</c:f>
              <c:numCache>
                <c:formatCode>_-[$$-409]* #,##0.00_ ;_-[$$-409]* \-#,##0.00\ ;_-[$$-409]* "-"??_ ;_-@_ </c:formatCode>
                <c:ptCount val="13"/>
                <c:pt idx="1">
                  <c:v>8</c:v>
                </c:pt>
                <c:pt idx="2">
                  <c:v>6</c:v>
                </c:pt>
                <c:pt idx="3">
                  <c:v>14.116145000000001</c:v>
                </c:pt>
                <c:pt idx="4">
                  <c:v>1609.0430000000001</c:v>
                </c:pt>
                <c:pt idx="5">
                  <c:v>58.037615000000002</c:v>
                </c:pt>
                <c:pt idx="6">
                  <c:v>2</c:v>
                </c:pt>
                <c:pt idx="8">
                  <c:v>97.6388125</c:v>
                </c:pt>
                <c:pt idx="10">
                  <c:v>33</c:v>
                </c:pt>
                <c:pt idx="11">
                  <c:v>3</c:v>
                </c:pt>
              </c:numCache>
            </c:numRef>
          </c:val>
          <c:extLst>
            <c:ext xmlns:c16="http://schemas.microsoft.com/office/drawing/2014/chart" uri="{C3380CC4-5D6E-409C-BE32-E72D297353CC}">
              <c16:uniqueId val="{00000013-A171-4EBD-850D-B22B6C9BF984}"/>
            </c:ext>
          </c:extLst>
        </c:ser>
        <c:ser>
          <c:idx val="1"/>
          <c:order val="1"/>
          <c:tx>
            <c:strRef>
              <c:f>Pivot_Layer!$C$3:$C$4</c:f>
              <c:strCache>
                <c:ptCount val="1"/>
                <c:pt idx="0">
                  <c:v>East</c:v>
                </c:pt>
              </c:strCache>
            </c:strRef>
          </c:tx>
          <c:spPr>
            <a:solidFill>
              <a:schemeClr val="accent2"/>
            </a:solidFill>
            <a:ln>
              <a:noFill/>
            </a:ln>
            <a:effectLst/>
            <a:sp3d/>
          </c:spPr>
          <c:invertIfNegative val="0"/>
          <c:cat>
            <c:strRef>
              <c:f>Pivot_Layer!$A$5:$A$17</c:f>
              <c:strCache>
                <c:ptCount val="13"/>
                <c:pt idx="0">
                  <c:v>Accessories</c:v>
                </c:pt>
                <c:pt idx="1">
                  <c:v>Apparel</c:v>
                </c:pt>
                <c:pt idx="2">
                  <c:v>Automotive</c:v>
                </c:pt>
                <c:pt idx="3">
                  <c:v>Books</c:v>
                </c:pt>
                <c:pt idx="4">
                  <c:v>Electronics</c:v>
                </c:pt>
                <c:pt idx="5">
                  <c:v>Fitness</c:v>
                </c:pt>
                <c:pt idx="6">
                  <c:v>Food</c:v>
                </c:pt>
                <c:pt idx="7">
                  <c:v>Furniture</c:v>
                </c:pt>
                <c:pt idx="8">
                  <c:v>Home</c:v>
                </c:pt>
                <c:pt idx="9">
                  <c:v>Jewelry</c:v>
                </c:pt>
                <c:pt idx="10">
                  <c:v>Office</c:v>
                </c:pt>
                <c:pt idx="11">
                  <c:v>Personal Care</c:v>
                </c:pt>
                <c:pt idx="12">
                  <c:v>Pets</c:v>
                </c:pt>
              </c:strCache>
            </c:strRef>
          </c:cat>
          <c:val>
            <c:numRef>
              <c:f>Pivot_Layer!$C$5:$C$17</c:f>
              <c:numCache>
                <c:formatCode>_-[$$-409]* #,##0.00_ ;_-[$$-409]* \-#,##0.00\ ;_-[$$-409]* "-"??_ ;_-@_ </c:formatCode>
                <c:ptCount val="13"/>
                <c:pt idx="1">
                  <c:v>3</c:v>
                </c:pt>
                <c:pt idx="4">
                  <c:v>429.32400000000001</c:v>
                </c:pt>
                <c:pt idx="5">
                  <c:v>19</c:v>
                </c:pt>
                <c:pt idx="7">
                  <c:v>183.85300000000001</c:v>
                </c:pt>
                <c:pt idx="8">
                  <c:v>17</c:v>
                </c:pt>
                <c:pt idx="12">
                  <c:v>8</c:v>
                </c:pt>
              </c:numCache>
            </c:numRef>
          </c:val>
          <c:extLst>
            <c:ext xmlns:c16="http://schemas.microsoft.com/office/drawing/2014/chart" uri="{C3380CC4-5D6E-409C-BE32-E72D297353CC}">
              <c16:uniqueId val="{00000019-A171-4EBD-850D-B22B6C9BF984}"/>
            </c:ext>
          </c:extLst>
        </c:ser>
        <c:ser>
          <c:idx val="2"/>
          <c:order val="2"/>
          <c:tx>
            <c:strRef>
              <c:f>Pivot_Layer!$D$3:$D$4</c:f>
              <c:strCache>
                <c:ptCount val="1"/>
                <c:pt idx="0">
                  <c:v>South</c:v>
                </c:pt>
              </c:strCache>
            </c:strRef>
          </c:tx>
          <c:spPr>
            <a:solidFill>
              <a:schemeClr val="accent3"/>
            </a:solidFill>
            <a:ln>
              <a:noFill/>
            </a:ln>
            <a:effectLst/>
            <a:sp3d/>
          </c:spPr>
          <c:invertIfNegative val="0"/>
          <c:cat>
            <c:strRef>
              <c:f>Pivot_Layer!$A$5:$A$17</c:f>
              <c:strCache>
                <c:ptCount val="13"/>
                <c:pt idx="0">
                  <c:v>Accessories</c:v>
                </c:pt>
                <c:pt idx="1">
                  <c:v>Apparel</c:v>
                </c:pt>
                <c:pt idx="2">
                  <c:v>Automotive</c:v>
                </c:pt>
                <c:pt idx="3">
                  <c:v>Books</c:v>
                </c:pt>
                <c:pt idx="4">
                  <c:v>Electronics</c:v>
                </c:pt>
                <c:pt idx="5">
                  <c:v>Fitness</c:v>
                </c:pt>
                <c:pt idx="6">
                  <c:v>Food</c:v>
                </c:pt>
                <c:pt idx="7">
                  <c:v>Furniture</c:v>
                </c:pt>
                <c:pt idx="8">
                  <c:v>Home</c:v>
                </c:pt>
                <c:pt idx="9">
                  <c:v>Jewelry</c:v>
                </c:pt>
                <c:pt idx="10">
                  <c:v>Office</c:v>
                </c:pt>
                <c:pt idx="11">
                  <c:v>Personal Care</c:v>
                </c:pt>
                <c:pt idx="12">
                  <c:v>Pets</c:v>
                </c:pt>
              </c:strCache>
            </c:strRef>
          </c:cat>
          <c:val>
            <c:numRef>
              <c:f>Pivot_Layer!$D$5:$D$17</c:f>
              <c:numCache>
                <c:formatCode>_-[$$-409]* #,##0.00_ ;_-[$$-409]* \-#,##0.00\ ;_-[$$-409]* "-"??_ ;_-@_ </c:formatCode>
                <c:ptCount val="13"/>
                <c:pt idx="0">
                  <c:v>8</c:v>
                </c:pt>
                <c:pt idx="1">
                  <c:v>8</c:v>
                </c:pt>
                <c:pt idx="4">
                  <c:v>93.212099999999992</c:v>
                </c:pt>
                <c:pt idx="5">
                  <c:v>3</c:v>
                </c:pt>
                <c:pt idx="7">
                  <c:v>232.567215</c:v>
                </c:pt>
                <c:pt idx="8">
                  <c:v>106.70971729999999</c:v>
                </c:pt>
                <c:pt idx="9">
                  <c:v>5</c:v>
                </c:pt>
                <c:pt idx="11">
                  <c:v>13</c:v>
                </c:pt>
              </c:numCache>
            </c:numRef>
          </c:val>
          <c:extLst>
            <c:ext xmlns:c16="http://schemas.microsoft.com/office/drawing/2014/chart" uri="{C3380CC4-5D6E-409C-BE32-E72D297353CC}">
              <c16:uniqueId val="{0000001A-A171-4EBD-850D-B22B6C9BF984}"/>
            </c:ext>
          </c:extLst>
        </c:ser>
        <c:ser>
          <c:idx val="3"/>
          <c:order val="3"/>
          <c:tx>
            <c:strRef>
              <c:f>Pivot_Layer!$E$3:$E$4</c:f>
              <c:strCache>
                <c:ptCount val="1"/>
                <c:pt idx="0">
                  <c:v>West</c:v>
                </c:pt>
              </c:strCache>
            </c:strRef>
          </c:tx>
          <c:spPr>
            <a:solidFill>
              <a:schemeClr val="accent4"/>
            </a:solidFill>
            <a:ln w="76200">
              <a:noFill/>
            </a:ln>
            <a:effectLst/>
            <a:sp3d/>
          </c:spPr>
          <c:invertIfNegative val="0"/>
          <c:cat>
            <c:strRef>
              <c:f>Pivot_Layer!$A$5:$A$17</c:f>
              <c:strCache>
                <c:ptCount val="13"/>
                <c:pt idx="0">
                  <c:v>Accessories</c:v>
                </c:pt>
                <c:pt idx="1">
                  <c:v>Apparel</c:v>
                </c:pt>
                <c:pt idx="2">
                  <c:v>Automotive</c:v>
                </c:pt>
                <c:pt idx="3">
                  <c:v>Books</c:v>
                </c:pt>
                <c:pt idx="4">
                  <c:v>Electronics</c:v>
                </c:pt>
                <c:pt idx="5">
                  <c:v>Fitness</c:v>
                </c:pt>
                <c:pt idx="6">
                  <c:v>Food</c:v>
                </c:pt>
                <c:pt idx="7">
                  <c:v>Furniture</c:v>
                </c:pt>
                <c:pt idx="8">
                  <c:v>Home</c:v>
                </c:pt>
                <c:pt idx="9">
                  <c:v>Jewelry</c:v>
                </c:pt>
                <c:pt idx="10">
                  <c:v>Office</c:v>
                </c:pt>
                <c:pt idx="11">
                  <c:v>Personal Care</c:v>
                </c:pt>
                <c:pt idx="12">
                  <c:v>Pets</c:v>
                </c:pt>
              </c:strCache>
            </c:strRef>
          </c:cat>
          <c:val>
            <c:numRef>
              <c:f>Pivot_Layer!$E$5:$E$17</c:f>
              <c:numCache>
                <c:formatCode>_-[$$-409]* #,##0.00_ ;_-[$$-409]* \-#,##0.00\ ;_-[$$-409]* "-"??_ ;_-@_ </c:formatCode>
                <c:ptCount val="13"/>
                <c:pt idx="0">
                  <c:v>19.515207499999999</c:v>
                </c:pt>
                <c:pt idx="1">
                  <c:v>126.37400375</c:v>
                </c:pt>
                <c:pt idx="4">
                  <c:v>3064.0209449999998</c:v>
                </c:pt>
                <c:pt idx="5">
                  <c:v>2065.6280300000003</c:v>
                </c:pt>
                <c:pt idx="6">
                  <c:v>6</c:v>
                </c:pt>
                <c:pt idx="7">
                  <c:v>15</c:v>
                </c:pt>
                <c:pt idx="8">
                  <c:v>55.018262499999999</c:v>
                </c:pt>
                <c:pt idx="10">
                  <c:v>9</c:v>
                </c:pt>
                <c:pt idx="11">
                  <c:v>6</c:v>
                </c:pt>
                <c:pt idx="12">
                  <c:v>5</c:v>
                </c:pt>
              </c:numCache>
            </c:numRef>
          </c:val>
          <c:extLst>
            <c:ext xmlns:c16="http://schemas.microsoft.com/office/drawing/2014/chart" uri="{C3380CC4-5D6E-409C-BE32-E72D297353CC}">
              <c16:uniqueId val="{0000001B-A171-4EBD-850D-B22B6C9BF984}"/>
            </c:ext>
          </c:extLst>
        </c:ser>
        <c:dLbls>
          <c:showLegendKey val="0"/>
          <c:showVal val="0"/>
          <c:showCatName val="0"/>
          <c:showSerName val="0"/>
          <c:showPercent val="0"/>
          <c:showBubbleSize val="0"/>
        </c:dLbls>
        <c:gapWidth val="0"/>
        <c:gapDepth val="0"/>
        <c:shape val="box"/>
        <c:axId val="730761704"/>
        <c:axId val="730760624"/>
        <c:axId val="0"/>
      </c:bar3DChart>
      <c:catAx>
        <c:axId val="730761704"/>
        <c:scaling>
          <c:orientation val="minMax"/>
        </c:scaling>
        <c:delete val="1"/>
        <c:axPos val="b"/>
        <c:numFmt formatCode="General" sourceLinked="1"/>
        <c:majorTickMark val="none"/>
        <c:minorTickMark val="none"/>
        <c:tickLblPos val="nextTo"/>
        <c:crossAx val="730760624"/>
        <c:crosses val="autoZero"/>
        <c:auto val="1"/>
        <c:lblAlgn val="ctr"/>
        <c:lblOffset val="100"/>
        <c:noMultiLvlLbl val="0"/>
      </c:catAx>
      <c:valAx>
        <c:axId val="730760624"/>
        <c:scaling>
          <c:orientation val="minMax"/>
        </c:scaling>
        <c:delete val="0"/>
        <c:axPos val="l"/>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30761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206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&amp; INVENTORY DASHBOARD.xlsm]Pivot_Layer!PivotTable2</c:name>
    <c:fmtId val="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w="6350" cap="flat" cmpd="sng" algn="ctr">
            <a:solidFill>
              <a:schemeClr val="accent5"/>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Pivot_Layer!$B$27</c:f>
              <c:strCache>
                <c:ptCount val="1"/>
                <c:pt idx="0">
                  <c:v>Sum of TotalRevenue</c:v>
                </c:pt>
              </c:strCache>
            </c:strRef>
          </c:tx>
          <c:spPr>
            <a:solidFill>
              <a:schemeClr val="accent2">
                <a:lumMod val="75000"/>
              </a:schemeClr>
            </a:solidFill>
            <a:ln w="6350" cap="flat" cmpd="sng" algn="ctr">
              <a:solidFill>
                <a:schemeClr val="accent5"/>
              </a:solidFill>
              <a:prstDash val="solid"/>
              <a:miter lim="800000"/>
            </a:ln>
            <a:effectLst/>
          </c:spPr>
          <c:cat>
            <c:strRef>
              <c:f>Pivot_Layer!$A$28:$A$31</c:f>
              <c:strCache>
                <c:ptCount val="3"/>
                <c:pt idx="0">
                  <c:v>Jan</c:v>
                </c:pt>
                <c:pt idx="1">
                  <c:v>Feb</c:v>
                </c:pt>
                <c:pt idx="2">
                  <c:v>Mar</c:v>
                </c:pt>
              </c:strCache>
            </c:strRef>
          </c:cat>
          <c:val>
            <c:numRef>
              <c:f>Pivot_Layer!$B$28:$B$31</c:f>
              <c:numCache>
                <c:formatCode>_-[$$-409]* #,##0.00_ ;_-[$$-409]* \-#,##0.00\ ;_-[$$-409]* "-"??_ ;_-@_ </c:formatCode>
                <c:ptCount val="3"/>
                <c:pt idx="0">
                  <c:v>7180.0773412499984</c:v>
                </c:pt>
                <c:pt idx="1">
                  <c:v>892.52672749999999</c:v>
                </c:pt>
                <c:pt idx="2">
                  <c:v>259.4539848</c:v>
                </c:pt>
              </c:numCache>
            </c:numRef>
          </c:val>
          <c:extLst>
            <c:ext xmlns:c16="http://schemas.microsoft.com/office/drawing/2014/chart" uri="{C3380CC4-5D6E-409C-BE32-E72D297353CC}">
              <c16:uniqueId val="{00000000-4AD0-4680-B976-29CC879A93BD}"/>
            </c:ext>
          </c:extLst>
        </c:ser>
        <c:ser>
          <c:idx val="1"/>
          <c:order val="1"/>
          <c:tx>
            <c:strRef>
              <c:f>Pivot_Layer!$C$27</c:f>
              <c:strCache>
                <c:ptCount val="1"/>
                <c:pt idx="0">
                  <c:v>Count of OrderID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Pivot_Layer!$A$28:$A$31</c:f>
              <c:strCache>
                <c:ptCount val="3"/>
                <c:pt idx="0">
                  <c:v>Jan</c:v>
                </c:pt>
                <c:pt idx="1">
                  <c:v>Feb</c:v>
                </c:pt>
                <c:pt idx="2">
                  <c:v>Mar</c:v>
                </c:pt>
              </c:strCache>
            </c:strRef>
          </c:cat>
          <c:val>
            <c:numRef>
              <c:f>Pivot_Layer!$C$28:$C$31</c:f>
              <c:numCache>
                <c:formatCode>General</c:formatCode>
                <c:ptCount val="3"/>
                <c:pt idx="0">
                  <c:v>33</c:v>
                </c:pt>
                <c:pt idx="1">
                  <c:v>56</c:v>
                </c:pt>
                <c:pt idx="2">
                  <c:v>31</c:v>
                </c:pt>
              </c:numCache>
            </c:numRef>
          </c:val>
          <c:extLst>
            <c:ext xmlns:c16="http://schemas.microsoft.com/office/drawing/2014/chart" uri="{C3380CC4-5D6E-409C-BE32-E72D297353CC}">
              <c16:uniqueId val="{00000001-4AD0-4680-B976-29CC879A93BD}"/>
            </c:ext>
          </c:extLst>
        </c:ser>
        <c:dLbls>
          <c:showLegendKey val="0"/>
          <c:showVal val="0"/>
          <c:showCatName val="0"/>
          <c:showSerName val="0"/>
          <c:showPercent val="0"/>
          <c:showBubbleSize val="0"/>
        </c:dLbls>
        <c:axId val="576992776"/>
        <c:axId val="576994576"/>
      </c:areaChart>
      <c:catAx>
        <c:axId val="576992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76994576"/>
        <c:crosses val="autoZero"/>
        <c:auto val="1"/>
        <c:lblAlgn val="ctr"/>
        <c:lblOffset val="100"/>
        <c:noMultiLvlLbl val="0"/>
      </c:catAx>
      <c:valAx>
        <c:axId val="576994576"/>
        <c:scaling>
          <c:orientation val="minMax"/>
        </c:scaling>
        <c:delete val="0"/>
        <c:axPos val="l"/>
        <c:numFmt formatCode="_-[$$-409]* #,##0.00_ ;_-[$$-409]* \-#,##0.0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7699277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&amp; INVENTORY DASHBOARD.xlsm]Pivot_Layer!PivotTable3</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marker>
          <c:symbol val="none"/>
        </c:marke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marker>
          <c:symbol val="none"/>
        </c:marke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0"/>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xForSave val="1"/>
            </c:ext>
          </c:extLst>
        </c:dLbl>
      </c:pivotFmt>
      <c:pivotFmt>
        <c:idx val="51"/>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xForSave val="1"/>
            </c:ext>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4701202968034311E-2"/>
          <c:y val="5.108613810371327E-2"/>
          <c:w val="0.94565735347032454"/>
          <c:h val="0.89782772379257347"/>
        </c:manualLayout>
      </c:layout>
      <c:pie3DChart>
        <c:varyColors val="1"/>
        <c:ser>
          <c:idx val="0"/>
          <c:order val="0"/>
          <c:tx>
            <c:strRef>
              <c:f>Pivot_Layer!$B$39</c:f>
              <c:strCache>
                <c:ptCount val="1"/>
                <c:pt idx="0">
                  <c:v>Count of ReturnReason</c:v>
                </c:pt>
              </c:strCache>
            </c:strRef>
          </c:tx>
          <c:dPt>
            <c:idx val="0"/>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Pt>
          <c:dPt>
            <c:idx val="1"/>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dPt>
          <c:dPt>
            <c:idx val="2"/>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dPt>
          <c:dPt>
            <c:idx val="3"/>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dPt>
          <c:dPt>
            <c:idx val="4"/>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dPt>
          <c:dPt>
            <c:idx val="5"/>
            <c:bubble3D val="0"/>
            <c:spPr>
              <a:solidFill>
                <a:schemeClr val="accent6">
                  <a:alpha val="90000"/>
                </a:schemeClr>
              </a:solidFill>
              <a:ln w="19050">
                <a:solidFill>
                  <a:schemeClr val="accent6">
                    <a:lumMod val="75000"/>
                  </a:schemeClr>
                </a:solidFill>
              </a:ln>
              <a:effectLst>
                <a:innerShdw blurRad="114300">
                  <a:schemeClr val="accent6">
                    <a:lumMod val="75000"/>
                  </a:schemeClr>
                </a:innerShdw>
              </a:effectLst>
              <a:scene3d>
                <a:camera prst="orthographicFront"/>
                <a:lightRig rig="threePt" dir="t"/>
              </a:scene3d>
              <a:sp3d contourW="19050" prstMaterial="flat">
                <a:contourClr>
                  <a:schemeClr val="accent6">
                    <a:lumMod val="75000"/>
                  </a:schemeClr>
                </a:contourClr>
              </a:sp3d>
            </c:spPr>
          </c:dPt>
          <c:dPt>
            <c:idx val="6"/>
            <c:bubble3D val="0"/>
            <c:spPr>
              <a:solidFill>
                <a:schemeClr val="accent1">
                  <a:lumMod val="60000"/>
                  <a:alpha val="90000"/>
                </a:schemeClr>
              </a:solidFill>
              <a:ln w="19050">
                <a:solidFill>
                  <a:schemeClr val="accent1">
                    <a:lumMod val="60000"/>
                    <a:lumMod val="75000"/>
                  </a:schemeClr>
                </a:solidFill>
              </a:ln>
              <a:effectLst>
                <a:innerShdw blurRad="114300">
                  <a:schemeClr val="accent1">
                    <a:lumMod val="60000"/>
                    <a:lumMod val="75000"/>
                  </a:schemeClr>
                </a:innerShdw>
              </a:effectLst>
              <a:scene3d>
                <a:camera prst="orthographicFront"/>
                <a:lightRig rig="threePt" dir="t"/>
              </a:scene3d>
              <a:sp3d contourW="19050" prstMaterial="flat">
                <a:contourClr>
                  <a:schemeClr val="accent1">
                    <a:lumMod val="60000"/>
                    <a:lumMod val="75000"/>
                  </a:schemeClr>
                </a:contourClr>
              </a:sp3d>
            </c:spPr>
          </c:dPt>
          <c:dPt>
            <c:idx val="7"/>
            <c:bubble3D val="0"/>
            <c:spPr>
              <a:solidFill>
                <a:schemeClr val="accent2">
                  <a:lumMod val="60000"/>
                  <a:alpha val="90000"/>
                </a:schemeClr>
              </a:solidFill>
              <a:ln w="19050">
                <a:solidFill>
                  <a:schemeClr val="accent2">
                    <a:lumMod val="60000"/>
                    <a:lumMod val="75000"/>
                  </a:schemeClr>
                </a:solidFill>
              </a:ln>
              <a:effectLst>
                <a:innerShdw blurRad="114300">
                  <a:schemeClr val="accent2">
                    <a:lumMod val="60000"/>
                    <a:lumMod val="75000"/>
                  </a:schemeClr>
                </a:innerShdw>
              </a:effectLst>
              <a:scene3d>
                <a:camera prst="orthographicFront"/>
                <a:lightRig rig="threePt" dir="t"/>
              </a:scene3d>
              <a:sp3d contourW="19050" prstMaterial="flat">
                <a:contourClr>
                  <a:schemeClr val="accent2">
                    <a:lumMod val="60000"/>
                    <a:lumMod val="75000"/>
                  </a:schemeClr>
                </a:contourClr>
              </a:sp3d>
            </c:spPr>
          </c:dPt>
          <c:dPt>
            <c:idx val="8"/>
            <c:bubble3D val="0"/>
            <c:spPr>
              <a:solidFill>
                <a:schemeClr val="accent3">
                  <a:lumMod val="60000"/>
                  <a:alpha val="90000"/>
                </a:schemeClr>
              </a:solidFill>
              <a:ln w="19050">
                <a:solidFill>
                  <a:schemeClr val="accent3">
                    <a:lumMod val="60000"/>
                    <a:lumMod val="75000"/>
                  </a:schemeClr>
                </a:solidFill>
              </a:ln>
              <a:effectLst>
                <a:innerShdw blurRad="114300">
                  <a:schemeClr val="accent3">
                    <a:lumMod val="60000"/>
                    <a:lumMod val="75000"/>
                  </a:schemeClr>
                </a:innerShdw>
              </a:effectLst>
              <a:scene3d>
                <a:camera prst="orthographicFront"/>
                <a:lightRig rig="threePt" dir="t"/>
              </a:scene3d>
              <a:sp3d contourW="19050" prstMaterial="flat">
                <a:contourClr>
                  <a:schemeClr val="accent3">
                    <a:lumMod val="60000"/>
                    <a:lumMod val="75000"/>
                  </a:schemeClr>
                </a:contourClr>
              </a:sp3d>
            </c:spPr>
          </c:dPt>
          <c:dPt>
            <c:idx val="9"/>
            <c:bubble3D val="0"/>
            <c:spPr>
              <a:solidFill>
                <a:schemeClr val="accent4">
                  <a:lumMod val="60000"/>
                  <a:alpha val="90000"/>
                </a:schemeClr>
              </a:solidFill>
              <a:ln w="19050">
                <a:solidFill>
                  <a:schemeClr val="accent4">
                    <a:lumMod val="60000"/>
                    <a:lumMod val="75000"/>
                  </a:schemeClr>
                </a:solidFill>
              </a:ln>
              <a:effectLst>
                <a:innerShdw blurRad="114300">
                  <a:schemeClr val="accent4">
                    <a:lumMod val="60000"/>
                    <a:lumMod val="75000"/>
                  </a:schemeClr>
                </a:innerShdw>
              </a:effectLst>
              <a:scene3d>
                <a:camera prst="orthographicFront"/>
                <a:lightRig rig="threePt" dir="t"/>
              </a:scene3d>
              <a:sp3d contourW="19050" prstMaterial="flat">
                <a:contourClr>
                  <a:schemeClr val="accent4">
                    <a:lumMod val="60000"/>
                    <a:lumMod val="75000"/>
                  </a:schemeClr>
                </a:contourClr>
              </a:sp3d>
            </c:spPr>
          </c:dPt>
          <c:dPt>
            <c:idx val="10"/>
            <c:bubble3D val="0"/>
            <c:spPr>
              <a:solidFill>
                <a:schemeClr val="accent5">
                  <a:lumMod val="60000"/>
                  <a:alpha val="90000"/>
                </a:schemeClr>
              </a:solidFill>
              <a:ln w="19050">
                <a:solidFill>
                  <a:schemeClr val="accent5">
                    <a:lumMod val="60000"/>
                    <a:lumMod val="75000"/>
                  </a:schemeClr>
                </a:solidFill>
              </a:ln>
              <a:effectLst>
                <a:innerShdw blurRad="114300">
                  <a:schemeClr val="accent5">
                    <a:lumMod val="60000"/>
                    <a:lumMod val="75000"/>
                  </a:schemeClr>
                </a:innerShdw>
              </a:effectLst>
              <a:scene3d>
                <a:camera prst="orthographicFront"/>
                <a:lightRig rig="threePt" dir="t"/>
              </a:scene3d>
              <a:sp3d contourW="19050" prstMaterial="flat">
                <a:contourClr>
                  <a:schemeClr val="accent5">
                    <a:lumMod val="60000"/>
                    <a:lumMod val="75000"/>
                  </a:schemeClr>
                </a:contourClr>
              </a:sp3d>
            </c:spPr>
          </c:dPt>
          <c:dLbls>
            <c:dLbl>
              <c:idx val="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dLbl>
            <c:dLbl>
              <c:idx val="1"/>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en-US"/>
                </a:p>
              </c:txPr>
              <c:dLblPos val="bestFit"/>
              <c:showLegendKey val="0"/>
              <c:showVal val="1"/>
              <c:showCatName val="0"/>
              <c:showSerName val="0"/>
              <c:showPercent val="0"/>
              <c:showBubbleSize val="0"/>
            </c:dLbl>
            <c:dLbl>
              <c:idx val="2"/>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en-US"/>
                </a:p>
              </c:txPr>
              <c:dLblPos val="bestFit"/>
              <c:showLegendKey val="0"/>
              <c:showVal val="1"/>
              <c:showCatName val="0"/>
              <c:showSerName val="0"/>
              <c:showPercent val="0"/>
              <c:showBubbleSize val="0"/>
            </c:dLbl>
            <c:dLbl>
              <c:idx val="3"/>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n-US"/>
                </a:p>
              </c:txPr>
              <c:dLblPos val="bestFit"/>
              <c:showLegendKey val="0"/>
              <c:showVal val="1"/>
              <c:showCatName val="0"/>
              <c:showSerName val="0"/>
              <c:showPercent val="0"/>
              <c:showBubbleSize val="0"/>
            </c:dLbl>
            <c:dLbl>
              <c:idx val="4"/>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solidFill>
                      <a:effectLst/>
                      <a:latin typeface="+mn-lt"/>
                      <a:ea typeface="+mn-ea"/>
                      <a:cs typeface="+mn-cs"/>
                    </a:defRPr>
                  </a:pPr>
                  <a:endParaRPr lang="en-US"/>
                </a:p>
              </c:txPr>
              <c:dLblPos val="bestFit"/>
              <c:showLegendKey val="0"/>
              <c:showVal val="1"/>
              <c:showCatName val="0"/>
              <c:showSerName val="0"/>
              <c:showPercent val="0"/>
              <c:showBubbleSize val="0"/>
            </c:dLbl>
            <c:dLbl>
              <c:idx val="5"/>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solidFill>
                      <a:effectLst/>
                      <a:latin typeface="+mn-lt"/>
                      <a:ea typeface="+mn-ea"/>
                      <a:cs typeface="+mn-cs"/>
                    </a:defRPr>
                  </a:pPr>
                  <a:endParaRPr lang="en-US"/>
                </a:p>
              </c:txPr>
              <c:dLblPos val="bestFit"/>
              <c:showLegendKey val="0"/>
              <c:showVal val="1"/>
              <c:showCatName val="0"/>
              <c:showSerName val="0"/>
              <c:showPercent val="0"/>
              <c:showBubbleSize val="0"/>
            </c:dLbl>
            <c:dLbl>
              <c:idx val="6"/>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dLbl>
              <c:idx val="7"/>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dLbl>
              <c:idx val="8"/>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dLbl>
              <c:idx val="9"/>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dLbl>
              <c:idx val="10"/>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spPr>
              <a:solidFill>
                <a:sysClr val="window" lastClr="FFFFFF">
                  <a:alpha val="90000"/>
                </a:sysClr>
              </a:solidFill>
              <a:ln w="12700" cap="flat" cmpd="sng" algn="ctr">
                <a:solidFill>
                  <a:srgbClr val="5B9BD5"/>
                </a:solidFill>
                <a:round/>
              </a:ln>
              <a:effectLst>
                <a:outerShdw blurRad="50800" dist="38100" dir="2700000" algn="tl" rotWithShape="0">
                  <a:srgbClr val="5B9BD5">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Pivot_Layer!$A$40:$A$50</c:f>
              <c:strCache>
                <c:ptCount val="11"/>
                <c:pt idx="0">
                  <c:v>UrbanCart Austin</c:v>
                </c:pt>
                <c:pt idx="1">
                  <c:v>UrbanCart Boston</c:v>
                </c:pt>
                <c:pt idx="2">
                  <c:v>UrbanCart Chicago</c:v>
                </c:pt>
                <c:pt idx="3">
                  <c:v>UrbanCart Columbus</c:v>
                </c:pt>
                <c:pt idx="4">
                  <c:v>UrbanCart Denver</c:v>
                </c:pt>
                <c:pt idx="5">
                  <c:v>UrbanCart Detroit</c:v>
                </c:pt>
                <c:pt idx="6">
                  <c:v>UrbanCart Houston</c:v>
                </c:pt>
                <c:pt idx="7">
                  <c:v>UrbanCart Miami</c:v>
                </c:pt>
                <c:pt idx="8">
                  <c:v>UrbanCart Phoenix</c:v>
                </c:pt>
                <c:pt idx="9">
                  <c:v>UrbanCart Portland</c:v>
                </c:pt>
                <c:pt idx="10">
                  <c:v>UrbanCart Seattle</c:v>
                </c:pt>
              </c:strCache>
            </c:strRef>
          </c:cat>
          <c:val>
            <c:numRef>
              <c:f>Pivot_Layer!$B$40:$B$50</c:f>
              <c:numCache>
                <c:formatCode>General</c:formatCode>
                <c:ptCount val="11"/>
                <c:pt idx="0">
                  <c:v>11</c:v>
                </c:pt>
                <c:pt idx="1">
                  <c:v>11</c:v>
                </c:pt>
                <c:pt idx="2">
                  <c:v>12</c:v>
                </c:pt>
                <c:pt idx="3">
                  <c:v>10</c:v>
                </c:pt>
                <c:pt idx="4">
                  <c:v>10</c:v>
                </c:pt>
                <c:pt idx="5">
                  <c:v>11</c:v>
                </c:pt>
                <c:pt idx="6">
                  <c:v>11</c:v>
                </c:pt>
                <c:pt idx="7">
                  <c:v>11</c:v>
                </c:pt>
                <c:pt idx="8">
                  <c:v>11</c:v>
                </c:pt>
                <c:pt idx="9">
                  <c:v>11</c:v>
                </c:pt>
                <c:pt idx="10">
                  <c:v>11</c:v>
                </c:pt>
              </c:numCache>
            </c:numRef>
          </c:val>
          <c:extLst>
            <c:ext xmlns:c16="http://schemas.microsoft.com/office/drawing/2014/chart" uri="{C3380CC4-5D6E-409C-BE32-E72D297353CC}">
              <c16:uniqueId val="{0000002F-A5AB-4671-9F7C-594317EA1EE1}"/>
            </c:ext>
          </c:extLst>
        </c:ser>
        <c:ser>
          <c:idx val="1"/>
          <c:order val="1"/>
          <c:tx>
            <c:strRef>
              <c:f>Pivot_Layer!$C$39</c:f>
              <c:strCache>
                <c:ptCount val="1"/>
                <c:pt idx="0">
                  <c:v>Sum of ProfitMargin</c:v>
                </c:pt>
              </c:strCache>
            </c:strRef>
          </c:tx>
          <c:dPt>
            <c:idx val="0"/>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Pt>
          <c:dPt>
            <c:idx val="1"/>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dPt>
          <c:dPt>
            <c:idx val="2"/>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dPt>
          <c:dPt>
            <c:idx val="3"/>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dPt>
          <c:dPt>
            <c:idx val="4"/>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dPt>
          <c:dPt>
            <c:idx val="5"/>
            <c:bubble3D val="0"/>
            <c:spPr>
              <a:solidFill>
                <a:schemeClr val="accent6">
                  <a:alpha val="90000"/>
                </a:schemeClr>
              </a:solidFill>
              <a:ln w="19050">
                <a:solidFill>
                  <a:schemeClr val="accent6">
                    <a:lumMod val="75000"/>
                  </a:schemeClr>
                </a:solidFill>
              </a:ln>
              <a:effectLst>
                <a:innerShdw blurRad="114300">
                  <a:schemeClr val="accent6">
                    <a:lumMod val="75000"/>
                  </a:schemeClr>
                </a:innerShdw>
              </a:effectLst>
              <a:scene3d>
                <a:camera prst="orthographicFront"/>
                <a:lightRig rig="threePt" dir="t"/>
              </a:scene3d>
              <a:sp3d contourW="19050" prstMaterial="flat">
                <a:contourClr>
                  <a:schemeClr val="accent6">
                    <a:lumMod val="75000"/>
                  </a:schemeClr>
                </a:contourClr>
              </a:sp3d>
            </c:spPr>
          </c:dPt>
          <c:dPt>
            <c:idx val="6"/>
            <c:bubble3D val="0"/>
            <c:spPr>
              <a:solidFill>
                <a:schemeClr val="accent1">
                  <a:lumMod val="60000"/>
                  <a:alpha val="90000"/>
                </a:schemeClr>
              </a:solidFill>
              <a:ln w="19050">
                <a:solidFill>
                  <a:schemeClr val="accent1">
                    <a:lumMod val="60000"/>
                    <a:lumMod val="75000"/>
                  </a:schemeClr>
                </a:solidFill>
              </a:ln>
              <a:effectLst>
                <a:innerShdw blurRad="114300">
                  <a:schemeClr val="accent1">
                    <a:lumMod val="60000"/>
                    <a:lumMod val="75000"/>
                  </a:schemeClr>
                </a:innerShdw>
              </a:effectLst>
              <a:scene3d>
                <a:camera prst="orthographicFront"/>
                <a:lightRig rig="threePt" dir="t"/>
              </a:scene3d>
              <a:sp3d contourW="19050" prstMaterial="flat">
                <a:contourClr>
                  <a:schemeClr val="accent1">
                    <a:lumMod val="60000"/>
                    <a:lumMod val="75000"/>
                  </a:schemeClr>
                </a:contourClr>
              </a:sp3d>
            </c:spPr>
          </c:dPt>
          <c:dPt>
            <c:idx val="7"/>
            <c:bubble3D val="0"/>
            <c:spPr>
              <a:solidFill>
                <a:schemeClr val="accent2">
                  <a:lumMod val="60000"/>
                  <a:alpha val="90000"/>
                </a:schemeClr>
              </a:solidFill>
              <a:ln w="19050">
                <a:solidFill>
                  <a:schemeClr val="accent2">
                    <a:lumMod val="60000"/>
                    <a:lumMod val="75000"/>
                  </a:schemeClr>
                </a:solidFill>
              </a:ln>
              <a:effectLst>
                <a:innerShdw blurRad="114300">
                  <a:schemeClr val="accent2">
                    <a:lumMod val="60000"/>
                    <a:lumMod val="75000"/>
                  </a:schemeClr>
                </a:innerShdw>
              </a:effectLst>
              <a:scene3d>
                <a:camera prst="orthographicFront"/>
                <a:lightRig rig="threePt" dir="t"/>
              </a:scene3d>
              <a:sp3d contourW="19050" prstMaterial="flat">
                <a:contourClr>
                  <a:schemeClr val="accent2">
                    <a:lumMod val="60000"/>
                    <a:lumMod val="75000"/>
                  </a:schemeClr>
                </a:contourClr>
              </a:sp3d>
            </c:spPr>
          </c:dPt>
          <c:dPt>
            <c:idx val="8"/>
            <c:bubble3D val="0"/>
            <c:spPr>
              <a:solidFill>
                <a:schemeClr val="accent3">
                  <a:lumMod val="60000"/>
                  <a:alpha val="90000"/>
                </a:schemeClr>
              </a:solidFill>
              <a:ln w="19050">
                <a:solidFill>
                  <a:schemeClr val="accent3">
                    <a:lumMod val="60000"/>
                    <a:lumMod val="75000"/>
                  </a:schemeClr>
                </a:solidFill>
              </a:ln>
              <a:effectLst>
                <a:innerShdw blurRad="114300">
                  <a:schemeClr val="accent3">
                    <a:lumMod val="60000"/>
                    <a:lumMod val="75000"/>
                  </a:schemeClr>
                </a:innerShdw>
              </a:effectLst>
              <a:scene3d>
                <a:camera prst="orthographicFront"/>
                <a:lightRig rig="threePt" dir="t"/>
              </a:scene3d>
              <a:sp3d contourW="19050" prstMaterial="flat">
                <a:contourClr>
                  <a:schemeClr val="accent3">
                    <a:lumMod val="60000"/>
                    <a:lumMod val="75000"/>
                  </a:schemeClr>
                </a:contourClr>
              </a:sp3d>
            </c:spPr>
          </c:dPt>
          <c:dPt>
            <c:idx val="9"/>
            <c:bubble3D val="0"/>
            <c:spPr>
              <a:solidFill>
                <a:schemeClr val="accent4">
                  <a:lumMod val="60000"/>
                  <a:alpha val="90000"/>
                </a:schemeClr>
              </a:solidFill>
              <a:ln w="19050">
                <a:solidFill>
                  <a:schemeClr val="accent4">
                    <a:lumMod val="60000"/>
                    <a:lumMod val="75000"/>
                  </a:schemeClr>
                </a:solidFill>
              </a:ln>
              <a:effectLst>
                <a:innerShdw blurRad="114300">
                  <a:schemeClr val="accent4">
                    <a:lumMod val="60000"/>
                    <a:lumMod val="75000"/>
                  </a:schemeClr>
                </a:innerShdw>
              </a:effectLst>
              <a:scene3d>
                <a:camera prst="orthographicFront"/>
                <a:lightRig rig="threePt" dir="t"/>
              </a:scene3d>
              <a:sp3d contourW="19050" prstMaterial="flat">
                <a:contourClr>
                  <a:schemeClr val="accent4">
                    <a:lumMod val="60000"/>
                    <a:lumMod val="75000"/>
                  </a:schemeClr>
                </a:contourClr>
              </a:sp3d>
            </c:spPr>
          </c:dPt>
          <c:dPt>
            <c:idx val="10"/>
            <c:bubble3D val="0"/>
            <c:spPr>
              <a:solidFill>
                <a:schemeClr val="accent5">
                  <a:lumMod val="60000"/>
                  <a:alpha val="90000"/>
                </a:schemeClr>
              </a:solidFill>
              <a:ln w="19050">
                <a:solidFill>
                  <a:schemeClr val="accent5">
                    <a:lumMod val="60000"/>
                    <a:lumMod val="75000"/>
                  </a:schemeClr>
                </a:solidFill>
              </a:ln>
              <a:effectLst>
                <a:innerShdw blurRad="114300">
                  <a:schemeClr val="accent5">
                    <a:lumMod val="60000"/>
                    <a:lumMod val="75000"/>
                  </a:schemeClr>
                </a:innerShdw>
              </a:effectLst>
              <a:scene3d>
                <a:camera prst="orthographicFront"/>
                <a:lightRig rig="threePt" dir="t"/>
              </a:scene3d>
              <a:sp3d contourW="19050" prstMaterial="flat">
                <a:contourClr>
                  <a:schemeClr val="accent5">
                    <a:lumMod val="60000"/>
                    <a:lumMod val="75000"/>
                  </a:schemeClr>
                </a:contourClr>
              </a:sp3d>
            </c:spPr>
          </c:dPt>
          <c:dLbls>
            <c:dLbl>
              <c:idx val="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bestFit"/>
              <c:showLegendKey val="0"/>
              <c:showVal val="1"/>
              <c:showCatName val="0"/>
              <c:showSerName val="0"/>
              <c:showPercent val="0"/>
              <c:showBubbleSize val="0"/>
            </c:dLbl>
            <c:dLbl>
              <c:idx val="1"/>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en-US"/>
                </a:p>
              </c:txPr>
              <c:dLblPos val="bestFit"/>
              <c:showLegendKey val="0"/>
              <c:showVal val="1"/>
              <c:showCatName val="0"/>
              <c:showSerName val="0"/>
              <c:showPercent val="0"/>
              <c:showBubbleSize val="0"/>
            </c:dLbl>
            <c:dLbl>
              <c:idx val="2"/>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en-US"/>
                </a:p>
              </c:txPr>
              <c:dLblPos val="bestFit"/>
              <c:showLegendKey val="0"/>
              <c:showVal val="1"/>
              <c:showCatName val="0"/>
              <c:showSerName val="0"/>
              <c:showPercent val="0"/>
              <c:showBubbleSize val="0"/>
            </c:dLbl>
            <c:dLbl>
              <c:idx val="3"/>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en-US"/>
                </a:p>
              </c:txPr>
              <c:dLblPos val="bestFit"/>
              <c:showLegendKey val="0"/>
              <c:showVal val="1"/>
              <c:showCatName val="0"/>
              <c:showSerName val="0"/>
              <c:showPercent val="0"/>
              <c:showBubbleSize val="0"/>
            </c:dLbl>
            <c:dLbl>
              <c:idx val="4"/>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solidFill>
                      <a:effectLst/>
                      <a:latin typeface="+mn-lt"/>
                      <a:ea typeface="+mn-ea"/>
                      <a:cs typeface="+mn-cs"/>
                    </a:defRPr>
                  </a:pPr>
                  <a:endParaRPr lang="en-US"/>
                </a:p>
              </c:txPr>
              <c:dLblPos val="bestFit"/>
              <c:showLegendKey val="0"/>
              <c:showVal val="1"/>
              <c:showCatName val="0"/>
              <c:showSerName val="0"/>
              <c:showPercent val="0"/>
              <c:showBubbleSize val="0"/>
            </c:dLbl>
            <c:dLbl>
              <c:idx val="5"/>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solidFill>
                      <a:effectLst/>
                      <a:latin typeface="+mn-lt"/>
                      <a:ea typeface="+mn-ea"/>
                      <a:cs typeface="+mn-cs"/>
                    </a:defRPr>
                  </a:pPr>
                  <a:endParaRPr lang="en-US"/>
                </a:p>
              </c:txPr>
              <c:dLblPos val="bestFit"/>
              <c:showLegendKey val="0"/>
              <c:showVal val="1"/>
              <c:showCatName val="0"/>
              <c:showSerName val="0"/>
              <c:showPercent val="0"/>
              <c:showBubbleSize val="0"/>
            </c:dLbl>
            <c:dLbl>
              <c:idx val="6"/>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dLbl>
              <c:idx val="7"/>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dLbl>
              <c:idx val="8"/>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dLbl>
              <c:idx val="9"/>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dLbl>
              <c:idx val="10"/>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schemeClr>
                      </a:solidFill>
                      <a:effectLst/>
                      <a:latin typeface="+mn-lt"/>
                      <a:ea typeface="+mn-ea"/>
                      <a:cs typeface="+mn-cs"/>
                    </a:defRPr>
                  </a:pPr>
                  <a:endParaRPr lang="en-US"/>
                </a:p>
              </c:txPr>
              <c:dLblPos val="bestFit"/>
              <c:showLegendKey val="0"/>
              <c:showVal val="1"/>
              <c:showCatName val="0"/>
              <c:showSerName val="0"/>
              <c:showPercent val="0"/>
              <c:showBubbleSize val="0"/>
            </c:dLbl>
            <c:spPr>
              <a:solidFill>
                <a:sysClr val="window" lastClr="FFFFFF">
                  <a:alpha val="90000"/>
                </a:sysClr>
              </a:solidFill>
              <a:ln w="12700" cap="flat" cmpd="sng" algn="ctr">
                <a:solidFill>
                  <a:srgbClr val="ED7D31"/>
                </a:solidFill>
                <a:round/>
              </a:ln>
              <a:effectLst>
                <a:outerShdw blurRad="50800" dist="38100" dir="2700000" algn="tl" rotWithShape="0">
                  <a:srgbClr val="ED7D31">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Pivot_Layer!$A$40:$A$50</c:f>
              <c:strCache>
                <c:ptCount val="11"/>
                <c:pt idx="0">
                  <c:v>UrbanCart Austin</c:v>
                </c:pt>
                <c:pt idx="1">
                  <c:v>UrbanCart Boston</c:v>
                </c:pt>
                <c:pt idx="2">
                  <c:v>UrbanCart Chicago</c:v>
                </c:pt>
                <c:pt idx="3">
                  <c:v>UrbanCart Columbus</c:v>
                </c:pt>
                <c:pt idx="4">
                  <c:v>UrbanCart Denver</c:v>
                </c:pt>
                <c:pt idx="5">
                  <c:v>UrbanCart Detroit</c:v>
                </c:pt>
                <c:pt idx="6">
                  <c:v>UrbanCart Houston</c:v>
                </c:pt>
                <c:pt idx="7">
                  <c:v>UrbanCart Miami</c:v>
                </c:pt>
                <c:pt idx="8">
                  <c:v>UrbanCart Phoenix</c:v>
                </c:pt>
                <c:pt idx="9">
                  <c:v>UrbanCart Portland</c:v>
                </c:pt>
                <c:pt idx="10">
                  <c:v>UrbanCart Seattle</c:v>
                </c:pt>
              </c:strCache>
            </c:strRef>
          </c:cat>
          <c:val>
            <c:numRef>
              <c:f>Pivot_Layer!$C$40:$C$50</c:f>
              <c:numCache>
                <c:formatCode>_-[$$-409]* #,##0.00_ ;_-[$$-409]* \-#,##0.00\ ;_-[$$-409]* "-"??_ ;_-@_ </c:formatCode>
                <c:ptCount val="11"/>
                <c:pt idx="0">
                  <c:v>-80.397097752511186</c:v>
                </c:pt>
                <c:pt idx="1">
                  <c:v>-95.603628733562246</c:v>
                </c:pt>
                <c:pt idx="2">
                  <c:v>-90.051939155630279</c:v>
                </c:pt>
                <c:pt idx="3">
                  <c:v>-71.705817001497522</c:v>
                </c:pt>
                <c:pt idx="4">
                  <c:v>-81.034495887907411</c:v>
                </c:pt>
                <c:pt idx="5">
                  <c:v>-99.808499857451608</c:v>
                </c:pt>
                <c:pt idx="6">
                  <c:v>-96.158712331642874</c:v>
                </c:pt>
                <c:pt idx="7">
                  <c:v>-120.24004251909599</c:v>
                </c:pt>
                <c:pt idx="8">
                  <c:v>-87.152455871119642</c:v>
                </c:pt>
                <c:pt idx="9">
                  <c:v>-93.978051750501507</c:v>
                </c:pt>
                <c:pt idx="10">
                  <c:v>-76.457347253201675</c:v>
                </c:pt>
              </c:numCache>
            </c:numRef>
          </c:val>
          <c:extLst>
            <c:ext xmlns:c16="http://schemas.microsoft.com/office/drawing/2014/chart" uri="{C3380CC4-5D6E-409C-BE32-E72D297353CC}">
              <c16:uniqueId val="{00000030-A5AB-4671-9F7C-594317EA1EE1}"/>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&amp; INVENTORY DASHBOARD.xlsm]Pivot_Layer!PivotTable6</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376181102362205"/>
          <c:y val="2.5428331875182269E-2"/>
          <c:w val="0.81568263342082237"/>
          <c:h val="0.62719415281423152"/>
        </c:manualLayout>
      </c:layout>
      <c:areaChart>
        <c:grouping val="stacked"/>
        <c:varyColors val="0"/>
        <c:ser>
          <c:idx val="0"/>
          <c:order val="0"/>
          <c:tx>
            <c:strRef>
              <c:f>Pivot_Layer!$B$56</c:f>
              <c:strCache>
                <c:ptCount val="1"/>
                <c:pt idx="0">
                  <c:v>Sum of TotalRevenue</c:v>
                </c:pt>
              </c:strCache>
            </c:strRef>
          </c:tx>
          <c:spPr>
            <a:solidFill>
              <a:schemeClr val="accent1"/>
            </a:solidFill>
            <a:ln>
              <a:noFill/>
            </a:ln>
            <a:effectLst/>
          </c:spPr>
          <c:cat>
            <c:strRef>
              <c:f>Pivot_Layer!$A$57:$A$177</c:f>
              <c:strCache>
                <c:ptCount val="120"/>
                <c:pt idx="0">
                  <c:v>Air Purifier</c:v>
                </c:pt>
                <c:pt idx="1">
                  <c:v>Area Rug</c:v>
                </c:pt>
                <c:pt idx="2">
                  <c:v>Backpack</c:v>
                </c:pt>
                <c:pt idx="3">
                  <c:v>Basketball</c:v>
                </c:pt>
                <c:pt idx="4">
                  <c:v>Bath Mat</c:v>
                </c:pt>
                <c:pt idx="5">
                  <c:v>Bath Towels</c:v>
                </c:pt>
                <c:pt idx="6">
                  <c:v>Bedsheet</c:v>
                </c:pt>
                <c:pt idx="7">
                  <c:v>Belt</c:v>
                </c:pt>
                <c:pt idx="8">
                  <c:v>Blender Bottle</c:v>
                </c:pt>
                <c:pt idx="9">
                  <c:v>Blender Pro</c:v>
                </c:pt>
                <c:pt idx="10">
                  <c:v>Bluetooth Speaker</c:v>
                </c:pt>
                <c:pt idx="11">
                  <c:v>Bookshelf</c:v>
                </c:pt>
                <c:pt idx="12">
                  <c:v>Camera</c:v>
                </c:pt>
                <c:pt idx="13">
                  <c:v>Candle Set</c:v>
                </c:pt>
                <c:pt idx="14">
                  <c:v>Car Vacuum</c:v>
                </c:pt>
                <c:pt idx="15">
                  <c:v>Cat Toy</c:v>
                </c:pt>
                <c:pt idx="16">
                  <c:v>Cereal Box</c:v>
                </c:pt>
                <c:pt idx="17">
                  <c:v>Coffee Maker</c:v>
                </c:pt>
                <c:pt idx="18">
                  <c:v>Coffee Mug</c:v>
                </c:pt>
                <c:pt idx="19">
                  <c:v>Coffee Table</c:v>
                </c:pt>
                <c:pt idx="20">
                  <c:v>Cookware Set</c:v>
                </c:pt>
                <c:pt idx="21">
                  <c:v>Cotton T-Shirt</c:v>
                </c:pt>
                <c:pt idx="22">
                  <c:v>Croissants</c:v>
                </c:pt>
                <c:pt idx="23">
                  <c:v>Cutting Board</c:v>
                </c:pt>
                <c:pt idx="24">
                  <c:v>Cutting Mat</c:v>
                </c:pt>
                <c:pt idx="25">
                  <c:v>Desk</c:v>
                </c:pt>
                <c:pt idx="26">
                  <c:v>Desk Chair</c:v>
                </c:pt>
                <c:pt idx="27">
                  <c:v>Desk Lamp</c:v>
                </c:pt>
                <c:pt idx="28">
                  <c:v>Desk Lamp LED</c:v>
                </c:pt>
                <c:pt idx="29">
                  <c:v>Desk Organizer</c:v>
                </c:pt>
                <c:pt idx="30">
                  <c:v>Dining Set</c:v>
                </c:pt>
                <c:pt idx="31">
                  <c:v>Dog Leash</c:v>
                </c:pt>
                <c:pt idx="32">
                  <c:v>Dumbbell Set</c:v>
                </c:pt>
                <c:pt idx="33">
                  <c:v>Dumbbells</c:v>
                </c:pt>
                <c:pt idx="34">
                  <c:v>Earrings</c:v>
                </c:pt>
                <c:pt idx="35">
                  <c:v>Electric Guitar</c:v>
                </c:pt>
                <c:pt idx="36">
                  <c:v>Electric Kettle</c:v>
                </c:pt>
                <c:pt idx="37">
                  <c:v>Extension Cord</c:v>
                </c:pt>
                <c:pt idx="38">
                  <c:v>Extension Tube</c:v>
                </c:pt>
                <c:pt idx="39">
                  <c:v>External HDD</c:v>
                </c:pt>
                <c:pt idx="40">
                  <c:v>Face Cream</c:v>
                </c:pt>
                <c:pt idx="41">
                  <c:v>Facial Cleanser</c:v>
                </c:pt>
                <c:pt idx="42">
                  <c:v>Food Processor</c:v>
                </c:pt>
                <c:pt idx="43">
                  <c:v>Football</c:v>
                </c:pt>
                <c:pt idx="44">
                  <c:v>Frying Pan</c:v>
                </c:pt>
                <c:pt idx="45">
                  <c:v>Gaming Mouse</c:v>
                </c:pt>
                <c:pt idx="46">
                  <c:v>GPS Tracker</c:v>
                </c:pt>
                <c:pt idx="47">
                  <c:v>Grill Pan</c:v>
                </c:pt>
                <c:pt idx="48">
                  <c:v>Hair Dryer</c:v>
                </c:pt>
                <c:pt idx="49">
                  <c:v>Hair Straightener</c:v>
                </c:pt>
                <c:pt idx="50">
                  <c:v>Hand Vacuum</c:v>
                </c:pt>
                <c:pt idx="51">
                  <c:v>Hiking Boots</c:v>
                </c:pt>
                <c:pt idx="52">
                  <c:v>Hoodie</c:v>
                </c:pt>
                <c:pt idx="53">
                  <c:v>Jeans</c:v>
                </c:pt>
                <c:pt idx="54">
                  <c:v>Jump Rope</c:v>
                </c:pt>
                <c:pt idx="55">
                  <c:v>Keyboard Piano</c:v>
                </c:pt>
                <c:pt idx="56">
                  <c:v>Laptop Pro 15</c:v>
                </c:pt>
                <c:pt idx="57">
                  <c:v>Laundry Basket</c:v>
                </c:pt>
                <c:pt idx="58">
                  <c:v>LED TV</c:v>
                </c:pt>
                <c:pt idx="59">
                  <c:v>Memory Foam Pillow</c:v>
                </c:pt>
                <c:pt idx="60">
                  <c:v>Microwave</c:v>
                </c:pt>
                <c:pt idx="61">
                  <c:v>Monitor 24</c:v>
                </c:pt>
                <c:pt idx="62">
                  <c:v>Necklace</c:v>
                </c:pt>
                <c:pt idx="63">
                  <c:v>Nightstand</c:v>
                </c:pt>
                <c:pt idx="64">
                  <c:v>Notebook</c:v>
                </c:pt>
                <c:pt idx="65">
                  <c:v>Novel Set</c:v>
                </c:pt>
                <c:pt idx="66">
                  <c:v>Paper Shredder</c:v>
                </c:pt>
                <c:pt idx="67">
                  <c:v>Pet Bed</c:v>
                </c:pt>
                <c:pt idx="68">
                  <c:v>Phone Stand</c:v>
                </c:pt>
                <c:pt idx="69">
                  <c:v>Photo Frame</c:v>
                </c:pt>
                <c:pt idx="70">
                  <c:v>Pillows</c:v>
                </c:pt>
                <c:pt idx="71">
                  <c:v>Plant Pot</c:v>
                </c:pt>
                <c:pt idx="72">
                  <c:v>Printer</c:v>
                </c:pt>
                <c:pt idx="73">
                  <c:v>Protein Bars</c:v>
                </c:pt>
                <c:pt idx="74">
                  <c:v>Protein Powder</c:v>
                </c:pt>
                <c:pt idx="75">
                  <c:v>Rain Jacket</c:v>
                </c:pt>
                <c:pt idx="76">
                  <c:v>Resistance Bands</c:v>
                </c:pt>
                <c:pt idx="77">
                  <c:v>Rice Cooker</c:v>
                </c:pt>
                <c:pt idx="78">
                  <c:v>Router</c:v>
                </c:pt>
                <c:pt idx="79">
                  <c:v>Running Shoes</c:v>
                </c:pt>
                <c:pt idx="80">
                  <c:v>Sandals</c:v>
                </c:pt>
                <c:pt idx="81">
                  <c:v>Sandwich Maker</c:v>
                </c:pt>
                <c:pt idx="82">
                  <c:v>Shampoo</c:v>
                </c:pt>
                <c:pt idx="83">
                  <c:v>Shoe Rack</c:v>
                </c:pt>
                <c:pt idx="84">
                  <c:v>Shower Curtain</c:v>
                </c:pt>
                <c:pt idx="85">
                  <c:v>Smart Watch</c:v>
                </c:pt>
                <c:pt idx="86">
                  <c:v>Smartphone</c:v>
                </c:pt>
                <c:pt idx="87">
                  <c:v>Soccer Ball</c:v>
                </c:pt>
                <c:pt idx="88">
                  <c:v>Socks</c:v>
                </c:pt>
                <c:pt idx="89">
                  <c:v>Suitcase</c:v>
                </c:pt>
                <c:pt idx="90">
                  <c:v>Sunglasses</c:v>
                </c:pt>
                <c:pt idx="91">
                  <c:v>Sweater</c:v>
                </c:pt>
                <c:pt idx="92">
                  <c:v>Table Clock</c:v>
                </c:pt>
                <c:pt idx="93">
                  <c:v>Tablet Case</c:v>
                </c:pt>
                <c:pt idx="94">
                  <c:v>Tablet Pro</c:v>
                </c:pt>
                <c:pt idx="95">
                  <c:v>Thermos</c:v>
                </c:pt>
                <c:pt idx="96">
                  <c:v>Throw Pillow</c:v>
                </c:pt>
                <c:pt idx="97">
                  <c:v>Tie</c:v>
                </c:pt>
                <c:pt idx="98">
                  <c:v>Tool Set</c:v>
                </c:pt>
                <c:pt idx="99">
                  <c:v>Treadmill</c:v>
                </c:pt>
                <c:pt idx="100">
                  <c:v>USB Flash Drive</c:v>
                </c:pt>
                <c:pt idx="101">
                  <c:v>USB Hub</c:v>
                </c:pt>
                <c:pt idx="102">
                  <c:v>Wall Art</c:v>
                </c:pt>
                <c:pt idx="103">
                  <c:v>Water Bottle</c:v>
                </c:pt>
                <c:pt idx="104">
                  <c:v>Webcam</c:v>
                </c:pt>
                <c:pt idx="105">
                  <c:v>Weighing Scale</c:v>
                </c:pt>
                <c:pt idx="106">
                  <c:v>Wine Glasses</c:v>
                </c:pt>
                <c:pt idx="107">
                  <c:v>Wine Rack</c:v>
                </c:pt>
                <c:pt idx="108">
                  <c:v>Winter Gloves</c:v>
                </c:pt>
                <c:pt idx="109">
                  <c:v>Winter Jacket</c:v>
                </c:pt>
                <c:pt idx="110">
                  <c:v>Winter Scarf</c:v>
                </c:pt>
                <c:pt idx="111">
                  <c:v>Wireless Charger</c:v>
                </c:pt>
                <c:pt idx="112">
                  <c:v>Wireless Earbuds</c:v>
                </c:pt>
                <c:pt idx="113">
                  <c:v>Wireless Keyboard</c:v>
                </c:pt>
                <c:pt idx="114">
                  <c:v>Wireless Mouse</c:v>
                </c:pt>
                <c:pt idx="115">
                  <c:v>Wok</c:v>
                </c:pt>
                <c:pt idx="116">
                  <c:v>Yoga Block</c:v>
                </c:pt>
                <c:pt idx="117">
                  <c:v>Yoga Mat</c:v>
                </c:pt>
                <c:pt idx="118">
                  <c:v>Yoga Pants</c:v>
                </c:pt>
                <c:pt idx="119">
                  <c:v>Yoga Strap</c:v>
                </c:pt>
              </c:strCache>
            </c:strRef>
          </c:cat>
          <c:val>
            <c:numRef>
              <c:f>Pivot_Layer!$B$57:$B$177</c:f>
              <c:numCache>
                <c:formatCode>_-[$$-409]* #,##0.00_ ;_-[$$-409]* \-#,##0.00\ ;_-[$$-409]* "-"??_ ;_-@_ </c:formatCode>
                <c:ptCount val="120"/>
                <c:pt idx="0">
                  <c:v>35.012</c:v>
                </c:pt>
                <c:pt idx="1">
                  <c:v>15</c:v>
                </c:pt>
                <c:pt idx="2">
                  <c:v>5</c:v>
                </c:pt>
                <c:pt idx="3">
                  <c:v>4</c:v>
                </c:pt>
                <c:pt idx="4">
                  <c:v>3</c:v>
                </c:pt>
                <c:pt idx="5">
                  <c:v>4</c:v>
                </c:pt>
                <c:pt idx="6">
                  <c:v>5</c:v>
                </c:pt>
                <c:pt idx="7">
                  <c:v>3</c:v>
                </c:pt>
                <c:pt idx="8">
                  <c:v>3</c:v>
                </c:pt>
                <c:pt idx="9">
                  <c:v>19.229334999999999</c:v>
                </c:pt>
                <c:pt idx="10">
                  <c:v>8</c:v>
                </c:pt>
                <c:pt idx="11">
                  <c:v>41.21134</c:v>
                </c:pt>
                <c:pt idx="12">
                  <c:v>10</c:v>
                </c:pt>
                <c:pt idx="13">
                  <c:v>4</c:v>
                </c:pt>
                <c:pt idx="14">
                  <c:v>6</c:v>
                </c:pt>
                <c:pt idx="15">
                  <c:v>2</c:v>
                </c:pt>
                <c:pt idx="16">
                  <c:v>2</c:v>
                </c:pt>
                <c:pt idx="17">
                  <c:v>10</c:v>
                </c:pt>
                <c:pt idx="18">
                  <c:v>2</c:v>
                </c:pt>
                <c:pt idx="19">
                  <c:v>60.027999999999999</c:v>
                </c:pt>
                <c:pt idx="20">
                  <c:v>23.25675</c:v>
                </c:pt>
                <c:pt idx="21">
                  <c:v>8</c:v>
                </c:pt>
                <c:pt idx="22">
                  <c:v>2</c:v>
                </c:pt>
                <c:pt idx="23">
                  <c:v>7.451225</c:v>
                </c:pt>
                <c:pt idx="24">
                  <c:v>3</c:v>
                </c:pt>
                <c:pt idx="25">
                  <c:v>25</c:v>
                </c:pt>
                <c:pt idx="26">
                  <c:v>123.825</c:v>
                </c:pt>
                <c:pt idx="27">
                  <c:v>10.11355625</c:v>
                </c:pt>
                <c:pt idx="28">
                  <c:v>5</c:v>
                </c:pt>
                <c:pt idx="29">
                  <c:v>4</c:v>
                </c:pt>
                <c:pt idx="30">
                  <c:v>191.355875</c:v>
                </c:pt>
                <c:pt idx="31">
                  <c:v>3</c:v>
                </c:pt>
                <c:pt idx="32">
                  <c:v>15</c:v>
                </c:pt>
                <c:pt idx="33">
                  <c:v>12.052430000000001</c:v>
                </c:pt>
                <c:pt idx="34">
                  <c:v>2</c:v>
                </c:pt>
                <c:pt idx="35">
                  <c:v>105.056</c:v>
                </c:pt>
                <c:pt idx="36">
                  <c:v>6</c:v>
                </c:pt>
                <c:pt idx="37">
                  <c:v>2</c:v>
                </c:pt>
                <c:pt idx="38">
                  <c:v>2</c:v>
                </c:pt>
                <c:pt idx="39">
                  <c:v>30.2121</c:v>
                </c:pt>
                <c:pt idx="40">
                  <c:v>3</c:v>
                </c:pt>
                <c:pt idx="41">
                  <c:v>3</c:v>
                </c:pt>
                <c:pt idx="42">
                  <c:v>12</c:v>
                </c:pt>
                <c:pt idx="43">
                  <c:v>4</c:v>
                </c:pt>
                <c:pt idx="44">
                  <c:v>4</c:v>
                </c:pt>
                <c:pt idx="45">
                  <c:v>5</c:v>
                </c:pt>
                <c:pt idx="46">
                  <c:v>4</c:v>
                </c:pt>
                <c:pt idx="47">
                  <c:v>5</c:v>
                </c:pt>
                <c:pt idx="48">
                  <c:v>8</c:v>
                </c:pt>
                <c:pt idx="49">
                  <c:v>5</c:v>
                </c:pt>
                <c:pt idx="50">
                  <c:v>6.5132562499999995</c:v>
                </c:pt>
                <c:pt idx="51">
                  <c:v>33.037615000000002</c:v>
                </c:pt>
                <c:pt idx="52">
                  <c:v>5</c:v>
                </c:pt>
                <c:pt idx="53">
                  <c:v>21.407199999999996</c:v>
                </c:pt>
                <c:pt idx="54">
                  <c:v>2</c:v>
                </c:pt>
                <c:pt idx="55">
                  <c:v>31.209720000000001</c:v>
                </c:pt>
                <c:pt idx="56">
                  <c:v>2907.3040000000001</c:v>
                </c:pt>
                <c:pt idx="57">
                  <c:v>4</c:v>
                </c:pt>
                <c:pt idx="58">
                  <c:v>1330.896</c:v>
                </c:pt>
                <c:pt idx="59">
                  <c:v>9.6107648000000001</c:v>
                </c:pt>
                <c:pt idx="60">
                  <c:v>18.053629999999998</c:v>
                </c:pt>
                <c:pt idx="61">
                  <c:v>15</c:v>
                </c:pt>
                <c:pt idx="62">
                  <c:v>3</c:v>
                </c:pt>
                <c:pt idx="63">
                  <c:v>15</c:v>
                </c:pt>
                <c:pt idx="64">
                  <c:v>2</c:v>
                </c:pt>
                <c:pt idx="65">
                  <c:v>14.116145000000001</c:v>
                </c:pt>
                <c:pt idx="66">
                  <c:v>8</c:v>
                </c:pt>
                <c:pt idx="67">
                  <c:v>8</c:v>
                </c:pt>
                <c:pt idx="68">
                  <c:v>2</c:v>
                </c:pt>
                <c:pt idx="69">
                  <c:v>3</c:v>
                </c:pt>
                <c:pt idx="70">
                  <c:v>5</c:v>
                </c:pt>
                <c:pt idx="71">
                  <c:v>4</c:v>
                </c:pt>
                <c:pt idx="72">
                  <c:v>15</c:v>
                </c:pt>
                <c:pt idx="73">
                  <c:v>4</c:v>
                </c:pt>
                <c:pt idx="74">
                  <c:v>5</c:v>
                </c:pt>
                <c:pt idx="75">
                  <c:v>8.6146674999999995</c:v>
                </c:pt>
                <c:pt idx="76">
                  <c:v>3</c:v>
                </c:pt>
                <c:pt idx="77">
                  <c:v>8</c:v>
                </c:pt>
                <c:pt idx="78">
                  <c:v>8</c:v>
                </c:pt>
                <c:pt idx="79">
                  <c:v>15.203599999999998</c:v>
                </c:pt>
                <c:pt idx="80">
                  <c:v>4</c:v>
                </c:pt>
                <c:pt idx="81">
                  <c:v>5</c:v>
                </c:pt>
                <c:pt idx="82">
                  <c:v>3</c:v>
                </c:pt>
                <c:pt idx="83">
                  <c:v>6</c:v>
                </c:pt>
                <c:pt idx="84">
                  <c:v>4</c:v>
                </c:pt>
                <c:pt idx="85">
                  <c:v>260.14700000000005</c:v>
                </c:pt>
                <c:pt idx="86">
                  <c:v>415.32400000000001</c:v>
                </c:pt>
                <c:pt idx="87">
                  <c:v>5</c:v>
                </c:pt>
                <c:pt idx="88">
                  <c:v>2</c:v>
                </c:pt>
                <c:pt idx="89">
                  <c:v>12</c:v>
                </c:pt>
                <c:pt idx="90">
                  <c:v>7.5152074999999998</c:v>
                </c:pt>
                <c:pt idx="91">
                  <c:v>7.5132562499999995</c:v>
                </c:pt>
                <c:pt idx="92">
                  <c:v>3.6128675000000001</c:v>
                </c:pt>
                <c:pt idx="93">
                  <c:v>3</c:v>
                </c:pt>
                <c:pt idx="94">
                  <c:v>12</c:v>
                </c:pt>
                <c:pt idx="95">
                  <c:v>3</c:v>
                </c:pt>
                <c:pt idx="96">
                  <c:v>3</c:v>
                </c:pt>
                <c:pt idx="97">
                  <c:v>3</c:v>
                </c:pt>
                <c:pt idx="98">
                  <c:v>0</c:v>
                </c:pt>
                <c:pt idx="99">
                  <c:v>2011.3720000000003</c:v>
                </c:pt>
                <c:pt idx="100">
                  <c:v>2</c:v>
                </c:pt>
                <c:pt idx="101">
                  <c:v>4</c:v>
                </c:pt>
                <c:pt idx="102">
                  <c:v>8</c:v>
                </c:pt>
                <c:pt idx="103">
                  <c:v>8</c:v>
                </c:pt>
                <c:pt idx="104">
                  <c:v>4</c:v>
                </c:pt>
                <c:pt idx="105">
                  <c:v>6</c:v>
                </c:pt>
                <c:pt idx="106">
                  <c:v>6</c:v>
                </c:pt>
                <c:pt idx="107">
                  <c:v>6</c:v>
                </c:pt>
                <c:pt idx="108">
                  <c:v>3</c:v>
                </c:pt>
                <c:pt idx="109">
                  <c:v>79.838880000000003</c:v>
                </c:pt>
                <c:pt idx="110">
                  <c:v>3</c:v>
                </c:pt>
                <c:pt idx="111">
                  <c:v>5.451225</c:v>
                </c:pt>
                <c:pt idx="112">
                  <c:v>5</c:v>
                </c:pt>
                <c:pt idx="113">
                  <c:v>4</c:v>
                </c:pt>
                <c:pt idx="114">
                  <c:v>5</c:v>
                </c:pt>
                <c:pt idx="115">
                  <c:v>6.5134074999999996</c:v>
                </c:pt>
                <c:pt idx="116">
                  <c:v>0</c:v>
                </c:pt>
                <c:pt idx="117">
                  <c:v>10</c:v>
                </c:pt>
                <c:pt idx="118">
                  <c:v>4</c:v>
                </c:pt>
                <c:pt idx="119">
                  <c:v>2</c:v>
                </c:pt>
              </c:numCache>
            </c:numRef>
          </c:val>
          <c:extLst>
            <c:ext xmlns:c16="http://schemas.microsoft.com/office/drawing/2014/chart" uri="{C3380CC4-5D6E-409C-BE32-E72D297353CC}">
              <c16:uniqueId val="{00000000-E0F7-4BCF-B21E-7FC6C8D43D18}"/>
            </c:ext>
          </c:extLst>
        </c:ser>
        <c:ser>
          <c:idx val="1"/>
          <c:order val="1"/>
          <c:tx>
            <c:strRef>
              <c:f>Pivot_Layer!$C$56</c:f>
              <c:strCache>
                <c:ptCount val="1"/>
                <c:pt idx="0">
                  <c:v>Sum of Quantity</c:v>
                </c:pt>
              </c:strCache>
            </c:strRef>
          </c:tx>
          <c:spPr>
            <a:solidFill>
              <a:schemeClr val="accent2"/>
            </a:solidFill>
            <a:ln>
              <a:noFill/>
            </a:ln>
            <a:effectLst/>
          </c:spPr>
          <c:cat>
            <c:strRef>
              <c:f>Pivot_Layer!$A$57:$A$177</c:f>
              <c:strCache>
                <c:ptCount val="120"/>
                <c:pt idx="0">
                  <c:v>Air Purifier</c:v>
                </c:pt>
                <c:pt idx="1">
                  <c:v>Area Rug</c:v>
                </c:pt>
                <c:pt idx="2">
                  <c:v>Backpack</c:v>
                </c:pt>
                <c:pt idx="3">
                  <c:v>Basketball</c:v>
                </c:pt>
                <c:pt idx="4">
                  <c:v>Bath Mat</c:v>
                </c:pt>
                <c:pt idx="5">
                  <c:v>Bath Towels</c:v>
                </c:pt>
                <c:pt idx="6">
                  <c:v>Bedsheet</c:v>
                </c:pt>
                <c:pt idx="7">
                  <c:v>Belt</c:v>
                </c:pt>
                <c:pt idx="8">
                  <c:v>Blender Bottle</c:v>
                </c:pt>
                <c:pt idx="9">
                  <c:v>Blender Pro</c:v>
                </c:pt>
                <c:pt idx="10">
                  <c:v>Bluetooth Speaker</c:v>
                </c:pt>
                <c:pt idx="11">
                  <c:v>Bookshelf</c:v>
                </c:pt>
                <c:pt idx="12">
                  <c:v>Camera</c:v>
                </c:pt>
                <c:pt idx="13">
                  <c:v>Candle Set</c:v>
                </c:pt>
                <c:pt idx="14">
                  <c:v>Car Vacuum</c:v>
                </c:pt>
                <c:pt idx="15">
                  <c:v>Cat Toy</c:v>
                </c:pt>
                <c:pt idx="16">
                  <c:v>Cereal Box</c:v>
                </c:pt>
                <c:pt idx="17">
                  <c:v>Coffee Maker</c:v>
                </c:pt>
                <c:pt idx="18">
                  <c:v>Coffee Mug</c:v>
                </c:pt>
                <c:pt idx="19">
                  <c:v>Coffee Table</c:v>
                </c:pt>
                <c:pt idx="20">
                  <c:v>Cookware Set</c:v>
                </c:pt>
                <c:pt idx="21">
                  <c:v>Cotton T-Shirt</c:v>
                </c:pt>
                <c:pt idx="22">
                  <c:v>Croissants</c:v>
                </c:pt>
                <c:pt idx="23">
                  <c:v>Cutting Board</c:v>
                </c:pt>
                <c:pt idx="24">
                  <c:v>Cutting Mat</c:v>
                </c:pt>
                <c:pt idx="25">
                  <c:v>Desk</c:v>
                </c:pt>
                <c:pt idx="26">
                  <c:v>Desk Chair</c:v>
                </c:pt>
                <c:pt idx="27">
                  <c:v>Desk Lamp</c:v>
                </c:pt>
                <c:pt idx="28">
                  <c:v>Desk Lamp LED</c:v>
                </c:pt>
                <c:pt idx="29">
                  <c:v>Desk Organizer</c:v>
                </c:pt>
                <c:pt idx="30">
                  <c:v>Dining Set</c:v>
                </c:pt>
                <c:pt idx="31">
                  <c:v>Dog Leash</c:v>
                </c:pt>
                <c:pt idx="32">
                  <c:v>Dumbbell Set</c:v>
                </c:pt>
                <c:pt idx="33">
                  <c:v>Dumbbells</c:v>
                </c:pt>
                <c:pt idx="34">
                  <c:v>Earrings</c:v>
                </c:pt>
                <c:pt idx="35">
                  <c:v>Electric Guitar</c:v>
                </c:pt>
                <c:pt idx="36">
                  <c:v>Electric Kettle</c:v>
                </c:pt>
                <c:pt idx="37">
                  <c:v>Extension Cord</c:v>
                </c:pt>
                <c:pt idx="38">
                  <c:v>Extension Tube</c:v>
                </c:pt>
                <c:pt idx="39">
                  <c:v>External HDD</c:v>
                </c:pt>
                <c:pt idx="40">
                  <c:v>Face Cream</c:v>
                </c:pt>
                <c:pt idx="41">
                  <c:v>Facial Cleanser</c:v>
                </c:pt>
                <c:pt idx="42">
                  <c:v>Food Processor</c:v>
                </c:pt>
                <c:pt idx="43">
                  <c:v>Football</c:v>
                </c:pt>
                <c:pt idx="44">
                  <c:v>Frying Pan</c:v>
                </c:pt>
                <c:pt idx="45">
                  <c:v>Gaming Mouse</c:v>
                </c:pt>
                <c:pt idx="46">
                  <c:v>GPS Tracker</c:v>
                </c:pt>
                <c:pt idx="47">
                  <c:v>Grill Pan</c:v>
                </c:pt>
                <c:pt idx="48">
                  <c:v>Hair Dryer</c:v>
                </c:pt>
                <c:pt idx="49">
                  <c:v>Hair Straightener</c:v>
                </c:pt>
                <c:pt idx="50">
                  <c:v>Hand Vacuum</c:v>
                </c:pt>
                <c:pt idx="51">
                  <c:v>Hiking Boots</c:v>
                </c:pt>
                <c:pt idx="52">
                  <c:v>Hoodie</c:v>
                </c:pt>
                <c:pt idx="53">
                  <c:v>Jeans</c:v>
                </c:pt>
                <c:pt idx="54">
                  <c:v>Jump Rope</c:v>
                </c:pt>
                <c:pt idx="55">
                  <c:v>Keyboard Piano</c:v>
                </c:pt>
                <c:pt idx="56">
                  <c:v>Laptop Pro 15</c:v>
                </c:pt>
                <c:pt idx="57">
                  <c:v>Laundry Basket</c:v>
                </c:pt>
                <c:pt idx="58">
                  <c:v>LED TV</c:v>
                </c:pt>
                <c:pt idx="59">
                  <c:v>Memory Foam Pillow</c:v>
                </c:pt>
                <c:pt idx="60">
                  <c:v>Microwave</c:v>
                </c:pt>
                <c:pt idx="61">
                  <c:v>Monitor 24</c:v>
                </c:pt>
                <c:pt idx="62">
                  <c:v>Necklace</c:v>
                </c:pt>
                <c:pt idx="63">
                  <c:v>Nightstand</c:v>
                </c:pt>
                <c:pt idx="64">
                  <c:v>Notebook</c:v>
                </c:pt>
                <c:pt idx="65">
                  <c:v>Novel Set</c:v>
                </c:pt>
                <c:pt idx="66">
                  <c:v>Paper Shredder</c:v>
                </c:pt>
                <c:pt idx="67">
                  <c:v>Pet Bed</c:v>
                </c:pt>
                <c:pt idx="68">
                  <c:v>Phone Stand</c:v>
                </c:pt>
                <c:pt idx="69">
                  <c:v>Photo Frame</c:v>
                </c:pt>
                <c:pt idx="70">
                  <c:v>Pillows</c:v>
                </c:pt>
                <c:pt idx="71">
                  <c:v>Plant Pot</c:v>
                </c:pt>
                <c:pt idx="72">
                  <c:v>Printer</c:v>
                </c:pt>
                <c:pt idx="73">
                  <c:v>Protein Bars</c:v>
                </c:pt>
                <c:pt idx="74">
                  <c:v>Protein Powder</c:v>
                </c:pt>
                <c:pt idx="75">
                  <c:v>Rain Jacket</c:v>
                </c:pt>
                <c:pt idx="76">
                  <c:v>Resistance Bands</c:v>
                </c:pt>
                <c:pt idx="77">
                  <c:v>Rice Cooker</c:v>
                </c:pt>
                <c:pt idx="78">
                  <c:v>Router</c:v>
                </c:pt>
                <c:pt idx="79">
                  <c:v>Running Shoes</c:v>
                </c:pt>
                <c:pt idx="80">
                  <c:v>Sandals</c:v>
                </c:pt>
                <c:pt idx="81">
                  <c:v>Sandwich Maker</c:v>
                </c:pt>
                <c:pt idx="82">
                  <c:v>Shampoo</c:v>
                </c:pt>
                <c:pt idx="83">
                  <c:v>Shoe Rack</c:v>
                </c:pt>
                <c:pt idx="84">
                  <c:v>Shower Curtain</c:v>
                </c:pt>
                <c:pt idx="85">
                  <c:v>Smart Watch</c:v>
                </c:pt>
                <c:pt idx="86">
                  <c:v>Smartphone</c:v>
                </c:pt>
                <c:pt idx="87">
                  <c:v>Soccer Ball</c:v>
                </c:pt>
                <c:pt idx="88">
                  <c:v>Socks</c:v>
                </c:pt>
                <c:pt idx="89">
                  <c:v>Suitcase</c:v>
                </c:pt>
                <c:pt idx="90">
                  <c:v>Sunglasses</c:v>
                </c:pt>
                <c:pt idx="91">
                  <c:v>Sweater</c:v>
                </c:pt>
                <c:pt idx="92">
                  <c:v>Table Clock</c:v>
                </c:pt>
                <c:pt idx="93">
                  <c:v>Tablet Case</c:v>
                </c:pt>
                <c:pt idx="94">
                  <c:v>Tablet Pro</c:v>
                </c:pt>
                <c:pt idx="95">
                  <c:v>Thermos</c:v>
                </c:pt>
                <c:pt idx="96">
                  <c:v>Throw Pillow</c:v>
                </c:pt>
                <c:pt idx="97">
                  <c:v>Tie</c:v>
                </c:pt>
                <c:pt idx="98">
                  <c:v>Tool Set</c:v>
                </c:pt>
                <c:pt idx="99">
                  <c:v>Treadmill</c:v>
                </c:pt>
                <c:pt idx="100">
                  <c:v>USB Flash Drive</c:v>
                </c:pt>
                <c:pt idx="101">
                  <c:v>USB Hub</c:v>
                </c:pt>
                <c:pt idx="102">
                  <c:v>Wall Art</c:v>
                </c:pt>
                <c:pt idx="103">
                  <c:v>Water Bottle</c:v>
                </c:pt>
                <c:pt idx="104">
                  <c:v>Webcam</c:v>
                </c:pt>
                <c:pt idx="105">
                  <c:v>Weighing Scale</c:v>
                </c:pt>
                <c:pt idx="106">
                  <c:v>Wine Glasses</c:v>
                </c:pt>
                <c:pt idx="107">
                  <c:v>Wine Rack</c:v>
                </c:pt>
                <c:pt idx="108">
                  <c:v>Winter Gloves</c:v>
                </c:pt>
                <c:pt idx="109">
                  <c:v>Winter Jacket</c:v>
                </c:pt>
                <c:pt idx="110">
                  <c:v>Winter Scarf</c:v>
                </c:pt>
                <c:pt idx="111">
                  <c:v>Wireless Charger</c:v>
                </c:pt>
                <c:pt idx="112">
                  <c:v>Wireless Earbuds</c:v>
                </c:pt>
                <c:pt idx="113">
                  <c:v>Wireless Keyboard</c:v>
                </c:pt>
                <c:pt idx="114">
                  <c:v>Wireless Mouse</c:v>
                </c:pt>
                <c:pt idx="115">
                  <c:v>Wok</c:v>
                </c:pt>
                <c:pt idx="116">
                  <c:v>Yoga Block</c:v>
                </c:pt>
                <c:pt idx="117">
                  <c:v>Yoga Mat</c:v>
                </c:pt>
                <c:pt idx="118">
                  <c:v>Yoga Pants</c:v>
                </c:pt>
                <c:pt idx="119">
                  <c:v>Yoga Strap</c:v>
                </c:pt>
              </c:strCache>
            </c:strRef>
          </c:cat>
          <c:val>
            <c:numRef>
              <c:f>Pivot_Layer!$C$57:$C$177</c:f>
              <c:numCache>
                <c:formatCode>General</c:formatCode>
                <c:ptCount val="120"/>
                <c:pt idx="0">
                  <c:v>1</c:v>
                </c:pt>
                <c:pt idx="1">
                  <c:v>1</c:v>
                </c:pt>
                <c:pt idx="2">
                  <c:v>2</c:v>
                </c:pt>
                <c:pt idx="3">
                  <c:v>2</c:v>
                </c:pt>
                <c:pt idx="4">
                  <c:v>2</c:v>
                </c:pt>
                <c:pt idx="5">
                  <c:v>6</c:v>
                </c:pt>
                <c:pt idx="6">
                  <c:v>2</c:v>
                </c:pt>
                <c:pt idx="7">
                  <c:v>2</c:v>
                </c:pt>
                <c:pt idx="8">
                  <c:v>4</c:v>
                </c:pt>
                <c:pt idx="9">
                  <c:v>1</c:v>
                </c:pt>
                <c:pt idx="10">
                  <c:v>1</c:v>
                </c:pt>
                <c:pt idx="11">
                  <c:v>1</c:v>
                </c:pt>
                <c:pt idx="12">
                  <c:v>1</c:v>
                </c:pt>
                <c:pt idx="13">
                  <c:v>2</c:v>
                </c:pt>
                <c:pt idx="14">
                  <c:v>1</c:v>
                </c:pt>
                <c:pt idx="15">
                  <c:v>6</c:v>
                </c:pt>
                <c:pt idx="16">
                  <c:v>12</c:v>
                </c:pt>
                <c:pt idx="17">
                  <c:v>2</c:v>
                </c:pt>
                <c:pt idx="18">
                  <c:v>6</c:v>
                </c:pt>
                <c:pt idx="19">
                  <c:v>1</c:v>
                </c:pt>
                <c:pt idx="20">
                  <c:v>1</c:v>
                </c:pt>
                <c:pt idx="21">
                  <c:v>5</c:v>
                </c:pt>
                <c:pt idx="22">
                  <c:v>12</c:v>
                </c:pt>
                <c:pt idx="23">
                  <c:v>2</c:v>
                </c:pt>
                <c:pt idx="24">
                  <c:v>2</c:v>
                </c:pt>
                <c:pt idx="25">
                  <c:v>1</c:v>
                </c:pt>
                <c:pt idx="26">
                  <c:v>1</c:v>
                </c:pt>
                <c:pt idx="27">
                  <c:v>1</c:v>
                </c:pt>
                <c:pt idx="28">
                  <c:v>1</c:v>
                </c:pt>
                <c:pt idx="29">
                  <c:v>5</c:v>
                </c:pt>
                <c:pt idx="30">
                  <c:v>1</c:v>
                </c:pt>
                <c:pt idx="31">
                  <c:v>3</c:v>
                </c:pt>
                <c:pt idx="32">
                  <c:v>1</c:v>
                </c:pt>
                <c:pt idx="33">
                  <c:v>1</c:v>
                </c:pt>
                <c:pt idx="34">
                  <c:v>2</c:v>
                </c:pt>
                <c:pt idx="35">
                  <c:v>1</c:v>
                </c:pt>
                <c:pt idx="36">
                  <c:v>2</c:v>
                </c:pt>
                <c:pt idx="37">
                  <c:v>6</c:v>
                </c:pt>
                <c:pt idx="38">
                  <c:v>3</c:v>
                </c:pt>
                <c:pt idx="39">
                  <c:v>2</c:v>
                </c:pt>
                <c:pt idx="40">
                  <c:v>3</c:v>
                </c:pt>
                <c:pt idx="41">
                  <c:v>3</c:v>
                </c:pt>
                <c:pt idx="42">
                  <c:v>1</c:v>
                </c:pt>
                <c:pt idx="43">
                  <c:v>3</c:v>
                </c:pt>
                <c:pt idx="44">
                  <c:v>2</c:v>
                </c:pt>
                <c:pt idx="45">
                  <c:v>2</c:v>
                </c:pt>
                <c:pt idx="46">
                  <c:v>1</c:v>
                </c:pt>
                <c:pt idx="47">
                  <c:v>1</c:v>
                </c:pt>
                <c:pt idx="48">
                  <c:v>1</c:v>
                </c:pt>
                <c:pt idx="49">
                  <c:v>1</c:v>
                </c:pt>
                <c:pt idx="50">
                  <c:v>1</c:v>
                </c:pt>
                <c:pt idx="51">
                  <c:v>1</c:v>
                </c:pt>
                <c:pt idx="52">
                  <c:v>3</c:v>
                </c:pt>
                <c:pt idx="53">
                  <c:v>2</c:v>
                </c:pt>
                <c:pt idx="54">
                  <c:v>5</c:v>
                </c:pt>
                <c:pt idx="55">
                  <c:v>1</c:v>
                </c:pt>
                <c:pt idx="56">
                  <c:v>2</c:v>
                </c:pt>
                <c:pt idx="57">
                  <c:v>2</c:v>
                </c:pt>
                <c:pt idx="58">
                  <c:v>1</c:v>
                </c:pt>
                <c:pt idx="59">
                  <c:v>2</c:v>
                </c:pt>
                <c:pt idx="60">
                  <c:v>1</c:v>
                </c:pt>
                <c:pt idx="61">
                  <c:v>1</c:v>
                </c:pt>
                <c:pt idx="62">
                  <c:v>1</c:v>
                </c:pt>
                <c:pt idx="63">
                  <c:v>1</c:v>
                </c:pt>
                <c:pt idx="64">
                  <c:v>25</c:v>
                </c:pt>
                <c:pt idx="65">
                  <c:v>3</c:v>
                </c:pt>
                <c:pt idx="66">
                  <c:v>1</c:v>
                </c:pt>
                <c:pt idx="67">
                  <c:v>1</c:v>
                </c:pt>
                <c:pt idx="68">
                  <c:v>3</c:v>
                </c:pt>
                <c:pt idx="69">
                  <c:v>3</c:v>
                </c:pt>
                <c:pt idx="70">
                  <c:v>2</c:v>
                </c:pt>
                <c:pt idx="71">
                  <c:v>3</c:v>
                </c:pt>
                <c:pt idx="72">
                  <c:v>1</c:v>
                </c:pt>
                <c:pt idx="73">
                  <c:v>40</c:v>
                </c:pt>
                <c:pt idx="74">
                  <c:v>2</c:v>
                </c:pt>
                <c:pt idx="75">
                  <c:v>1</c:v>
                </c:pt>
                <c:pt idx="76">
                  <c:v>3</c:v>
                </c:pt>
                <c:pt idx="77">
                  <c:v>1</c:v>
                </c:pt>
                <c:pt idx="78">
                  <c:v>1</c:v>
                </c:pt>
                <c:pt idx="79">
                  <c:v>1</c:v>
                </c:pt>
                <c:pt idx="80">
                  <c:v>2</c:v>
                </c:pt>
                <c:pt idx="81">
                  <c:v>1</c:v>
                </c:pt>
                <c:pt idx="82">
                  <c:v>8</c:v>
                </c:pt>
                <c:pt idx="83">
                  <c:v>1</c:v>
                </c:pt>
                <c:pt idx="84">
                  <c:v>2</c:v>
                </c:pt>
                <c:pt idx="85">
                  <c:v>2</c:v>
                </c:pt>
                <c:pt idx="86">
                  <c:v>1</c:v>
                </c:pt>
                <c:pt idx="87">
                  <c:v>2</c:v>
                </c:pt>
                <c:pt idx="88">
                  <c:v>15</c:v>
                </c:pt>
                <c:pt idx="89">
                  <c:v>1</c:v>
                </c:pt>
                <c:pt idx="90">
                  <c:v>1</c:v>
                </c:pt>
                <c:pt idx="91">
                  <c:v>1</c:v>
                </c:pt>
                <c:pt idx="92">
                  <c:v>1</c:v>
                </c:pt>
                <c:pt idx="93">
                  <c:v>2</c:v>
                </c:pt>
                <c:pt idx="94">
                  <c:v>1</c:v>
                </c:pt>
                <c:pt idx="95">
                  <c:v>2</c:v>
                </c:pt>
                <c:pt idx="96">
                  <c:v>4</c:v>
                </c:pt>
                <c:pt idx="97">
                  <c:v>2</c:v>
                </c:pt>
                <c:pt idx="98">
                  <c:v>0</c:v>
                </c:pt>
                <c:pt idx="99">
                  <c:v>1</c:v>
                </c:pt>
                <c:pt idx="100">
                  <c:v>5</c:v>
                </c:pt>
                <c:pt idx="101">
                  <c:v>2</c:v>
                </c:pt>
                <c:pt idx="102">
                  <c:v>2</c:v>
                </c:pt>
                <c:pt idx="103">
                  <c:v>6</c:v>
                </c:pt>
                <c:pt idx="104">
                  <c:v>1</c:v>
                </c:pt>
                <c:pt idx="105">
                  <c:v>1</c:v>
                </c:pt>
                <c:pt idx="106">
                  <c:v>4</c:v>
                </c:pt>
                <c:pt idx="107">
                  <c:v>2</c:v>
                </c:pt>
                <c:pt idx="108">
                  <c:v>3</c:v>
                </c:pt>
                <c:pt idx="109">
                  <c:v>1</c:v>
                </c:pt>
                <c:pt idx="110">
                  <c:v>2</c:v>
                </c:pt>
                <c:pt idx="111">
                  <c:v>2</c:v>
                </c:pt>
                <c:pt idx="112">
                  <c:v>1</c:v>
                </c:pt>
                <c:pt idx="113">
                  <c:v>2</c:v>
                </c:pt>
                <c:pt idx="114">
                  <c:v>4</c:v>
                </c:pt>
                <c:pt idx="115">
                  <c:v>1</c:v>
                </c:pt>
                <c:pt idx="116">
                  <c:v>10</c:v>
                </c:pt>
                <c:pt idx="117">
                  <c:v>3</c:v>
                </c:pt>
                <c:pt idx="118">
                  <c:v>2</c:v>
                </c:pt>
                <c:pt idx="119">
                  <c:v>4</c:v>
                </c:pt>
              </c:numCache>
            </c:numRef>
          </c:val>
          <c:extLst>
            <c:ext xmlns:c16="http://schemas.microsoft.com/office/drawing/2014/chart" uri="{C3380CC4-5D6E-409C-BE32-E72D297353CC}">
              <c16:uniqueId val="{00000001-E0F7-4BCF-B21E-7FC6C8D43D18}"/>
            </c:ext>
          </c:extLst>
        </c:ser>
        <c:dLbls>
          <c:showLegendKey val="0"/>
          <c:showVal val="0"/>
          <c:showCatName val="0"/>
          <c:showSerName val="0"/>
          <c:showPercent val="0"/>
          <c:showBubbleSize val="0"/>
        </c:dLbls>
        <c:axId val="756455560"/>
        <c:axId val="756456640"/>
      </c:areaChart>
      <c:catAx>
        <c:axId val="756455560"/>
        <c:scaling>
          <c:orientation val="minMax"/>
        </c:scaling>
        <c:delete val="1"/>
        <c:axPos val="b"/>
        <c:numFmt formatCode="General" sourceLinked="1"/>
        <c:majorTickMark val="out"/>
        <c:minorTickMark val="none"/>
        <c:tickLblPos val="nextTo"/>
        <c:crossAx val="756456640"/>
        <c:crosses val="autoZero"/>
        <c:auto val="1"/>
        <c:lblAlgn val="ctr"/>
        <c:lblOffset val="100"/>
        <c:noMultiLvlLbl val="0"/>
      </c:catAx>
      <c:valAx>
        <c:axId val="756456640"/>
        <c:scaling>
          <c:orientation val="minMax"/>
        </c:scaling>
        <c:delete val="0"/>
        <c:axPos val="l"/>
        <c:numFmt formatCode="_-[$$-409]* #,##0.00_ ;_-[$$-409]* \-#,##0.0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5645556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5</xdr:col>
      <xdr:colOff>23812</xdr:colOff>
      <xdr:row>2</xdr:row>
      <xdr:rowOff>0</xdr:rowOff>
    </xdr:from>
    <xdr:to>
      <xdr:col>11</xdr:col>
      <xdr:colOff>366712</xdr:colOff>
      <xdr:row>16</xdr:row>
      <xdr:rowOff>76200</xdr:rowOff>
    </xdr:to>
    <xdr:graphicFrame macro="">
      <xdr:nvGraphicFramePr>
        <xdr:cNvPr id="2" name="Chart 1">
          <a:extLst>
            <a:ext uri="{FF2B5EF4-FFF2-40B4-BE49-F238E27FC236}">
              <a16:creationId xmlns:a16="http://schemas.microsoft.com/office/drawing/2014/main" id="{6089DDA4-77E8-FF4E-11CA-EF514CAE15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23812</xdr:colOff>
      <xdr:row>22</xdr:row>
      <xdr:rowOff>9525</xdr:rowOff>
    </xdr:from>
    <xdr:to>
      <xdr:col>9</xdr:col>
      <xdr:colOff>204787</xdr:colOff>
      <xdr:row>36</xdr:row>
      <xdr:rowOff>85725</xdr:rowOff>
    </xdr:to>
    <xdr:graphicFrame macro="">
      <xdr:nvGraphicFramePr>
        <xdr:cNvPr id="3" name="Chart 2">
          <a:extLst>
            <a:ext uri="{FF2B5EF4-FFF2-40B4-BE49-F238E27FC236}">
              <a16:creationId xmlns:a16="http://schemas.microsoft.com/office/drawing/2014/main" id="{606F85BF-2F59-7F3B-AD54-17AB6005B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100012</xdr:colOff>
      <xdr:row>38</xdr:row>
      <xdr:rowOff>0</xdr:rowOff>
    </xdr:from>
    <xdr:to>
      <xdr:col>9</xdr:col>
      <xdr:colOff>280987</xdr:colOff>
      <xdr:row>52</xdr:row>
      <xdr:rowOff>76200</xdr:rowOff>
    </xdr:to>
    <xdr:graphicFrame macro="">
      <xdr:nvGraphicFramePr>
        <xdr:cNvPr id="4" name="Chart 3">
          <a:extLst>
            <a:ext uri="{FF2B5EF4-FFF2-40B4-BE49-F238E27FC236}">
              <a16:creationId xmlns:a16="http://schemas.microsoft.com/office/drawing/2014/main" id="{514EF4EB-BEBF-8817-9AA5-6DE050490B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23812</xdr:colOff>
      <xdr:row>55</xdr:row>
      <xdr:rowOff>0</xdr:rowOff>
    </xdr:from>
    <xdr:to>
      <xdr:col>9</xdr:col>
      <xdr:colOff>204787</xdr:colOff>
      <xdr:row>69</xdr:row>
      <xdr:rowOff>76200</xdr:rowOff>
    </xdr:to>
    <xdr:graphicFrame macro="">
      <xdr:nvGraphicFramePr>
        <xdr:cNvPr id="5" name="Chart 4">
          <a:extLst>
            <a:ext uri="{FF2B5EF4-FFF2-40B4-BE49-F238E27FC236}">
              <a16:creationId xmlns:a16="http://schemas.microsoft.com/office/drawing/2014/main" id="{D6BDFE26-5E84-97FF-59DF-E0C52FC161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460887</xdr:colOff>
      <xdr:row>56</xdr:row>
      <xdr:rowOff>51210</xdr:rowOff>
    </xdr:to>
    <xdr:sp macro="" textlink="">
      <xdr:nvSpPr>
        <xdr:cNvPr id="2" name="Rectangle: Rounded Corners 1">
          <a:extLst>
            <a:ext uri="{FF2B5EF4-FFF2-40B4-BE49-F238E27FC236}">
              <a16:creationId xmlns:a16="http://schemas.microsoft.com/office/drawing/2014/main" id="{EFA4248D-8748-4D79-2772-1D503FC7290F}"/>
            </a:ext>
          </a:extLst>
        </xdr:cNvPr>
        <xdr:cNvSpPr/>
      </xdr:nvSpPr>
      <xdr:spPr>
        <a:xfrm>
          <a:off x="0" y="0"/>
          <a:ext cx="15700887" cy="10719210"/>
        </a:xfrm>
        <a:prstGeom prst="roundRect">
          <a:avLst>
            <a:gd name="adj" fmla="val 0"/>
          </a:avLst>
        </a:prstGeom>
        <a:solidFill>
          <a:srgbClr val="00206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218271</xdr:colOff>
      <xdr:row>0</xdr:row>
      <xdr:rowOff>116963</xdr:rowOff>
    </xdr:from>
    <xdr:to>
      <xdr:col>20</xdr:col>
      <xdr:colOff>331750</xdr:colOff>
      <xdr:row>3</xdr:row>
      <xdr:rowOff>178415</xdr:rowOff>
    </xdr:to>
    <xdr:sp macro="" textlink="">
      <xdr:nvSpPr>
        <xdr:cNvPr id="3" name="Rectangle: Rounded Corners 2">
          <a:extLst>
            <a:ext uri="{FF2B5EF4-FFF2-40B4-BE49-F238E27FC236}">
              <a16:creationId xmlns:a16="http://schemas.microsoft.com/office/drawing/2014/main" id="{343A3F16-DF7A-58E1-D06F-B049EC10AED8}"/>
            </a:ext>
          </a:extLst>
        </xdr:cNvPr>
        <xdr:cNvSpPr/>
      </xdr:nvSpPr>
      <xdr:spPr>
        <a:xfrm>
          <a:off x="1437471" y="116963"/>
          <a:ext cx="11086279" cy="632952"/>
        </a:xfrm>
        <a:prstGeom prst="roundRect">
          <a:avLst>
            <a:gd name="adj" fmla="val 50000"/>
          </a:avLst>
        </a:prstGeom>
        <a:solidFill>
          <a:srgbClr val="00194C"/>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a:p>
          <a:pPr algn="l"/>
          <a:endParaRPr lang="en-US" sz="1100"/>
        </a:p>
      </xdr:txBody>
    </xdr:sp>
    <xdr:clientData/>
  </xdr:twoCellAnchor>
  <xdr:twoCellAnchor>
    <xdr:from>
      <xdr:col>6</xdr:col>
      <xdr:colOff>296094</xdr:colOff>
      <xdr:row>0</xdr:row>
      <xdr:rowOff>98834</xdr:rowOff>
    </xdr:from>
    <xdr:to>
      <xdr:col>17</xdr:col>
      <xdr:colOff>29804</xdr:colOff>
      <xdr:row>3</xdr:row>
      <xdr:rowOff>170529</xdr:rowOff>
    </xdr:to>
    <xdr:sp macro="" textlink="">
      <xdr:nvSpPr>
        <xdr:cNvPr id="4" name="TextBox 3">
          <a:extLst>
            <a:ext uri="{FF2B5EF4-FFF2-40B4-BE49-F238E27FC236}">
              <a16:creationId xmlns:a16="http://schemas.microsoft.com/office/drawing/2014/main" id="{B42696B4-66FA-1C8F-509E-3AB7439FE5EC}"/>
            </a:ext>
          </a:extLst>
        </xdr:cNvPr>
        <xdr:cNvSpPr txBox="1"/>
      </xdr:nvSpPr>
      <xdr:spPr>
        <a:xfrm>
          <a:off x="3953694" y="98834"/>
          <a:ext cx="6439310" cy="643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3600" b="1" i="1">
              <a:solidFill>
                <a:schemeClr val="bg1"/>
              </a:solidFill>
              <a:effectLst/>
              <a:latin typeface="+mn-lt"/>
              <a:ea typeface="+mn-ea"/>
              <a:cs typeface="+mn-cs"/>
            </a:rPr>
            <a:t>Retails Analytics</a:t>
          </a:r>
          <a:r>
            <a:rPr lang="en-US" sz="3600" b="1" i="1" baseline="0">
              <a:solidFill>
                <a:schemeClr val="bg1"/>
              </a:solidFill>
              <a:effectLst/>
              <a:latin typeface="+mn-lt"/>
              <a:ea typeface="+mn-ea"/>
              <a:cs typeface="+mn-cs"/>
            </a:rPr>
            <a:t> Dashboard</a:t>
          </a:r>
          <a:endParaRPr lang="en-US" sz="3600" b="1" i="1">
            <a:solidFill>
              <a:schemeClr val="bg1"/>
            </a:solidFill>
            <a:effectLst/>
          </a:endParaRPr>
        </a:p>
        <a:p>
          <a:endParaRPr lang="en-US" sz="3600" b="1" i="1">
            <a:solidFill>
              <a:schemeClr val="bg1"/>
            </a:solidFill>
          </a:endParaRPr>
        </a:p>
      </xdr:txBody>
    </xdr:sp>
    <xdr:clientData/>
  </xdr:twoCellAnchor>
  <xdr:twoCellAnchor>
    <xdr:from>
      <xdr:col>5</xdr:col>
      <xdr:colOff>376800</xdr:colOff>
      <xdr:row>8</xdr:row>
      <xdr:rowOff>135296</xdr:rowOff>
    </xdr:from>
    <xdr:to>
      <xdr:col>13</xdr:col>
      <xdr:colOff>133146</xdr:colOff>
      <xdr:row>19</xdr:row>
      <xdr:rowOff>152401</xdr:rowOff>
    </xdr:to>
    <xdr:graphicFrame macro="">
      <xdr:nvGraphicFramePr>
        <xdr:cNvPr id="5" name="Chart 4">
          <a:extLst>
            <a:ext uri="{FF2B5EF4-FFF2-40B4-BE49-F238E27FC236}">
              <a16:creationId xmlns:a16="http://schemas.microsoft.com/office/drawing/2014/main" id="{BA80B01E-9D42-4F69-9706-3C583E5605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491610</xdr:colOff>
      <xdr:row>5</xdr:row>
      <xdr:rowOff>40966</xdr:rowOff>
    </xdr:from>
    <xdr:to>
      <xdr:col>13</xdr:col>
      <xdr:colOff>131470</xdr:colOff>
      <xdr:row>8</xdr:row>
      <xdr:rowOff>4096</xdr:rowOff>
    </xdr:to>
    <xdr:grpSp>
      <xdr:nvGrpSpPr>
        <xdr:cNvPr id="10" name="Group 9">
          <a:extLst>
            <a:ext uri="{FF2B5EF4-FFF2-40B4-BE49-F238E27FC236}">
              <a16:creationId xmlns:a16="http://schemas.microsoft.com/office/drawing/2014/main" id="{968546BA-C430-8BAD-9787-2EFBDA5C257B}"/>
            </a:ext>
          </a:extLst>
        </xdr:cNvPr>
        <xdr:cNvGrpSpPr/>
      </xdr:nvGrpSpPr>
      <xdr:grpSpPr>
        <a:xfrm>
          <a:off x="3539610" y="993466"/>
          <a:ext cx="4516660" cy="534630"/>
          <a:chOff x="2959918" y="1444112"/>
          <a:chExt cx="3807202" cy="542823"/>
        </a:xfrm>
        <a:effectLst/>
        <a:scene3d>
          <a:camera prst="orthographicFront">
            <a:rot lat="0" lon="0" rev="0"/>
          </a:camera>
          <a:lightRig rig="glow" dir="t">
            <a:rot lat="0" lon="0" rev="14100000"/>
          </a:lightRig>
        </a:scene3d>
      </xdr:grpSpPr>
      <xdr:sp macro="" textlink="">
        <xdr:nvSpPr>
          <xdr:cNvPr id="8" name="Rectangle: Rounded Corners 7">
            <a:extLst>
              <a:ext uri="{FF2B5EF4-FFF2-40B4-BE49-F238E27FC236}">
                <a16:creationId xmlns:a16="http://schemas.microsoft.com/office/drawing/2014/main" id="{E3ABC17B-CEAC-5F51-BE49-7558108B380C}"/>
              </a:ext>
            </a:extLst>
          </xdr:cNvPr>
          <xdr:cNvSpPr/>
        </xdr:nvSpPr>
        <xdr:spPr>
          <a:xfrm>
            <a:off x="2959918" y="1444112"/>
            <a:ext cx="3697339" cy="542823"/>
          </a:xfrm>
          <a:prstGeom prst="roundRect">
            <a:avLst>
              <a:gd name="adj" fmla="val 50000"/>
            </a:avLst>
          </a:prstGeom>
          <a:solidFill>
            <a:srgbClr val="00194C"/>
          </a:solidFill>
          <a:ln>
            <a:noFill/>
          </a:ln>
          <a:effectLst/>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a:p>
        </xdr:txBody>
      </xdr:sp>
      <xdr:sp macro="" textlink="">
        <xdr:nvSpPr>
          <xdr:cNvPr id="9" name="TextBox 8">
            <a:extLst>
              <a:ext uri="{FF2B5EF4-FFF2-40B4-BE49-F238E27FC236}">
                <a16:creationId xmlns:a16="http://schemas.microsoft.com/office/drawing/2014/main" id="{67A789F7-7461-DEEA-BE7B-F48EC266A280}"/>
              </a:ext>
            </a:extLst>
          </xdr:cNvPr>
          <xdr:cNvSpPr txBox="1"/>
        </xdr:nvSpPr>
        <xdr:spPr>
          <a:xfrm>
            <a:off x="3458973" y="1505566"/>
            <a:ext cx="3308147" cy="471129"/>
          </a:xfrm>
          <a:prstGeom prst="rect">
            <a:avLst/>
          </a:prstGeom>
          <a:noFill/>
          <a:ln w="9525" cmpd="sng">
            <a:noFill/>
          </a:ln>
          <a:effectLst/>
          <a:sp3d prstMaterial="softEdge">
            <a:bevelT w="127000" prst="artDeco"/>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solidFill>
                  <a:schemeClr val="bg1"/>
                </a:solidFill>
              </a:rPr>
              <a:t>Revenue by Category &amp; Region</a:t>
            </a:r>
          </a:p>
        </xdr:txBody>
      </xdr:sp>
    </xdr:grpSp>
    <xdr:clientData/>
  </xdr:twoCellAnchor>
  <xdr:twoCellAnchor>
    <xdr:from>
      <xdr:col>13</xdr:col>
      <xdr:colOff>400050</xdr:colOff>
      <xdr:row>8</xdr:row>
      <xdr:rowOff>81219</xdr:rowOff>
    </xdr:from>
    <xdr:to>
      <xdr:col>21</xdr:col>
      <xdr:colOff>58173</xdr:colOff>
      <xdr:row>19</xdr:row>
      <xdr:rowOff>174112</xdr:rowOff>
    </xdr:to>
    <xdr:graphicFrame macro="">
      <xdr:nvGraphicFramePr>
        <xdr:cNvPr id="11" name="Chart 10">
          <a:extLst>
            <a:ext uri="{FF2B5EF4-FFF2-40B4-BE49-F238E27FC236}">
              <a16:creationId xmlns:a16="http://schemas.microsoft.com/office/drawing/2014/main" id="{0AF33D98-554D-4360-A5A6-3AD59890FD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430363</xdr:colOff>
      <xdr:row>5</xdr:row>
      <xdr:rowOff>49263</xdr:rowOff>
    </xdr:from>
    <xdr:to>
      <xdr:col>21</xdr:col>
      <xdr:colOff>72717</xdr:colOff>
      <xdr:row>8</xdr:row>
      <xdr:rowOff>12394</xdr:rowOff>
    </xdr:to>
    <xdr:grpSp>
      <xdr:nvGrpSpPr>
        <xdr:cNvPr id="6" name="Group 5">
          <a:extLst>
            <a:ext uri="{FF2B5EF4-FFF2-40B4-BE49-F238E27FC236}">
              <a16:creationId xmlns:a16="http://schemas.microsoft.com/office/drawing/2014/main" id="{8EC5ADD2-7204-72C0-B88A-CA355AE3B5BB}"/>
            </a:ext>
          </a:extLst>
        </xdr:cNvPr>
        <xdr:cNvGrpSpPr/>
      </xdr:nvGrpSpPr>
      <xdr:grpSpPr>
        <a:xfrm>
          <a:off x="8355163" y="1001763"/>
          <a:ext cx="4519154" cy="534631"/>
          <a:chOff x="8355163" y="1001763"/>
          <a:chExt cx="4519154" cy="534631"/>
        </a:xfrm>
      </xdr:grpSpPr>
      <xdr:sp macro="" textlink="">
        <xdr:nvSpPr>
          <xdr:cNvPr id="14" name="Rectangle: Rounded Corners 13">
            <a:extLst>
              <a:ext uri="{FF2B5EF4-FFF2-40B4-BE49-F238E27FC236}">
                <a16:creationId xmlns:a16="http://schemas.microsoft.com/office/drawing/2014/main" id="{9E7CA164-F0C8-A797-1E78-219127FAFEB4}"/>
              </a:ext>
            </a:extLst>
          </xdr:cNvPr>
          <xdr:cNvSpPr/>
        </xdr:nvSpPr>
        <xdr:spPr>
          <a:xfrm>
            <a:off x="8355163" y="1001763"/>
            <a:ext cx="4130487" cy="534630"/>
          </a:xfrm>
          <a:prstGeom prst="roundRect">
            <a:avLst>
              <a:gd name="adj" fmla="val 50000"/>
            </a:avLst>
          </a:prstGeom>
          <a:solidFill>
            <a:srgbClr val="00194C"/>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a:p>
        </xdr:txBody>
      </xdr:sp>
      <xdr:sp macro="" textlink="">
        <xdr:nvSpPr>
          <xdr:cNvPr id="15" name="TextBox 14">
            <a:extLst>
              <a:ext uri="{FF2B5EF4-FFF2-40B4-BE49-F238E27FC236}">
                <a16:creationId xmlns:a16="http://schemas.microsoft.com/office/drawing/2014/main" id="{AE53B9A7-1099-3319-8575-4DAEFB706272}"/>
              </a:ext>
            </a:extLst>
          </xdr:cNvPr>
          <xdr:cNvSpPr txBox="1"/>
        </xdr:nvSpPr>
        <xdr:spPr>
          <a:xfrm>
            <a:off x="9464662" y="1072376"/>
            <a:ext cx="3409655" cy="464018"/>
          </a:xfrm>
          <a:prstGeom prst="rect">
            <a:avLst/>
          </a:prstGeom>
          <a:noFill/>
          <a:ln w="9525" cmpd="sng">
            <a:noFill/>
          </a:ln>
          <a:effectLst/>
          <a:scene3d>
            <a:camera prst="orthographicFront">
              <a:rot lat="0" lon="0" rev="0"/>
            </a:camera>
            <a:lightRig rig="glow" dir="t">
              <a:rot lat="0" lon="0" rev="14100000"/>
            </a:lightRig>
          </a:scene3d>
          <a:sp3d prstMaterial="softEdge">
            <a:bevelT w="127000" prst="artDeco"/>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solidFill>
                  <a:schemeClr val="bg1"/>
                </a:solidFill>
              </a:rPr>
              <a:t>Monthly Sales Trend</a:t>
            </a:r>
          </a:p>
        </xdr:txBody>
      </xdr:sp>
    </xdr:grpSp>
    <xdr:clientData/>
  </xdr:twoCellAnchor>
  <xdr:twoCellAnchor>
    <xdr:from>
      <xdr:col>4</xdr:col>
      <xdr:colOff>575699</xdr:colOff>
      <xdr:row>23</xdr:row>
      <xdr:rowOff>85725</xdr:rowOff>
    </xdr:from>
    <xdr:to>
      <xdr:col>13</xdr:col>
      <xdr:colOff>247650</xdr:colOff>
      <xdr:row>37</xdr:row>
      <xdr:rowOff>106005</xdr:rowOff>
    </xdr:to>
    <xdr:graphicFrame macro="">
      <xdr:nvGraphicFramePr>
        <xdr:cNvPr id="16" name="Chart 15">
          <a:extLst>
            <a:ext uri="{FF2B5EF4-FFF2-40B4-BE49-F238E27FC236}">
              <a16:creationId xmlns:a16="http://schemas.microsoft.com/office/drawing/2014/main" id="{C99C6B2C-F4A6-4A63-8A59-05DB535CAA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538725</xdr:colOff>
      <xdr:row>21</xdr:row>
      <xdr:rowOff>2151</xdr:rowOff>
    </xdr:from>
    <xdr:to>
      <xdr:col>14</xdr:col>
      <xdr:colOff>307668</xdr:colOff>
      <xdr:row>23</xdr:row>
      <xdr:rowOff>152401</xdr:rowOff>
    </xdr:to>
    <xdr:grpSp>
      <xdr:nvGrpSpPr>
        <xdr:cNvPr id="7" name="Group 6">
          <a:extLst>
            <a:ext uri="{FF2B5EF4-FFF2-40B4-BE49-F238E27FC236}">
              <a16:creationId xmlns:a16="http://schemas.microsoft.com/office/drawing/2014/main" id="{8DB95A3F-403C-BB4C-877F-A9841FCC33E4}"/>
            </a:ext>
          </a:extLst>
        </xdr:cNvPr>
        <xdr:cNvGrpSpPr/>
      </xdr:nvGrpSpPr>
      <xdr:grpSpPr>
        <a:xfrm>
          <a:off x="3586725" y="4002651"/>
          <a:ext cx="5255343" cy="531250"/>
          <a:chOff x="3586725" y="4002651"/>
          <a:chExt cx="5255343" cy="531250"/>
        </a:xfrm>
      </xdr:grpSpPr>
      <xdr:sp macro="" textlink="">
        <xdr:nvSpPr>
          <xdr:cNvPr id="26" name="Rectangle: Rounded Corners 25">
            <a:extLst>
              <a:ext uri="{FF2B5EF4-FFF2-40B4-BE49-F238E27FC236}">
                <a16:creationId xmlns:a16="http://schemas.microsoft.com/office/drawing/2014/main" id="{4B18ABA6-F08F-0C70-CAD0-A6BFACB1EAD1}"/>
              </a:ext>
            </a:extLst>
          </xdr:cNvPr>
          <xdr:cNvSpPr/>
        </xdr:nvSpPr>
        <xdr:spPr>
          <a:xfrm>
            <a:off x="3586725" y="4002651"/>
            <a:ext cx="4378843" cy="530760"/>
          </a:xfrm>
          <a:prstGeom prst="roundRect">
            <a:avLst>
              <a:gd name="adj" fmla="val 50000"/>
            </a:avLst>
          </a:prstGeom>
          <a:solidFill>
            <a:srgbClr val="00194C"/>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a:p>
        </xdr:txBody>
      </xdr:sp>
      <xdr:sp macro="" textlink="">
        <xdr:nvSpPr>
          <xdr:cNvPr id="27" name="TextBox 26">
            <a:extLst>
              <a:ext uri="{FF2B5EF4-FFF2-40B4-BE49-F238E27FC236}">
                <a16:creationId xmlns:a16="http://schemas.microsoft.com/office/drawing/2014/main" id="{23FFBF2B-A21C-1677-FA74-577A05AE6DDA}"/>
              </a:ext>
            </a:extLst>
          </xdr:cNvPr>
          <xdr:cNvSpPr txBox="1"/>
        </xdr:nvSpPr>
        <xdr:spPr>
          <a:xfrm>
            <a:off x="4924154" y="4073242"/>
            <a:ext cx="3917914" cy="460659"/>
          </a:xfrm>
          <a:prstGeom prst="rect">
            <a:avLst/>
          </a:prstGeom>
          <a:noFill/>
          <a:ln w="9525" cmpd="sng">
            <a:noFill/>
          </a:ln>
          <a:effectLst/>
          <a:scene3d>
            <a:camera prst="orthographicFront">
              <a:rot lat="0" lon="0" rev="0"/>
            </a:camera>
            <a:lightRig rig="glow" dir="t">
              <a:rot lat="0" lon="0" rev="14100000"/>
            </a:lightRig>
          </a:scene3d>
          <a:sp3d prstMaterial="softEdge">
            <a:bevelT w="127000" prst="artDeco"/>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u="none" strike="noStrike">
                <a:solidFill>
                  <a:srgbClr val="E7E6E6"/>
                </a:solidFill>
                <a:effectLst/>
                <a:latin typeface="Calibri" panose="020F0502020204030204" pitchFamily="34" charset="0"/>
              </a:rPr>
              <a:t> Store Performance</a:t>
            </a:r>
            <a:r>
              <a:rPr lang="en-US" sz="1800"/>
              <a:t> </a:t>
            </a:r>
            <a:endParaRPr lang="en-US" sz="1800" b="1" i="1">
              <a:solidFill>
                <a:schemeClr val="bg1"/>
              </a:solidFill>
            </a:endParaRPr>
          </a:p>
        </xdr:txBody>
      </xdr:sp>
    </xdr:grpSp>
    <xdr:clientData/>
  </xdr:twoCellAnchor>
  <xdr:twoCellAnchor>
    <xdr:from>
      <xdr:col>13</xdr:col>
      <xdr:colOff>466725</xdr:colOff>
      <xdr:row>24</xdr:row>
      <xdr:rowOff>145537</xdr:rowOff>
    </xdr:from>
    <xdr:to>
      <xdr:col>20</xdr:col>
      <xdr:colOff>563203</xdr:colOff>
      <xdr:row>37</xdr:row>
      <xdr:rowOff>94328</xdr:rowOff>
    </xdr:to>
    <xdr:graphicFrame macro="">
      <xdr:nvGraphicFramePr>
        <xdr:cNvPr id="28" name="Chart 27">
          <a:extLst>
            <a:ext uri="{FF2B5EF4-FFF2-40B4-BE49-F238E27FC236}">
              <a16:creationId xmlns:a16="http://schemas.microsoft.com/office/drawing/2014/main" id="{5A0A84BF-16A1-483E-ABED-141354CC6E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461295</xdr:colOff>
      <xdr:row>21</xdr:row>
      <xdr:rowOff>203</xdr:rowOff>
    </xdr:from>
    <xdr:to>
      <xdr:col>21</xdr:col>
      <xdr:colOff>389603</xdr:colOff>
      <xdr:row>23</xdr:row>
      <xdr:rowOff>149735</xdr:rowOff>
    </xdr:to>
    <xdr:grpSp>
      <xdr:nvGrpSpPr>
        <xdr:cNvPr id="12" name="Group 11">
          <a:extLst>
            <a:ext uri="{FF2B5EF4-FFF2-40B4-BE49-F238E27FC236}">
              <a16:creationId xmlns:a16="http://schemas.microsoft.com/office/drawing/2014/main" id="{23E45015-9D2F-04F4-D70C-A906F5D553E6}"/>
            </a:ext>
          </a:extLst>
        </xdr:cNvPr>
        <xdr:cNvGrpSpPr/>
      </xdr:nvGrpSpPr>
      <xdr:grpSpPr>
        <a:xfrm>
          <a:off x="8386095" y="4000703"/>
          <a:ext cx="4805108" cy="530532"/>
          <a:chOff x="8386095" y="4000703"/>
          <a:chExt cx="4805108" cy="530532"/>
        </a:xfrm>
      </xdr:grpSpPr>
      <xdr:sp macro="" textlink="">
        <xdr:nvSpPr>
          <xdr:cNvPr id="30" name="Rectangle: Rounded Corners 29">
            <a:extLst>
              <a:ext uri="{FF2B5EF4-FFF2-40B4-BE49-F238E27FC236}">
                <a16:creationId xmlns:a16="http://schemas.microsoft.com/office/drawing/2014/main" id="{670F87EC-06EA-0637-1859-0693FE9619D2}"/>
              </a:ext>
            </a:extLst>
          </xdr:cNvPr>
          <xdr:cNvSpPr/>
        </xdr:nvSpPr>
        <xdr:spPr>
          <a:xfrm>
            <a:off x="8386095" y="4000703"/>
            <a:ext cx="4061527" cy="530532"/>
          </a:xfrm>
          <a:prstGeom prst="roundRect">
            <a:avLst>
              <a:gd name="adj" fmla="val 50000"/>
            </a:avLst>
          </a:prstGeom>
          <a:solidFill>
            <a:srgbClr val="00194C"/>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a:p>
        </xdr:txBody>
      </xdr:sp>
      <xdr:sp macro="" textlink="">
        <xdr:nvSpPr>
          <xdr:cNvPr id="31" name="TextBox 30">
            <a:extLst>
              <a:ext uri="{FF2B5EF4-FFF2-40B4-BE49-F238E27FC236}">
                <a16:creationId xmlns:a16="http://schemas.microsoft.com/office/drawing/2014/main" id="{58C5DD28-5B97-6134-1A2F-A9A4ADF03297}"/>
              </a:ext>
            </a:extLst>
          </xdr:cNvPr>
          <xdr:cNvSpPr txBox="1"/>
        </xdr:nvSpPr>
        <xdr:spPr>
          <a:xfrm>
            <a:off x="9557203" y="4061250"/>
            <a:ext cx="3634000" cy="460461"/>
          </a:xfrm>
          <a:prstGeom prst="rect">
            <a:avLst/>
          </a:prstGeom>
          <a:noFill/>
          <a:ln w="9525" cmpd="sng">
            <a:noFill/>
          </a:ln>
          <a:effectLst/>
          <a:scene3d>
            <a:camera prst="orthographicFront">
              <a:rot lat="0" lon="0" rev="0"/>
            </a:camera>
            <a:lightRig rig="glow" dir="t">
              <a:rot lat="0" lon="0" rev="14100000"/>
            </a:lightRig>
          </a:scene3d>
          <a:sp3d prstMaterial="softEdge">
            <a:bevelT w="127000" prst="artDeco"/>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solidFill>
                  <a:schemeClr val="bg1"/>
                </a:solidFill>
              </a:rPr>
              <a:t> Products Revenue</a:t>
            </a:r>
          </a:p>
        </xdr:txBody>
      </xdr:sp>
    </xdr:grpSp>
    <xdr:clientData/>
  </xdr:twoCellAnchor>
  <xdr:twoCellAnchor>
    <xdr:from>
      <xdr:col>0</xdr:col>
      <xdr:colOff>294252</xdr:colOff>
      <xdr:row>7</xdr:row>
      <xdr:rowOff>134481</xdr:rowOff>
    </xdr:from>
    <xdr:to>
      <xdr:col>5</xdr:col>
      <xdr:colOff>437639</xdr:colOff>
      <xdr:row>59</xdr:row>
      <xdr:rowOff>52545</xdr:rowOff>
    </xdr:to>
    <xdr:sp macro="" textlink="">
      <xdr:nvSpPr>
        <xdr:cNvPr id="37" name="Rectangle: Rounded Corners 36">
          <a:extLst>
            <a:ext uri="{FF2B5EF4-FFF2-40B4-BE49-F238E27FC236}">
              <a16:creationId xmlns:a16="http://schemas.microsoft.com/office/drawing/2014/main" id="{D41D2F35-1CEA-5C01-BC3D-D6710DA298DA}"/>
            </a:ext>
          </a:extLst>
        </xdr:cNvPr>
        <xdr:cNvSpPr/>
      </xdr:nvSpPr>
      <xdr:spPr>
        <a:xfrm>
          <a:off x="294252" y="1467981"/>
          <a:ext cx="3191387" cy="9824064"/>
        </a:xfrm>
        <a:prstGeom prst="roundRect">
          <a:avLst>
            <a:gd name="adj" fmla="val 50000"/>
          </a:avLst>
        </a:prstGeom>
        <a:solidFill>
          <a:srgbClr val="001746"/>
        </a:solidFill>
        <a:ln>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94227</xdr:colOff>
      <xdr:row>9</xdr:row>
      <xdr:rowOff>2567</xdr:rowOff>
    </xdr:from>
    <xdr:to>
      <xdr:col>3</xdr:col>
      <xdr:colOff>581026</xdr:colOff>
      <xdr:row>20</xdr:row>
      <xdr:rowOff>46813</xdr:rowOff>
    </xdr:to>
    <mc:AlternateContent xmlns:mc="http://schemas.openxmlformats.org/markup-compatibility/2006" xmlns:a14="http://schemas.microsoft.com/office/drawing/2010/main">
      <mc:Choice Requires="a14">
        <xdr:graphicFrame macro="">
          <xdr:nvGraphicFramePr>
            <xdr:cNvPr id="33" name="Region">
              <a:extLst>
                <a:ext uri="{FF2B5EF4-FFF2-40B4-BE49-F238E27FC236}">
                  <a16:creationId xmlns:a16="http://schemas.microsoft.com/office/drawing/2014/main" id="{6930A4EE-B616-861B-363A-4A3CF36B1E6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03827" y="1717067"/>
              <a:ext cx="1705999" cy="21397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94227</xdr:colOff>
      <xdr:row>18</xdr:row>
      <xdr:rowOff>99350</xdr:rowOff>
    </xdr:from>
    <xdr:to>
      <xdr:col>3</xdr:col>
      <xdr:colOff>545178</xdr:colOff>
      <xdr:row>25</xdr:row>
      <xdr:rowOff>173500</xdr:rowOff>
    </xdr:to>
    <mc:AlternateContent xmlns:mc="http://schemas.openxmlformats.org/markup-compatibility/2006" xmlns:a14="http://schemas.microsoft.com/office/drawing/2010/main">
      <mc:Choice Requires="a14">
        <xdr:graphicFrame macro="">
          <xdr:nvGraphicFramePr>
            <xdr:cNvPr id="34" name="StoreType">
              <a:extLst>
                <a:ext uri="{FF2B5EF4-FFF2-40B4-BE49-F238E27FC236}">
                  <a16:creationId xmlns:a16="http://schemas.microsoft.com/office/drawing/2014/main" id="{A01A9AAC-08CC-6743-67E3-8377A48DDD3E}"/>
                </a:ext>
              </a:extLst>
            </xdr:cNvPr>
            <xdr:cNvGraphicFramePr/>
          </xdr:nvGraphicFramePr>
          <xdr:xfrm>
            <a:off x="0" y="0"/>
            <a:ext cx="0" cy="0"/>
          </xdr:xfrm>
          <a:graphic>
            <a:graphicData uri="http://schemas.microsoft.com/office/drawing/2010/slicer">
              <sle:slicer xmlns:sle="http://schemas.microsoft.com/office/drawing/2010/slicer" name="StoreType"/>
            </a:graphicData>
          </a:graphic>
        </xdr:graphicFrame>
      </mc:Choice>
      <mc:Fallback xmlns="">
        <xdr:sp macro="" textlink="">
          <xdr:nvSpPr>
            <xdr:cNvPr id="0" name=""/>
            <xdr:cNvSpPr>
              <a:spLocks noTextEdit="1"/>
            </xdr:cNvSpPr>
          </xdr:nvSpPr>
          <xdr:spPr>
            <a:xfrm>
              <a:off x="703827" y="3528350"/>
              <a:ext cx="1670151" cy="1407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94227</xdr:colOff>
      <xdr:row>23</xdr:row>
      <xdr:rowOff>85725</xdr:rowOff>
    </xdr:from>
    <xdr:to>
      <xdr:col>3</xdr:col>
      <xdr:colOff>539344</xdr:colOff>
      <xdr:row>56</xdr:row>
      <xdr:rowOff>42094</xdr:rowOff>
    </xdr:to>
    <mc:AlternateContent xmlns:mc="http://schemas.openxmlformats.org/markup-compatibility/2006" xmlns:a14="http://schemas.microsoft.com/office/drawing/2010/main">
      <mc:Choice Requires="a14">
        <xdr:graphicFrame macro="">
          <xdr:nvGraphicFramePr>
            <xdr:cNvPr id="35" name="Category">
              <a:extLst>
                <a:ext uri="{FF2B5EF4-FFF2-40B4-BE49-F238E27FC236}">
                  <a16:creationId xmlns:a16="http://schemas.microsoft.com/office/drawing/2014/main" id="{551E4602-B513-A8C2-B02E-F101C33AC0D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03827" y="4467225"/>
              <a:ext cx="1664317" cy="6242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103971</xdr:colOff>
      <xdr:row>3</xdr:row>
      <xdr:rowOff>75279</xdr:rowOff>
    </xdr:from>
    <xdr:to>
      <xdr:col>2</xdr:col>
      <xdr:colOff>342097</xdr:colOff>
      <xdr:row>5</xdr:row>
      <xdr:rowOff>125568</xdr:rowOff>
    </xdr:to>
    <xdr:grpSp>
      <xdr:nvGrpSpPr>
        <xdr:cNvPr id="25" name="Group 24">
          <a:extLst>
            <a:ext uri="{FF2B5EF4-FFF2-40B4-BE49-F238E27FC236}">
              <a16:creationId xmlns:a16="http://schemas.microsoft.com/office/drawing/2014/main" id="{D13D22C5-7E20-83BA-17B6-9C0F8197822B}"/>
            </a:ext>
          </a:extLst>
        </xdr:cNvPr>
        <xdr:cNvGrpSpPr/>
      </xdr:nvGrpSpPr>
      <xdr:grpSpPr>
        <a:xfrm>
          <a:off x="103971" y="646779"/>
          <a:ext cx="1457326" cy="431289"/>
          <a:chOff x="1037201" y="1333500"/>
          <a:chExt cx="1457326" cy="431289"/>
        </a:xfrm>
        <a:solidFill>
          <a:srgbClr val="00133A"/>
        </a:solidFill>
        <a:scene3d>
          <a:camera prst="orthographicFront">
            <a:rot lat="0" lon="0" rev="0"/>
          </a:camera>
          <a:lightRig rig="contrasting" dir="t">
            <a:rot lat="0" lon="0" rev="7800000"/>
          </a:lightRig>
        </a:scene3d>
      </xdr:grpSpPr>
      <xdr:sp macro="[0]!_xludf.style" textlink="">
        <xdr:nvSpPr>
          <xdr:cNvPr id="19" name="Rectangle: Rounded Corners 18">
            <a:extLst>
              <a:ext uri="{FF2B5EF4-FFF2-40B4-BE49-F238E27FC236}">
                <a16:creationId xmlns:a16="http://schemas.microsoft.com/office/drawing/2014/main" id="{4AC0E56D-F28F-4140-5B0A-39C3263FDE59}"/>
              </a:ext>
            </a:extLst>
          </xdr:cNvPr>
          <xdr:cNvSpPr/>
        </xdr:nvSpPr>
        <xdr:spPr>
          <a:xfrm>
            <a:off x="1037201" y="1333500"/>
            <a:ext cx="1457326" cy="431289"/>
          </a:xfrm>
          <a:prstGeom prst="roundRect">
            <a:avLst>
              <a:gd name="adj" fmla="val 50000"/>
            </a:avLst>
          </a:prstGeom>
          <a:grpFill/>
          <a:ln>
            <a:noFill/>
          </a:ln>
          <a:effectLst/>
          <a:sp3d>
            <a:bevelT w="139700" h="139700"/>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sp macro="[0]!_xludf.style" textlink="">
        <xdr:nvSpPr>
          <xdr:cNvPr id="24" name="TextBox 23">
            <a:extLst>
              <a:ext uri="{FF2B5EF4-FFF2-40B4-BE49-F238E27FC236}">
                <a16:creationId xmlns:a16="http://schemas.microsoft.com/office/drawing/2014/main" id="{83264603-B85E-0859-9C49-48EB94B9FFB5}"/>
              </a:ext>
            </a:extLst>
          </xdr:cNvPr>
          <xdr:cNvSpPr txBox="1"/>
        </xdr:nvSpPr>
        <xdr:spPr>
          <a:xfrm>
            <a:off x="1331453" y="1395978"/>
            <a:ext cx="924948" cy="253589"/>
          </a:xfrm>
          <a:prstGeom prst="rect">
            <a:avLst/>
          </a:prstGeom>
          <a:grpFill/>
          <a:ln w="9525" cmpd="sng">
            <a:noFill/>
          </a:ln>
          <a:effectLst/>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rgbClr val="F8F8F8"/>
                </a:solidFill>
              </a:rPr>
              <a:t>Reset All</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AR COMPUTER" refreshedDate="46080.890408449071" createdVersion="8" refreshedVersion="8" minRefreshableVersion="3" recordCount="120" xr:uid="{4BE13B40-CF2D-40F1-B8F6-6440F2B30A4C}">
  <cacheSource type="worksheet">
    <worksheetSource name="Table13"/>
  </cacheSource>
  <cacheFields count="60">
    <cacheField name="OrderID" numFmtId="0">
      <sharedItems/>
    </cacheField>
    <cacheField name="OrderDate" numFmtId="164">
      <sharedItems containsSemiMixedTypes="0" containsNonDate="0" containsDate="1" containsString="0" minDate="2025-01-15T00:00:00" maxDate="2025-03-17T00:00:00" count="61">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sharedItems>
      <fieldGroup par="59"/>
    </cacheField>
    <cacheField name="DeliveryDate" numFmtId="164">
      <sharedItems containsSemiMixedTypes="0" containsNonDate="0" containsDate="1" containsString="0" minDate="2025-01-17T00:00:00" maxDate="2025-03-21T00:00:00"/>
    </cacheField>
    <cacheField name="OrderStatus" numFmtId="0">
      <sharedItems/>
    </cacheField>
    <cacheField name="Channel" numFmtId="0">
      <sharedItems/>
    </cacheField>
    <cacheField name="StoreCode" numFmtId="0">
      <sharedItems/>
    </cacheField>
    <cacheField name="StoreName" numFmtId="0">
      <sharedItems count="11">
        <s v="UrbanCart Phoenix"/>
        <s v="UrbanCart Austin"/>
        <s v="UrbanCart Miami"/>
        <s v="UrbanCart Seattle"/>
        <s v="UrbanCart Boston"/>
        <s v="UrbanCart Chicago"/>
        <s v="UrbanCart Houston"/>
        <s v="UrbanCart Portland"/>
        <s v="UrbanCart Detroit"/>
        <s v="UrbanCart Columbus"/>
        <s v="UrbanCart Denver"/>
      </sharedItems>
    </cacheField>
    <cacheField name="Region" numFmtId="0">
      <sharedItems count="4">
        <s v="West"/>
        <s v="South"/>
        <s v="East"/>
        <s v="Central"/>
      </sharedItems>
    </cacheField>
    <cacheField name="City" numFmtId="0">
      <sharedItems/>
    </cacheField>
    <cacheField name="State" numFmtId="0">
      <sharedItems/>
    </cacheField>
    <cacheField name="Zone" numFmtId="0">
      <sharedItems/>
    </cacheField>
    <cacheField name="StoreType" numFmtId="0">
      <sharedItems count="2">
        <s v="Flagship"/>
        <s v="Standard"/>
      </sharedItems>
    </cacheField>
    <cacheField name="Manager" numFmtId="0">
      <sharedItems/>
    </cacheField>
    <cacheField name="Contact" numFmtId="0">
      <sharedItems/>
    </cacheField>
    <cacheField name="OpeningDate" numFmtId="164">
      <sharedItems containsSemiMixedTypes="0" containsNonDate="0" containsDate="1" containsString="0" minDate="2018-08-20T00:00:00" maxDate="2023-04-18T00:00:00"/>
    </cacheField>
    <cacheField name="ProductID" numFmtId="0">
      <sharedItems/>
    </cacheField>
    <cacheField name="ProductName" numFmtId="0">
      <sharedItems count="120">
        <s v="Laptop Pro 15"/>
        <s v="Cotton T-Shirt"/>
        <s v="Blender Pro"/>
        <s v="Yoga Mat"/>
        <s v="Desk Chair"/>
        <s v="Smart Watch"/>
        <s v="Running Shoes"/>
        <s v="Coffee Maker"/>
        <s v="Winter Jacket"/>
        <s v="Wireless Mouse"/>
        <s v="Desk Lamp"/>
        <s v="Backpack"/>
        <s v="Water Bottle"/>
        <s v="Tablet Pro"/>
        <s v="Hair Dryer"/>
        <s v="Treadmill"/>
        <s v="Novel Set"/>
        <s v="Yoga Block"/>
        <s v="Dining Set"/>
        <s v="Gaming Mouse"/>
        <s v="Protein Powder"/>
        <s v="LED TV"/>
        <s v="Bluetooth Speaker"/>
        <s v="Hoodie"/>
        <s v="Dumbbell Set"/>
        <s v="Cookware Set"/>
        <s v="Desk Organizer"/>
        <s v="Electric Kettle"/>
        <s v="Resistance Bands"/>
        <s v="Printer"/>
        <s v="Jeans"/>
        <s v="Air Purifier"/>
        <s v="Soccer Ball"/>
        <s v="Monitor 24"/>
        <s v="Sweater"/>
        <s v="Food Processor"/>
        <s v="Wireless Earbuds"/>
        <s v="Throw Pillow"/>
        <s v="Weighing Scale"/>
        <s v="Sandals"/>
        <s v="Bookshelf"/>
        <s v="Face Cream"/>
        <s v="Hiking Boots"/>
        <s v="Wall Art"/>
        <s v="External HDD"/>
        <s v="Yoga Pants"/>
        <s v="Smartphone"/>
        <s v="Bath Towels"/>
        <s v="Suitcase"/>
        <s v="Paper Shredder"/>
        <s v="Cereal Box"/>
        <s v="Necklace"/>
        <s v="Cutting Board"/>
        <s v="Rice Cooker"/>
        <s v="Shampoo"/>
        <s v="Wireless Keyboard"/>
        <s v="Wine Glasses"/>
        <s v="Football"/>
        <s v="Belt"/>
        <s v="Frying Pan"/>
        <s v="Tablet Case"/>
        <s v="Plant Pot"/>
        <s v="USB Flash Drive"/>
        <s v="Microwave"/>
        <s v="Socks"/>
        <s v="Car Vacuum"/>
        <s v="Candle Set"/>
        <s v="Dumbbells"/>
        <s v="Bedsheet"/>
        <s v="Router"/>
        <s v="Sunglasses"/>
        <s v="Desk"/>
        <s v="Tool Set"/>
        <s v="Hair Straightener"/>
        <s v="Notebook"/>
        <s v="Hand Vacuum"/>
        <s v="Blender Bottle"/>
        <s v="Area Rug"/>
        <s v="Webcam"/>
        <s v="Coffee Table"/>
        <s v="Earrings"/>
        <s v="Rain Jacket"/>
        <s v="Camera"/>
        <s v="Wine Rack"/>
        <s v="Pillows"/>
        <s v="GPS Tracker"/>
        <s v="Laundry Basket"/>
        <s v="Jump Rope"/>
        <s v="Photo Frame"/>
        <s v="Keyboard Piano"/>
        <s v="Winter Gloves"/>
        <s v="Extension Cord"/>
        <s v="Protein Bars"/>
        <s v="Shower Curtain"/>
        <s v="Electric Guitar"/>
        <s v="Thermos"/>
        <s v="Nightstand"/>
        <s v="Croissants"/>
        <s v="Shoe Rack"/>
        <s v="Table Clock"/>
        <s v="Cutting Mat"/>
        <s v="Pet Bed"/>
        <s v="USB Hub"/>
        <s v="Wok"/>
        <s v="Tie"/>
        <s v="Facial Cleanser"/>
        <s v="Memory Foam Pillow"/>
        <s v="Cat Toy"/>
        <s v="Desk Lamp LED"/>
        <s v="Basketball"/>
        <s v="Sandwich Maker"/>
        <s v="Dog Leash"/>
        <s v="Phone Stand"/>
        <s v="Bath Mat"/>
        <s v="Extension Tube"/>
        <s v="Grill Pan"/>
        <s v="Yoga Strap"/>
        <s v="Coffee Mug"/>
        <s v="Wireless Charger"/>
        <s v="Winter Scarf"/>
      </sharedItems>
    </cacheField>
    <cacheField name="Category" numFmtId="0">
      <sharedItems count="13">
        <s v="Electronics"/>
        <s v="Apparel"/>
        <s v="Home"/>
        <s v="Fitness"/>
        <s v="Furniture"/>
        <s v="Accessories"/>
        <s v="Personal Care"/>
        <s v="Books"/>
        <s v="Office"/>
        <s v="Food"/>
        <s v="Jewelry"/>
        <s v="Automotive"/>
        <s v="Pets"/>
      </sharedItems>
    </cacheField>
    <cacheField name="SubCategory" numFmtId="0">
      <sharedItems/>
    </cacheField>
    <cacheField name="Brand" numFmtId="0">
      <sharedItems/>
    </cacheField>
    <cacheField name="Supplier" numFmtId="0">
      <sharedItems/>
    </cacheField>
    <cacheField name="UnitPrice" numFmtId="165">
      <sharedItems containsSemiMixedTypes="0" containsString="0" containsNumber="1" containsInteger="1" minValue="3" maxValue="1400"/>
    </cacheField>
    <cacheField name="CostPrice" numFmtId="165">
      <sharedItems containsSemiMixedTypes="0" containsString="0" containsNumber="1" minValue="1.5" maxValue="840"/>
    </cacheField>
    <cacheField name="Weight" numFmtId="0">
      <sharedItems containsSemiMixedTypes="0" containsString="0" containsNumber="1" minValue="0.05" maxValue="45"/>
    </cacheField>
    <cacheField name="Color" numFmtId="0">
      <sharedItems containsBlank="1"/>
    </cacheField>
    <cacheField name="Size" numFmtId="0">
      <sharedItems containsMixedTypes="1" containsNumber="1" containsInteger="1" minValue="7" maxValue="32"/>
    </cacheField>
    <cacheField name="StockLevel" numFmtId="0">
      <sharedItems containsSemiMixedTypes="0" containsString="0" containsNumber="1" containsInteger="1" minValue="5" maxValue="1000"/>
    </cacheField>
    <cacheField name="ReorderLevel" numFmtId="0">
      <sharedItems containsSemiMixedTypes="0" containsString="0" containsNumber="1" containsInteger="1" minValue="1" maxValue="200"/>
    </cacheField>
    <cacheField name="LeadTime" numFmtId="0">
      <sharedItems containsSemiMixedTypes="0" containsString="0" containsNumber="1" containsInteger="1" minValue="1" maxValue="7"/>
    </cacheField>
    <cacheField name="Quantity" numFmtId="0">
      <sharedItems containsSemiMixedTypes="0" containsString="0" containsNumber="1" containsInteger="1" minValue="0" maxValue="40"/>
    </cacheField>
    <cacheField name="Discount%" numFmtId="9">
      <sharedItems containsSemiMixedTypes="0" containsString="0" containsNumber="1" minValue="0" maxValue="0.2"/>
    </cacheField>
    <cacheField name="Tax%" numFmtId="9">
      <sharedItems containsSemiMixedTypes="0" containsString="0" containsNumber="1" minValue="0.04" maxValue="0.12"/>
    </cacheField>
    <cacheField name="ShippingCost" numFmtId="165">
      <sharedItems containsSemiMixedTypes="0" containsString="0" containsNumber="1" containsInteger="1" minValue="0" maxValue="50"/>
    </cacheField>
    <cacheField name="PaymentMethod" numFmtId="0">
      <sharedItems/>
    </cacheField>
    <cacheField name="CustomerType" numFmtId="0">
      <sharedItems/>
    </cacheField>
    <cacheField name="CustomerID" numFmtId="0">
      <sharedItems/>
    </cacheField>
    <cacheField name="CustomerTier" numFmtId="0">
      <sharedItems/>
    </cacheField>
    <cacheField name="SalesRep" numFmtId="0">
      <sharedItems/>
    </cacheField>
    <cacheField name="ReturnStatus" numFmtId="0">
      <sharedItems/>
    </cacheField>
    <cacheField name="ReturnReason" numFmtId="0">
      <sharedItems containsMixedTypes="1" containsNumber="1" containsInteger="1" minValue="0" maxValue="0"/>
    </cacheField>
    <cacheField name="RefundAmount" numFmtId="165">
      <sharedItems containsSemiMixedTypes="0" containsString="0" containsNumber="1" minValue="0" maxValue="47.5"/>
    </cacheField>
    <cacheField name="ProfitMargin" numFmtId="165">
      <sharedItems containsSemiMixedTypes="0" containsString="0" containsNumber="1" minValue="-32" maxValue="0.63934071482670318"/>
    </cacheField>
    <cacheField name="COGS" numFmtId="165">
      <sharedItems containsSemiMixedTypes="0" containsString="0" containsNumber="1" containsInteger="1" minValue="0" maxValue="1560"/>
    </cacheField>
    <cacheField name="GrossSales" numFmtId="165">
      <sharedItems containsSemiMixedTypes="0" containsString="0" containsNumber="1" containsInteger="1" minValue="0" maxValue="2400"/>
    </cacheField>
    <cacheField name="DiscountAmount" numFmtId="165">
      <sharedItems containsSemiMixedTypes="0" containsString="0" containsNumber="1" minValue="0" maxValue="1.6"/>
    </cacheField>
    <cacheField name="NetSales" numFmtId="165">
      <sharedItems containsSemiMixedTypes="0" containsString="0" containsNumber="1" minValue="0" maxValue="2880"/>
    </cacheField>
    <cacheField name="TaxAmount" numFmtId="165">
      <sharedItems containsSemiMixedTypes="0" containsString="0" containsNumber="1" minValue="0" maxValue="2.3040000000000003"/>
    </cacheField>
    <cacheField name="TotalRevenue" numFmtId="165">
      <sharedItems containsSemiMixedTypes="0" containsString="0" containsNumber="1" minValue="0" maxValue="2907.3040000000001" count="43">
        <n v="2907.3040000000001"/>
        <n v="8"/>
        <n v="19.229334999999999"/>
        <n v="10"/>
        <n v="123.825"/>
        <n v="260.14700000000005"/>
        <n v="15.203599999999998"/>
        <n v="79.838880000000003"/>
        <n v="5"/>
        <n v="10.11355625"/>
        <n v="12"/>
        <n v="2011.3720000000003"/>
        <n v="14.116145000000001"/>
        <n v="0"/>
        <n v="191.355875"/>
        <n v="1330.896"/>
        <n v="15"/>
        <n v="23.25675"/>
        <n v="4"/>
        <n v="6"/>
        <n v="3"/>
        <n v="21.407199999999996"/>
        <n v="35.012"/>
        <n v="7.5132562499999995"/>
        <n v="41.21134"/>
        <n v="33.037615000000002"/>
        <n v="30.2121"/>
        <n v="415.32400000000001"/>
        <n v="2"/>
        <n v="7.451225"/>
        <n v="18.053629999999998"/>
        <n v="12.052430000000001"/>
        <n v="7.5152074999999998"/>
        <n v="25"/>
        <n v="6.5132562499999995"/>
        <n v="60.027999999999999"/>
        <n v="8.6146674999999995"/>
        <n v="31.209720000000001"/>
        <n v="105.056"/>
        <n v="3.6128675000000001"/>
        <n v="6.5134074999999996"/>
        <n v="9.6107648000000001"/>
        <n v="5.451225"/>
      </sharedItems>
    </cacheField>
    <cacheField name="ShippingStatus" numFmtId="0">
      <sharedItems containsMixedTypes="1" containsNumber="1" containsInteger="1" minValue="5" maxValue="5"/>
    </cacheField>
    <cacheField name="DeliveryDays" numFmtId="0">
      <sharedItems containsSemiMixedTypes="0" containsString="0" containsNumber="1" containsInteger="1" minValue="2" maxValue="5"/>
    </cacheField>
    <cacheField name="IsPriority" numFmtId="0">
      <sharedItems/>
    </cacheField>
    <cacheField name="IsBulkOrder" numFmtId="0">
      <sharedItems/>
    </cacheField>
    <cacheField name="BulkDiscount" numFmtId="0">
      <sharedItems containsSemiMixedTypes="0" containsString="0" containsNumber="1" minValue="0" maxValue="0.05"/>
    </cacheField>
    <cacheField name="PromoCode" numFmtId="0">
      <sharedItems/>
    </cacheField>
    <cacheField name="Campaign" numFmtId="0">
      <sharedItems/>
    </cacheField>
    <cacheField name="WarehouseCode" numFmtId="0">
      <sharedItems/>
    </cacheField>
    <cacheField name="InventoryStatus" numFmtId="0">
      <sharedItems/>
    </cacheField>
    <cacheField name="DataQualityFlag" numFmtId="0">
      <sharedItems containsBlank="1"/>
    </cacheField>
    <cacheField name="Days (OrderDate)" numFmtId="0" databaseField="0">
      <fieldGroup base="1">
        <rangePr groupBy="days" startDate="2025-01-15T00:00:00" endDate="2025-03-17T00:00:00"/>
        <groupItems count="368">
          <s v="&lt;15/0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7/03/2025"/>
        </groupItems>
      </fieldGroup>
    </cacheField>
    <cacheField name="Months (OrderDate)" numFmtId="0" databaseField="0">
      <fieldGroup base="1">
        <rangePr groupBy="months" startDate="2025-01-15T00:00:00" endDate="2025-03-17T00:00:00"/>
        <groupItems count="14">
          <s v="&lt;15/01/2025"/>
          <s v="Jan"/>
          <s v="Feb"/>
          <s v="Mar"/>
          <s v="Apr"/>
          <s v="May"/>
          <s v="Jun"/>
          <s v="Jul"/>
          <s v="Aug"/>
          <s v="Sep"/>
          <s v="Oct"/>
          <s v="Nov"/>
          <s v="Dec"/>
          <s v="&gt;17/03/2025"/>
        </groupItems>
      </fieldGroup>
    </cacheField>
  </cacheFields>
  <extLst>
    <ext xmlns:x14="http://schemas.microsoft.com/office/spreadsheetml/2009/9/main" uri="{725AE2AE-9491-48be-B2B4-4EB974FC3084}">
      <x14:pivotCacheDefinition pivotCacheId="14060647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s v="ORD001"/>
    <x v="0"/>
    <d v="2025-01-18T00:00:00"/>
    <s v="Delivered"/>
    <s v="Online"/>
    <s v="ST001"/>
    <x v="0"/>
    <x v="0"/>
    <s v="Phoenix"/>
    <s v="AZ"/>
    <s v="West"/>
    <x v="0"/>
    <s v="Michael Chen"/>
    <s v="michael.chen@urbancart.com"/>
    <d v="2020-03-01T00:00:00"/>
    <s v="P001"/>
    <x v="0"/>
    <x v="0"/>
    <s v="Computers"/>
    <s v="TechBrand"/>
    <s v="InfiniteSys"/>
    <n v="1200"/>
    <n v="780"/>
    <n v="2.5"/>
    <s v="Silver"/>
    <s v="15-inch"/>
    <n v="45"/>
    <n v="10"/>
    <n v="3"/>
    <n v="2"/>
    <n v="0.05"/>
    <n v="0.08"/>
    <n v="25"/>
    <s v="Credit Card"/>
    <s v="Corporate"/>
    <s v="C001"/>
    <s v="Platinum"/>
    <s v="REP005"/>
    <s v="Not Returned"/>
    <s v="N/A"/>
    <n v="0"/>
    <n v="0.46342040598437589"/>
    <n v="1560"/>
    <n v="2400"/>
    <n v="1.2"/>
    <n v="2880"/>
    <n v="2.3040000000000003"/>
    <x v="0"/>
    <s v="Delivered"/>
    <n v="3"/>
    <s v="Yes"/>
    <s v="No"/>
    <n v="0"/>
    <s v="PROMO10"/>
    <s v="Winter Sale"/>
    <s v="WH01"/>
    <s v="In Stock"/>
    <s v="Clean"/>
  </r>
  <r>
    <s v="ORD002"/>
    <x v="0"/>
    <d v="2025-01-17T00:00:00"/>
    <s v="Delivered"/>
    <s v="In-Store"/>
    <s v="ST002"/>
    <x v="1"/>
    <x v="1"/>
    <s v="Austin"/>
    <s v="TX"/>
    <s v="South"/>
    <x v="1"/>
    <s v="Lisa Rodriguez"/>
    <s v="lisa.rodriguez@urbancart.com"/>
    <d v="2021-06-15T00:00:00"/>
    <s v="P023"/>
    <x v="1"/>
    <x v="1"/>
    <s v="Clothing"/>
    <s v="FashionFit"/>
    <s v="TextileCo"/>
    <n v="25"/>
    <n v="12"/>
    <n v="0.2"/>
    <s v="Blue"/>
    <s v="M"/>
    <n v="120"/>
    <n v="30"/>
    <n v="2"/>
    <n v="5"/>
    <n v="0"/>
    <n v="0.05"/>
    <n v="8"/>
    <s v="PayPal"/>
    <s v="Individual"/>
    <s v="C002"/>
    <s v="Bronze"/>
    <s v="REP006"/>
    <s v="Not Returned"/>
    <s v="N/A"/>
    <n v="0"/>
    <n v="-6.5"/>
    <n v="60"/>
    <n v="125"/>
    <n v="0"/>
    <n v="0"/>
    <n v="0"/>
    <x v="1"/>
    <s v="Delivered"/>
    <n v="2"/>
    <s v="No"/>
    <s v="No"/>
    <n v="0"/>
    <s v="N/A"/>
    <s v="N/A"/>
    <s v="WH03"/>
    <s v="In Stock"/>
    <s v="Clean"/>
  </r>
  <r>
    <s v="ORD003"/>
    <x v="1"/>
    <d v="2025-01-20T00:00:00"/>
    <s v="Delivered"/>
    <s v="Online"/>
    <s v="ST003"/>
    <x v="2"/>
    <x v="1"/>
    <s v="Miami"/>
    <s v="FL"/>
    <s v="South"/>
    <x v="1"/>
    <s v="Carlos Mendez"/>
    <s v="carlos.mendez@urbancart.com"/>
    <d v="2022-09-10T00:00:00"/>
    <s v="P008"/>
    <x v="2"/>
    <x v="2"/>
    <s v="Kitchen"/>
    <s v="KitchenAid"/>
    <s v="HomeGoods"/>
    <n v="85"/>
    <n v="48"/>
    <n v="3.2"/>
    <s v="Red"/>
    <s v="N/A"/>
    <n v="45"/>
    <n v="10"/>
    <n v="4"/>
    <n v="1"/>
    <n v="0.1"/>
    <n v="0.06"/>
    <n v="12"/>
    <s v="Debit Card"/>
    <s v="Individual"/>
    <s v="C003"/>
    <s v="Silver"/>
    <s v="REP007"/>
    <s v="Not Returned"/>
    <s v="N/A"/>
    <n v="0"/>
    <n v="-1.4961861655642279"/>
    <n v="48"/>
    <n v="85"/>
    <n v="8.5000000000000006E-2"/>
    <n v="7.2250000000000005"/>
    <n v="4.3350000000000003E-3"/>
    <x v="2"/>
    <s v="Delivered"/>
    <n v="4"/>
    <s v="No"/>
    <s v="No"/>
    <n v="0"/>
    <s v="PROMO15"/>
    <s v="NewYear"/>
    <s v="WH02"/>
    <s v="Low Stock"/>
    <s v="Clean"/>
  </r>
  <r>
    <s v="ORD004"/>
    <x v="1"/>
    <d v="2025-01-19T00:00:00"/>
    <s v="Delivered"/>
    <s v="In-Store"/>
    <s v="ST004"/>
    <x v="3"/>
    <x v="0"/>
    <s v="Seattle"/>
    <s v="WA"/>
    <s v="West"/>
    <x v="1"/>
    <s v="Jennifer Wong"/>
    <s v="jennifer.wong@urbancart.com"/>
    <d v="2020-11-05T00:00:00"/>
    <s v="P045"/>
    <x v="3"/>
    <x v="3"/>
    <s v="Equipment"/>
    <s v="FlexFit"/>
    <s v="SportsInc"/>
    <n v="35"/>
    <n v="18"/>
    <n v="1.1000000000000001"/>
    <s v="Purple"/>
    <s v="Standard"/>
    <n v="75"/>
    <n v="15"/>
    <n v="2"/>
    <n v="3"/>
    <n v="0"/>
    <n v="7.0000000000000007E-2"/>
    <n v="10"/>
    <s v="Credit Card"/>
    <s v="Corporate"/>
    <s v="C004"/>
    <s v="Gold"/>
    <s v="REP008"/>
    <s v="Not Returned"/>
    <s v="N/A"/>
    <n v="0"/>
    <n v="-4.4000000000000004"/>
    <n v="54"/>
    <n v="105"/>
    <n v="0"/>
    <n v="0"/>
    <n v="0"/>
    <x v="3"/>
    <s v="Delivered"/>
    <n v="3"/>
    <s v="No"/>
    <s v="No"/>
    <n v="0"/>
    <s v="N/A"/>
    <s v="N/A"/>
    <s v="WH04"/>
    <s v="In Stock"/>
    <s v="Clean"/>
  </r>
  <r>
    <s v="ORD005"/>
    <x v="2"/>
    <d v="2025-01-22T00:00:00"/>
    <s v="Delivered"/>
    <s v="Online"/>
    <s v="ST005"/>
    <x v="4"/>
    <x v="2"/>
    <s v="Boston"/>
    <s v="MA"/>
    <s v="East"/>
    <x v="0"/>
    <s v="David Kim"/>
    <s v="david.kim@urbancart.com"/>
    <d v="2019-02-12T00:00:00"/>
    <s v="P012"/>
    <x v="4"/>
    <x v="4"/>
    <s v="Office"/>
    <s v="ComfortSeat"/>
    <s v="OfficeSupply"/>
    <n v="250"/>
    <n v="145"/>
    <n v="12.5"/>
    <s v="Black"/>
    <s v="N/A"/>
    <n v="20"/>
    <n v="5"/>
    <n v="5"/>
    <n v="1"/>
    <n v="0.15"/>
    <n v="0.08"/>
    <n v="30"/>
    <s v="Bank Transfer"/>
    <s v="Corporate"/>
    <s v="C005"/>
    <s v="Platinum"/>
    <s v="REP009"/>
    <s v="Not Returned"/>
    <s v="N/A"/>
    <n v="0"/>
    <n v="-0.17100747022006862"/>
    <n v="145"/>
    <n v="250"/>
    <n v="0.375"/>
    <n v="93.75"/>
    <n v="7.4999999999999997E-2"/>
    <x v="4"/>
    <s v="Delivered"/>
    <n v="5"/>
    <s v="Yes"/>
    <s v="No"/>
    <n v="0"/>
    <s v="PROMO20"/>
    <s v="FurnitureSale"/>
    <s v="WH05"/>
    <s v="In Stock"/>
    <s v="Clean"/>
  </r>
  <r>
    <s v="ORD006"/>
    <x v="3"/>
    <d v="2025-01-21T00:00:00"/>
    <s v="Delivered"/>
    <s v="In-Store"/>
    <s v="ST006"/>
    <x v="5"/>
    <x v="3"/>
    <s v="Chicago"/>
    <s v="IL"/>
    <s v="Central"/>
    <x v="0"/>
    <s v="Robert Johnson"/>
    <s v="robert.johnson@urbancart.com"/>
    <d v="2018-08-20T00:00:00"/>
    <s v="P031"/>
    <x v="5"/>
    <x v="0"/>
    <s v="Wearables"/>
    <s v="TechBrand"/>
    <s v="WearTech"/>
    <n v="350"/>
    <n v="210"/>
    <n v="0.25"/>
    <s v="Black"/>
    <s v="42mm"/>
    <n v="30"/>
    <n v="8"/>
    <n v="2"/>
    <n v="2"/>
    <n v="0.05"/>
    <n v="0.06"/>
    <n v="15"/>
    <s v="Credit Card"/>
    <s v="Individual"/>
    <s v="C006"/>
    <s v="Silver"/>
    <s v="REP010"/>
    <s v="Not Returned"/>
    <s v="N/A"/>
    <n v="0"/>
    <n v="-0.61447181785682681"/>
    <n v="420"/>
    <n v="700"/>
    <n v="0.35000000000000003"/>
    <n v="245.00000000000003"/>
    <n v="0.14699999999999999"/>
    <x v="5"/>
    <s v="Delivered"/>
    <n v="3"/>
    <s v="No"/>
    <s v="No"/>
    <n v="0"/>
    <s v="PROMO10"/>
    <s v="Winter Sale"/>
    <s v="WH01"/>
    <s v="In Stock"/>
    <s v="Clean"/>
  </r>
  <r>
    <s v="ORD007"/>
    <x v="3"/>
    <d v="2025-01-23T00:00:00"/>
    <s v="Shipped"/>
    <s v="Online"/>
    <s v="ST007"/>
    <x v="5"/>
    <x v="0"/>
    <s v="Denver"/>
    <s v="CO"/>
    <s v="West"/>
    <x v="1"/>
    <s v="Amanda Martinez"/>
    <s v="amanda.martinez@urbancart.com"/>
    <d v="2022-07-03T00:00:00"/>
    <s v="P055"/>
    <x v="6"/>
    <x v="3"/>
    <s v="Footwear"/>
    <s v="SportMax"/>
    <s v="AthleticInc"/>
    <n v="120"/>
    <n v="65"/>
    <n v="1.8"/>
    <s v="Red"/>
    <n v="10"/>
    <n v="55"/>
    <n v="12"/>
    <n v="3"/>
    <n v="1"/>
    <n v="0.05"/>
    <n v="0.05"/>
    <n v="8"/>
    <s v="PayPal"/>
    <s v="Individual"/>
    <s v="C007"/>
    <s v="Bronze"/>
    <s v="REP011"/>
    <s v="Not Returned"/>
    <s v="N/A"/>
    <n v="0"/>
    <n v="-3.2753032176589763"/>
    <n v="65"/>
    <n v="120"/>
    <n v="0.06"/>
    <n v="7.1999999999999993"/>
    <n v="3.5999999999999999E-3"/>
    <x v="6"/>
    <s v="Shipped"/>
    <n v="5"/>
    <s v="No"/>
    <s v="No"/>
    <n v="0"/>
    <s v="N/A"/>
    <s v="N/A"/>
    <s v="WH04"/>
    <s v="In Stock"/>
    <s v="Clean"/>
  </r>
  <r>
    <s v="ORD008"/>
    <x v="4"/>
    <d v="2025-01-22T00:00:00"/>
    <s v="Delivered"/>
    <s v="In-Store"/>
    <s v="ST008"/>
    <x v="6"/>
    <x v="1"/>
    <s v="Houston"/>
    <s v="TX"/>
    <s v="South"/>
    <x v="1"/>
    <s v="Thomas Brown"/>
    <s v="thomas.brown@urbancart.com"/>
    <d v="2021-04-14T00:00:00"/>
    <s v="P019"/>
    <x v="7"/>
    <x v="2"/>
    <s v="Appliances"/>
    <s v="BrewMaster"/>
    <s v="HomeGoods"/>
    <n v="95"/>
    <n v="52"/>
    <n v="2.8"/>
    <s v="Black"/>
    <s v="N/A"/>
    <n v="40"/>
    <n v="8"/>
    <n v="3"/>
    <n v="2"/>
    <n v="0"/>
    <n v="0.05"/>
    <n v="10"/>
    <s v="Debit Card"/>
    <s v="Individual"/>
    <s v="C008"/>
    <s v="Silver"/>
    <s v="REP012"/>
    <s v="Not Returned"/>
    <s v="N/A"/>
    <n v="0"/>
    <n v="-9.4"/>
    <n v="104"/>
    <n v="190"/>
    <n v="0"/>
    <n v="0"/>
    <n v="0"/>
    <x v="3"/>
    <s v="Delivered"/>
    <n v="3"/>
    <s v="No"/>
    <s v="No"/>
    <n v="0"/>
    <s v="N/A"/>
    <s v="N/A"/>
    <s v="WH02"/>
    <s v="In Stock"/>
    <s v="Clean"/>
  </r>
  <r>
    <s v="ORD009"/>
    <x v="4"/>
    <d v="2025-01-24T00:00:00"/>
    <s v="Delivered"/>
    <s v="Online"/>
    <s v="ST009"/>
    <x v="7"/>
    <x v="0"/>
    <s v="Portland"/>
    <s v="OR"/>
    <s v="West"/>
    <x v="1"/>
    <s v="Sarah Williams"/>
    <s v="sarah.williams@urbancart.com"/>
    <d v="2023-02-25T00:00:00"/>
    <s v="P038"/>
    <x v="8"/>
    <x v="1"/>
    <s v="Outerwear"/>
    <s v="FashionFit"/>
    <s v="WearCo"/>
    <n v="180"/>
    <n v="95"/>
    <n v="1.5"/>
    <s v="Black"/>
    <s v="L"/>
    <n v="25"/>
    <n v="5"/>
    <n v="4"/>
    <n v="1"/>
    <n v="0.2"/>
    <n v="0.06"/>
    <n v="15"/>
    <s v="Credit Card"/>
    <s v="Individual"/>
    <s v="C009"/>
    <s v="Bronze"/>
    <s v="REP013"/>
    <s v="Not Returned"/>
    <s v="Size Issue"/>
    <n v="36"/>
    <n v="-0.18989645145322676"/>
    <n v="95"/>
    <n v="180"/>
    <n v="0.36"/>
    <n v="64.8"/>
    <n v="3.8879999999999998E-2"/>
    <x v="7"/>
    <s v="Delivered"/>
    <n v="5"/>
    <s v="No"/>
    <s v="No"/>
    <n v="0"/>
    <s v="PROMO25"/>
    <s v="Clearance"/>
    <s v="WH03"/>
    <s v="In Stock"/>
    <s v="Clean"/>
  </r>
  <r>
    <s v="ORD010"/>
    <x v="5"/>
    <d v="2025-01-23T00:00:00"/>
    <s v="Delivered"/>
    <s v="In-Store"/>
    <s v="ST010"/>
    <x v="8"/>
    <x v="3"/>
    <s v="Detroit"/>
    <s v="MI"/>
    <s v="Central"/>
    <x v="1"/>
    <s v="Patricia Miller"/>
    <s v="patricia.miller@urbancart.com"/>
    <d v="2022-11-30T00:00:00"/>
    <s v="P007"/>
    <x v="9"/>
    <x v="0"/>
    <s v="Accessories"/>
    <s v="LogiTech"/>
    <s v="TechDistro"/>
    <n v="45"/>
    <n v="23"/>
    <n v="0.15"/>
    <s v="Black"/>
    <s v="N/A"/>
    <n v="150"/>
    <n v="30"/>
    <n v="1"/>
    <n v="4"/>
    <n v="0"/>
    <n v="0.05"/>
    <n v="5"/>
    <s v="Cash"/>
    <s v="Corporate"/>
    <s v="C010"/>
    <s v="Gold"/>
    <s v="REP014"/>
    <s v="Not Returned"/>
    <s v="N/A"/>
    <n v="0"/>
    <n v="-17.399999999999999"/>
    <n v="92"/>
    <n v="180"/>
    <n v="0"/>
    <n v="0"/>
    <n v="0"/>
    <x v="8"/>
    <s v="Delivered"/>
    <n v="3"/>
    <s v="No"/>
    <s v="No"/>
    <n v="0"/>
    <s v="PROMO05"/>
    <s v="BulkDiscount"/>
    <s v="WH01"/>
    <s v="In Stock"/>
    <s v="Clean"/>
  </r>
  <r>
    <s v="ORD011"/>
    <x v="5"/>
    <d v="2025-01-25T00:00:00"/>
    <s v="Pending"/>
    <s v="Online"/>
    <s v="ST011"/>
    <x v="9"/>
    <x v="3"/>
    <s v="Columbus"/>
    <s v="OH"/>
    <s v="Central"/>
    <x v="1"/>
    <s v="James Wilson"/>
    <s v="james.wilson@urbancart.com"/>
    <d v="2023-04-17T00:00:00"/>
    <s v="P026"/>
    <x v="10"/>
    <x v="2"/>
    <s v="Lighting"/>
    <s v="LumiHome"/>
    <s v="HomeGoods"/>
    <n v="65"/>
    <n v="34"/>
    <n v="1.2"/>
    <s v="White"/>
    <s v="N/A"/>
    <n v="35"/>
    <n v="10"/>
    <n v="2"/>
    <n v="1"/>
    <n v="0.05"/>
    <n v="0.05"/>
    <n v="8"/>
    <s v="PayPal"/>
    <s v="Individual"/>
    <s v="C011"/>
    <s v="Bronze"/>
    <s v="REP015"/>
    <s v="Not Returned"/>
    <s v="N/A"/>
    <n v="0"/>
    <n v="-2.3618243829908989"/>
    <n v="34"/>
    <n v="65"/>
    <n v="3.2500000000000001E-2"/>
    <n v="2.1125000000000003"/>
    <n v="1.0562500000000001E-3"/>
    <x v="9"/>
    <s v="Pending"/>
    <n v="5"/>
    <s v="No"/>
    <s v="No"/>
    <n v="0"/>
    <s v="PROMO10"/>
    <s v="N/A"/>
    <s v="WH02"/>
    <s v="Low Stock"/>
    <s v="Clean"/>
  </r>
  <r>
    <s v="ORD012"/>
    <x v="6"/>
    <d v="2025-01-24T00:00:00"/>
    <s v="Delivered"/>
    <s v="In-Store"/>
    <s v="ST012"/>
    <x v="1"/>
    <x v="1"/>
    <s v="Austin"/>
    <s v="TX"/>
    <s v="South"/>
    <x v="1"/>
    <s v="Lisa Rodriguez"/>
    <s v="lisa.rodriguez@urbancart.com"/>
    <d v="2021-06-15T00:00:00"/>
    <s v="P015"/>
    <x v="11"/>
    <x v="5"/>
    <s v="Bags"/>
    <s v="CarryAll"/>
    <s v="AccessoryCo"/>
    <n v="75"/>
    <n v="38"/>
    <n v="0.8"/>
    <s v="Blue"/>
    <s v="N/A"/>
    <n v="60"/>
    <n v="15"/>
    <n v="2"/>
    <n v="2"/>
    <n v="0"/>
    <n v="0.06"/>
    <n v="5"/>
    <s v="Credit Card"/>
    <s v="Individual"/>
    <s v="C012"/>
    <s v="Silver"/>
    <s v="REP016"/>
    <s v="Not Returned"/>
    <s v="N/A"/>
    <n v="0"/>
    <n v="-14.2"/>
    <n v="76"/>
    <n v="150"/>
    <n v="0"/>
    <n v="0"/>
    <n v="0"/>
    <x v="8"/>
    <s v="Delivered"/>
    <n v="3"/>
    <s v="No"/>
    <s v="No"/>
    <n v="0"/>
    <s v="N/A"/>
    <s v="N/A"/>
    <s v="WH03"/>
    <s v="In Stock"/>
    <s v="Clean"/>
  </r>
  <r>
    <s v="ORD013"/>
    <x v="6"/>
    <d v="2025-01-26T00:00:00"/>
    <s v="Shipped"/>
    <s v="Online"/>
    <s v="ST013"/>
    <x v="3"/>
    <x v="0"/>
    <s v="Seattle"/>
    <s v="WA"/>
    <s v="West"/>
    <x v="1"/>
    <s v="Jennifer Wong"/>
    <s v="jennifer.wong@urbancart.com"/>
    <d v="2020-11-05T00:00:00"/>
    <s v="P042"/>
    <x v="12"/>
    <x v="3"/>
    <s v="Accessories"/>
    <s v="HydratePro"/>
    <s v="SportsInc"/>
    <n v="22"/>
    <n v="10"/>
    <n v="0.3"/>
    <s v="Blue"/>
    <s v="N/A"/>
    <n v="200"/>
    <n v="40"/>
    <n v="1"/>
    <n v="6"/>
    <n v="0"/>
    <n v="0.05"/>
    <n v="8"/>
    <s v="Debit Card"/>
    <s v="Corporate"/>
    <s v="C013"/>
    <s v="Gold"/>
    <s v="REP017"/>
    <s v="Not Returned"/>
    <s v="N/A"/>
    <n v="0"/>
    <n v="-6.5"/>
    <n v="60"/>
    <n v="132"/>
    <n v="0"/>
    <n v="0"/>
    <n v="0"/>
    <x v="1"/>
    <s v="Shipped"/>
    <n v="5"/>
    <s v="No"/>
    <s v="No"/>
    <n v="0"/>
    <s v="PROMO05"/>
    <s v="BulkDiscount"/>
    <s v="WH04"/>
    <s v="In Stock"/>
    <s v="Clean"/>
  </r>
  <r>
    <s v="ORD014"/>
    <x v="7"/>
    <d v="2025-01-25T00:00:00"/>
    <s v="Delivered"/>
    <s v="In-Store"/>
    <s v="ST014"/>
    <x v="4"/>
    <x v="2"/>
    <s v="Boston"/>
    <s v="MA"/>
    <s v="East"/>
    <x v="0"/>
    <s v="David Kim"/>
    <s v="david.kim@urbancart.com"/>
    <d v="2019-02-12T00:00:00"/>
    <s v="P002"/>
    <x v="13"/>
    <x v="0"/>
    <s v="Computers"/>
    <s v="TechBrand"/>
    <s v="InfiniteSys"/>
    <n v="650"/>
    <n v="390"/>
    <n v="0.7"/>
    <s v="Space Gray"/>
    <s v="11-inch"/>
    <n v="25"/>
    <n v="5"/>
    <n v="2"/>
    <n v="1"/>
    <n v="0"/>
    <n v="7.0000000000000007E-2"/>
    <n v="12"/>
    <s v="Bank Transfer"/>
    <s v="Corporate"/>
    <s v="C014"/>
    <s v="Platinum"/>
    <s v="REP018"/>
    <s v="Not Returned"/>
    <s v="N/A"/>
    <n v="0"/>
    <n v="-31.5"/>
    <n v="390"/>
    <n v="650"/>
    <n v="0"/>
    <n v="0"/>
    <n v="0"/>
    <x v="10"/>
    <s v="Delivered"/>
    <n v="3"/>
    <s v="Yes"/>
    <s v="No"/>
    <n v="0"/>
    <s v="PROMO15"/>
    <s v="NewYear"/>
    <s v="WH01"/>
    <s v="In Stock"/>
    <s v="Clean"/>
  </r>
  <r>
    <s v="ORD015"/>
    <x v="7"/>
    <d v="2025-01-27T00:00:00"/>
    <s v="Cancelled"/>
    <s v="Online"/>
    <s v="ST015"/>
    <x v="2"/>
    <x v="1"/>
    <s v="Miami"/>
    <s v="FL"/>
    <s v="South"/>
    <x v="1"/>
    <s v="Carlos Mendez"/>
    <s v="carlos.mendez@urbancart.com"/>
    <d v="2022-09-10T00:00:00"/>
    <s v="P034"/>
    <x v="14"/>
    <x v="6"/>
    <s v="Beauty"/>
    <s v="StylePro"/>
    <s v="BeautyCo"/>
    <n v="55"/>
    <n v="30"/>
    <n v="1.1000000000000001"/>
    <s v="Pink"/>
    <s v="N/A"/>
    <n v="30"/>
    <n v="8"/>
    <n v="2"/>
    <n v="1"/>
    <n v="0"/>
    <n v="0.06"/>
    <n v="8"/>
    <s v="Credit Card"/>
    <s v="Individual"/>
    <s v="C015"/>
    <s v="Silver"/>
    <s v="REP019"/>
    <s v="Cancelled"/>
    <s v="Customer Request"/>
    <n v="0"/>
    <n v="-2.75"/>
    <n v="30"/>
    <n v="55"/>
    <n v="0"/>
    <n v="0"/>
    <n v="0"/>
    <x v="1"/>
    <s v="Cancelled"/>
    <n v="5"/>
    <s v="No"/>
    <s v="No"/>
    <n v="0"/>
    <s v="N/A"/>
    <s v="N/A"/>
    <s v="WH02"/>
    <s v="Out of Stock"/>
    <s v="Dirty"/>
  </r>
  <r>
    <s v="ORD016"/>
    <x v="8"/>
    <d v="2025-01-26T00:00:00"/>
    <s v="Delivered"/>
    <s v="In-Store"/>
    <s v="ST016"/>
    <x v="0"/>
    <x v="0"/>
    <s v="Phoenix"/>
    <s v="AZ"/>
    <s v="West"/>
    <x v="0"/>
    <s v="Michael Chen"/>
    <s v="michael.chen@urbancart.com"/>
    <d v="2020-03-01T00:00:00"/>
    <s v="P048"/>
    <x v="15"/>
    <x v="3"/>
    <s v="Equipment"/>
    <s v="CardioMax"/>
    <s v="FitnessInc"/>
    <n v="1400"/>
    <n v="840"/>
    <n v="45"/>
    <s v="Black"/>
    <s v="N/A"/>
    <n v="8"/>
    <n v="2"/>
    <n v="7"/>
    <n v="1"/>
    <n v="0.1"/>
    <n v="7.0000000000000007E-2"/>
    <n v="50"/>
    <s v="Credit Card"/>
    <s v="Corporate"/>
    <s v="C016"/>
    <s v="Platinum"/>
    <s v="REP020"/>
    <s v="Not Returned"/>
    <s v="N/A"/>
    <n v="0"/>
    <n v="0.58237461792249279"/>
    <n v="840"/>
    <n v="1400"/>
    <n v="1.4000000000000001"/>
    <n v="1960.0000000000002"/>
    <n v="1.3720000000000003"/>
    <x v="11"/>
    <s v="Delivered"/>
    <n v="3"/>
    <s v="Yes"/>
    <s v="No"/>
    <n v="0"/>
    <s v="PROMO20"/>
    <s v="FurnitureSale"/>
    <s v="WH04"/>
    <s v="In Stock"/>
    <s v="Clean"/>
  </r>
  <r>
    <s v="ORD017"/>
    <x v="8"/>
    <d v="2025-01-28T00:00:00"/>
    <s v="Delivered"/>
    <s v="Online"/>
    <s v="ST017"/>
    <x v="5"/>
    <x v="3"/>
    <s v="Chicago"/>
    <s v="IL"/>
    <s v="Central"/>
    <x v="0"/>
    <s v="Robert Johnson"/>
    <s v="robert.johnson@urbancart.com"/>
    <d v="2018-08-20T00:00:00"/>
    <s v="P010"/>
    <x v="16"/>
    <x v="7"/>
    <s v="Fiction"/>
    <s v="ReadWell"/>
    <s v="BookDistro"/>
    <n v="45"/>
    <n v="22"/>
    <n v="1.2"/>
    <m/>
    <s v="N/A"/>
    <n v="80"/>
    <n v="20"/>
    <n v="2"/>
    <n v="3"/>
    <n v="0.05"/>
    <n v="0.04"/>
    <n v="5"/>
    <s v="PayPal"/>
    <s v="Individual"/>
    <s v="C017"/>
    <s v="Bronze"/>
    <s v="REP021"/>
    <s v="Not Returned"/>
    <s v="N/A"/>
    <n v="0"/>
    <n v="-3.6754974534478069"/>
    <n v="66"/>
    <n v="135"/>
    <n v="6.7500000000000004E-2"/>
    <n v="9.1125000000000007"/>
    <n v="3.6450000000000007E-3"/>
    <x v="12"/>
    <s v="Delivered"/>
    <n v="5"/>
    <s v="No"/>
    <s v="No"/>
    <n v="0"/>
    <s v="PROMO10"/>
    <s v="Winter Sale"/>
    <s v="WH06"/>
    <s v="In Stock"/>
    <s v="Clean"/>
  </r>
  <r>
    <s v="ORD018"/>
    <x v="9"/>
    <d v="2025-01-27T00:00:00"/>
    <s v="Delivered"/>
    <s v="In-Store"/>
    <s v="ST018"/>
    <x v="10"/>
    <x v="0"/>
    <s v="Denver"/>
    <s v="CO"/>
    <s v="West"/>
    <x v="1"/>
    <s v="Amanda Martinez"/>
    <s v="amanda.martinez@urbancart.com"/>
    <d v="2022-07-03T00:00:00"/>
    <s v="P021"/>
    <x v="17"/>
    <x v="3"/>
    <s v="Accessories"/>
    <s v="FlexFit"/>
    <s v="SportsInc"/>
    <n v="12"/>
    <n v="6"/>
    <n v="0.2"/>
    <s v="Purple"/>
    <s v="N/A"/>
    <n v="150"/>
    <n v="30"/>
    <n v="1"/>
    <n v="10"/>
    <n v="0"/>
    <n v="0.05"/>
    <n v="0"/>
    <s v="Cash"/>
    <s v="Individual"/>
    <s v="C018"/>
    <s v="Bronze"/>
    <s v="REP022"/>
    <s v="Not Returned"/>
    <s v="N/A"/>
    <n v="0"/>
    <n v="0"/>
    <n v="60"/>
    <n v="120"/>
    <n v="0"/>
    <n v="0"/>
    <n v="0"/>
    <x v="13"/>
    <s v="Delivered"/>
    <n v="3"/>
    <s v="No"/>
    <s v="Yes"/>
    <n v="0.05"/>
    <s v="PROMO05"/>
    <s v="BulkDiscount"/>
    <s v="WH04"/>
    <s v="In Stock"/>
    <s v="Clean"/>
  </r>
  <r>
    <s v="ORD019"/>
    <x v="9"/>
    <d v="2025-01-29T00:00:00"/>
    <s v="Pending"/>
    <s v="Online"/>
    <s v="ST019"/>
    <x v="6"/>
    <x v="1"/>
    <s v="Houston"/>
    <s v="TX"/>
    <s v="South"/>
    <x v="1"/>
    <s v="Thomas Brown"/>
    <s v="thomas.brown@urbancart.com"/>
    <d v="2021-04-14T00:00:00"/>
    <s v="P036"/>
    <x v="18"/>
    <x v="4"/>
    <s v="Dining"/>
    <s v="HomeStyle"/>
    <s v="FurnitureCo"/>
    <n v="550"/>
    <n v="330"/>
    <n v="35"/>
    <s v="Wood"/>
    <s v="N/A"/>
    <n v="12"/>
    <n v="3"/>
    <n v="6"/>
    <n v="1"/>
    <n v="0.05"/>
    <n v="7.0000000000000007E-2"/>
    <n v="40"/>
    <s v="Credit Card"/>
    <s v="Corporate"/>
    <s v="C019"/>
    <s v="Gold"/>
    <s v="REP023"/>
    <s v="Not Returned"/>
    <s v="N/A"/>
    <n v="0"/>
    <n v="-0.7245355022415696"/>
    <n v="330"/>
    <n v="550"/>
    <n v="0.27500000000000002"/>
    <n v="151.25"/>
    <n v="0.10587500000000001"/>
    <x v="14"/>
    <s v="Pending"/>
    <n v="5"/>
    <s v="No"/>
    <s v="No"/>
    <n v="0"/>
    <s v="N/A"/>
    <s v="N/A"/>
    <s v="WH05"/>
    <s v="In Stock"/>
    <s v="Clean"/>
  </r>
  <r>
    <s v="ORD020"/>
    <x v="10"/>
    <d v="2025-01-28T00:00:00"/>
    <s v="Delivered"/>
    <s v="In-Store"/>
    <s v="ST020"/>
    <x v="7"/>
    <x v="0"/>
    <s v="Portland"/>
    <s v="OR"/>
    <s v="West"/>
    <x v="1"/>
    <s v="Sarah Williams"/>
    <s v="sarah.williams@urbancart.com"/>
    <d v="2023-02-25T00:00:00"/>
    <s v="P005"/>
    <x v="19"/>
    <x v="0"/>
    <s v="Gaming"/>
    <s v="Razer"/>
    <s v="GamerGear"/>
    <n v="80"/>
    <n v="44"/>
    <n v="0.25"/>
    <s v="Black"/>
    <s v="N/A"/>
    <n v="40"/>
    <n v="10"/>
    <n v="2"/>
    <n v="2"/>
    <n v="0"/>
    <n v="0.05"/>
    <n v="5"/>
    <s v="Debit Card"/>
    <s v="Individual"/>
    <s v="C020"/>
    <s v="Bronze"/>
    <s v="REP024"/>
    <s v="Not Returned"/>
    <s v="N/A"/>
    <n v="0"/>
    <n v="-16.600000000000001"/>
    <n v="88"/>
    <n v="160"/>
    <n v="0"/>
    <n v="0"/>
    <n v="0"/>
    <x v="8"/>
    <s v="Delivered"/>
    <n v="3"/>
    <s v="No"/>
    <s v="No"/>
    <n v="0"/>
    <s v="N/A"/>
    <s v="N/A"/>
    <s v="WH01"/>
    <s v="In Stock"/>
    <s v="Clean"/>
  </r>
  <r>
    <s v="ORD021"/>
    <x v="10"/>
    <d v="2025-01-30T00:00:00"/>
    <s v="Shipped"/>
    <s v="Online"/>
    <s v="ST021"/>
    <x v="8"/>
    <x v="3"/>
    <s v="Detroit"/>
    <s v="MI"/>
    <s v="Central"/>
    <x v="1"/>
    <s v="Patricia Miller"/>
    <s v="patricia.miller@urbancart.com"/>
    <d v="2022-11-30T00:00:00"/>
    <s v="P051"/>
    <x v="20"/>
    <x v="3"/>
    <s v="Supplements"/>
    <s v="GainWell"/>
    <s v="HealthInc"/>
    <n v="60"/>
    <n v="33"/>
    <n v="1.2"/>
    <s v="Chocolate"/>
    <s v="N/A"/>
    <n v="45"/>
    <n v="10"/>
    <n v="2"/>
    <n v="2"/>
    <n v="0"/>
    <n v="0.05"/>
    <n v="5"/>
    <s v="PayPal"/>
    <s v="Individual"/>
    <s v="C021"/>
    <s v="Silver"/>
    <s v="REP025"/>
    <s v="Not Returned"/>
    <s v="N/A"/>
    <n v="0"/>
    <n v="-12.2"/>
    <n v="66"/>
    <n v="120"/>
    <n v="0"/>
    <n v="0"/>
    <n v="0"/>
    <x v="8"/>
    <s v="Shipped"/>
    <n v="5"/>
    <s v="No"/>
    <s v="No"/>
    <n v="0"/>
    <s v="N/A"/>
    <s v="N/A"/>
    <s v="WH04"/>
    <s v="In Stock"/>
    <s v="Clean"/>
  </r>
  <r>
    <s v="ORD022"/>
    <x v="11"/>
    <d v="2025-01-29T00:00:00"/>
    <s v="Delivered"/>
    <s v="In-Store"/>
    <s v="ST022"/>
    <x v="9"/>
    <x v="3"/>
    <s v="Columbus"/>
    <s v="OH"/>
    <s v="Central"/>
    <x v="1"/>
    <s v="James Wilson"/>
    <s v="james.wilson@urbancart.com"/>
    <d v="2023-04-17T00:00:00"/>
    <s v="P017"/>
    <x v="21"/>
    <x v="0"/>
    <s v="Home Theater"/>
    <s v="Samsung"/>
    <s v="ElectroDistro"/>
    <n v="800"/>
    <n v="480"/>
    <n v="15"/>
    <s v="Black"/>
    <s v="55-inch"/>
    <n v="15"/>
    <n v="4"/>
    <n v="4"/>
    <n v="1"/>
    <n v="0.2"/>
    <n v="7.0000000000000007E-2"/>
    <n v="50"/>
    <s v="Credit Card"/>
    <s v="Corporate"/>
    <s v="C022"/>
    <s v="Platinum"/>
    <s v="REP026"/>
    <s v="Not Returned"/>
    <s v="N/A"/>
    <n v="0"/>
    <n v="0.63934071482670318"/>
    <n v="480"/>
    <n v="800"/>
    <n v="1.6"/>
    <n v="1280"/>
    <n v="0.89600000000000013"/>
    <x v="15"/>
    <s v="Delivered"/>
    <n v="3"/>
    <s v="Yes"/>
    <s v="No"/>
    <n v="0"/>
    <s v="PROMO25"/>
    <s v="Clearance"/>
    <s v="WH01"/>
    <s v="In Stock"/>
    <s v="Clean"/>
  </r>
  <r>
    <s v="ORD023"/>
    <x v="11"/>
    <d v="2025-01-31T00:00:00"/>
    <s v="Delivered"/>
    <s v="Online"/>
    <s v="ST023"/>
    <x v="1"/>
    <x v="1"/>
    <s v="Austin"/>
    <s v="TX"/>
    <s v="South"/>
    <x v="1"/>
    <s v="Lisa Rodriguez"/>
    <s v="lisa.rodriguez@urbancart.com"/>
    <d v="2021-06-15T00:00:00"/>
    <s v="P029"/>
    <x v="22"/>
    <x v="0"/>
    <s v="Audio"/>
    <s v="SoundCo"/>
    <s v="TechDistro"/>
    <n v="95"/>
    <n v="52"/>
    <n v="0.8"/>
    <s v="Black"/>
    <s v="N/A"/>
    <n v="35"/>
    <n v="8"/>
    <n v="2"/>
    <n v="1"/>
    <n v="0"/>
    <n v="0.06"/>
    <n v="8"/>
    <s v="Bank Transfer"/>
    <s v="Individual"/>
    <s v="C023"/>
    <s v="Silver"/>
    <s v="REP027"/>
    <s v="Not Returned"/>
    <s v="N/A"/>
    <n v="0"/>
    <n v="-5.5"/>
    <n v="52"/>
    <n v="95"/>
    <n v="0"/>
    <n v="0"/>
    <n v="0"/>
    <x v="1"/>
    <s v="Delivered"/>
    <n v="5"/>
    <s v="No"/>
    <s v="No"/>
    <n v="0"/>
    <s v="PROMO10"/>
    <s v="N/A"/>
    <s v="WH01"/>
    <s v="Low Stock"/>
    <s v="Clean"/>
  </r>
  <r>
    <s v="ORD024"/>
    <x v="12"/>
    <d v="2025-01-30T00:00:00"/>
    <s v="Delivered"/>
    <s v="In-Store"/>
    <s v="ST024"/>
    <x v="3"/>
    <x v="0"/>
    <s v="Seattle"/>
    <s v="WA"/>
    <s v="West"/>
    <x v="1"/>
    <s v="Jennifer Wong"/>
    <s v="jennifer.wong@urbancart.com"/>
    <d v="2020-11-05T00:00:00"/>
    <s v="P040"/>
    <x v="23"/>
    <x v="1"/>
    <s v="Clothing"/>
    <s v="FashionFit"/>
    <s v="TextileCo"/>
    <n v="45"/>
    <n v="23"/>
    <n v="0.6"/>
    <s v="Gray"/>
    <s v="L"/>
    <n v="80"/>
    <n v="20"/>
    <n v="2"/>
    <n v="3"/>
    <n v="0"/>
    <n v="0.05"/>
    <n v="5"/>
    <s v="Cash"/>
    <s v="Individual"/>
    <s v="C024"/>
    <s v="Gold"/>
    <s v="REP028"/>
    <s v="Not Returned"/>
    <s v="N/A"/>
    <n v="0"/>
    <n v="-12.8"/>
    <n v="69"/>
    <n v="135"/>
    <n v="0"/>
    <n v="0"/>
    <n v="0"/>
    <x v="8"/>
    <s v="Delivered"/>
    <n v="3"/>
    <s v="No"/>
    <s v="No"/>
    <n v="0"/>
    <s v="N/A"/>
    <s v="N/A"/>
    <s v="WH03"/>
    <s v="In Stock"/>
    <s v="Clean"/>
  </r>
  <r>
    <s v="ORD025"/>
    <x v="12"/>
    <d v="2025-02-01T00:00:00"/>
    <s v="Pending"/>
    <s v="Online"/>
    <s v="ST025"/>
    <x v="4"/>
    <x v="2"/>
    <s v="Boston"/>
    <s v="MA"/>
    <s v="East"/>
    <x v="0"/>
    <s v="David Kim"/>
    <s v="david.kim@urbancart.com"/>
    <d v="2019-02-12T00:00:00"/>
    <s v="P057"/>
    <x v="24"/>
    <x v="3"/>
    <s v="Equipment"/>
    <s v="StrengthPro"/>
    <s v="SportsInc"/>
    <n v="150"/>
    <n v="83"/>
    <n v="20"/>
    <s v="Black"/>
    <s v="20lb"/>
    <n v="20"/>
    <n v="5"/>
    <n v="3"/>
    <n v="1"/>
    <n v="0"/>
    <n v="0.06"/>
    <n v="15"/>
    <s v="Credit Card"/>
    <s v="Corporate"/>
    <s v="C025"/>
    <s v="Platinum"/>
    <s v="REP029"/>
    <s v="Not Returned"/>
    <s v="N/A"/>
    <n v="0"/>
    <n v="-4.5333333333333332"/>
    <n v="83"/>
    <n v="150"/>
    <n v="0"/>
    <n v="0"/>
    <n v="0"/>
    <x v="16"/>
    <s v="Pending"/>
    <n v="5"/>
    <s v="Yes"/>
    <s v="No"/>
    <n v="0"/>
    <s v="N/A"/>
    <s v="N/A"/>
    <s v="WH04"/>
    <s v="In Stock"/>
    <s v="Clean"/>
  </r>
  <r>
    <s v="ORD026"/>
    <x v="13"/>
    <d v="2025-01-31T00:00:00"/>
    <s v="Delivered"/>
    <s v="In-Store"/>
    <s v="ST026"/>
    <x v="2"/>
    <x v="1"/>
    <s v="Miami"/>
    <s v="FL"/>
    <s v="South"/>
    <x v="1"/>
    <s v="Carlos Mendez"/>
    <s v="carlos.mendez@urbancart.com"/>
    <d v="2022-09-10T00:00:00"/>
    <s v="P014"/>
    <x v="25"/>
    <x v="2"/>
    <s v="Kitchen"/>
    <s v="MasterChef"/>
    <s v="HomeGoods"/>
    <n v="150"/>
    <n v="83"/>
    <n v="5.5"/>
    <s v="Stainless"/>
    <s v="N/A"/>
    <n v="25"/>
    <n v="6"/>
    <n v="3"/>
    <n v="1"/>
    <n v="0.05"/>
    <n v="0.06"/>
    <n v="12"/>
    <s v="Debit Card"/>
    <s v="Individual"/>
    <s v="C026"/>
    <s v="Silver"/>
    <s v="REP030"/>
    <s v="Returned"/>
    <s v="Damaged"/>
    <n v="15"/>
    <n v="-2.5688563535317703"/>
    <n v="83"/>
    <n v="150"/>
    <n v="7.4999999999999997E-2"/>
    <n v="11.25"/>
    <n v="6.7499999999999991E-3"/>
    <x v="17"/>
    <s v="Delivered"/>
    <n v="3"/>
    <s v="No"/>
    <s v="No"/>
    <n v="0"/>
    <s v="PROMO15"/>
    <s v="NewYear"/>
    <s v="WH02"/>
    <s v="In Stock"/>
    <s v="Clean"/>
  </r>
  <r>
    <s v="ORD027"/>
    <x v="13"/>
    <d v="2025-02-02T00:00:00"/>
    <s v="Delivered"/>
    <s v="Online"/>
    <s v="ST027"/>
    <x v="0"/>
    <x v="0"/>
    <s v="Phoenix"/>
    <s v="AZ"/>
    <s v="West"/>
    <x v="0"/>
    <s v="Michael Chen"/>
    <s v="michael.chen@urbancart.com"/>
    <d v="2020-03-01T00:00:00"/>
    <s v="P049"/>
    <x v="26"/>
    <x v="8"/>
    <s v="Accessories"/>
    <s v="OfficePro"/>
    <s v="OfficeSupply"/>
    <n v="28"/>
    <n v="14"/>
    <n v="0.5"/>
    <s v="Black"/>
    <s v="N/A"/>
    <n v="100"/>
    <n v="25"/>
    <n v="1"/>
    <n v="5"/>
    <n v="0"/>
    <n v="0.05"/>
    <n v="4"/>
    <s v="PayPal"/>
    <s v="Individual"/>
    <s v="C027"/>
    <s v="Bronze"/>
    <s v="REP031"/>
    <s v="Not Returned"/>
    <s v="N/A"/>
    <n v="0"/>
    <n v="-16.5"/>
    <n v="70"/>
    <n v="140"/>
    <n v="0"/>
    <n v="0"/>
    <n v="0"/>
    <x v="18"/>
    <s v="Delivered"/>
    <n v="5"/>
    <s v="No"/>
    <s v="No"/>
    <n v="0"/>
    <s v="PROMO05"/>
    <s v="BulkDiscount"/>
    <s v="WH05"/>
    <s v="In Stock"/>
    <s v="Clean"/>
  </r>
  <r>
    <s v="ORD028"/>
    <x v="14"/>
    <d v="2025-02-01T00:00:00"/>
    <s v="Delivered"/>
    <s v="In-Store"/>
    <s v="ST028"/>
    <x v="5"/>
    <x v="3"/>
    <s v="Chicago"/>
    <s v="IL"/>
    <s v="Central"/>
    <x v="0"/>
    <s v="Robert Johnson"/>
    <s v="robert.johnson@urbancart.com"/>
    <d v="2018-08-20T00:00:00"/>
    <s v="P025"/>
    <x v="27"/>
    <x v="2"/>
    <s v="Appliances"/>
    <s v="HeatFast"/>
    <s v="HomeGoods"/>
    <n v="45"/>
    <n v="24"/>
    <n v="1.2"/>
    <s v="White"/>
    <s v="N/A"/>
    <n v="40"/>
    <n v="10"/>
    <n v="2"/>
    <n v="2"/>
    <n v="0"/>
    <n v="0.05"/>
    <n v="6"/>
    <s v="Credit Card"/>
    <s v="Individual"/>
    <s v="C028"/>
    <s v="Bronze"/>
    <s v="REP032"/>
    <s v="Not Returned"/>
    <s v="N/A"/>
    <n v="0"/>
    <n v="-7"/>
    <n v="48"/>
    <n v="90"/>
    <n v="0"/>
    <n v="0"/>
    <n v="0"/>
    <x v="19"/>
    <s v="Delivered"/>
    <n v="3"/>
    <s v="No"/>
    <s v="No"/>
    <n v="0"/>
    <s v="N/A"/>
    <s v="N/A"/>
    <s v="WH02"/>
    <s v="In Stock"/>
    <s v="Clean"/>
  </r>
  <r>
    <s v="ORD029"/>
    <x v="14"/>
    <d v="2025-02-03T00:00:00"/>
    <s v="Shipped"/>
    <s v="Online"/>
    <s v="ST029"/>
    <x v="10"/>
    <x v="0"/>
    <s v="Denver"/>
    <s v="CO"/>
    <s v="West"/>
    <x v="1"/>
    <s v="Amanda Martinez"/>
    <s v="amanda.martinez@urbancart.com"/>
    <d v="2022-07-03T00:00:00"/>
    <s v="P059"/>
    <x v="28"/>
    <x v="3"/>
    <s v="Accessories"/>
    <s v="FlexFit"/>
    <s v="SportsInc"/>
    <n v="25"/>
    <n v="13"/>
    <n v="0.5"/>
    <s v="Green"/>
    <s v="N/A"/>
    <n v="70"/>
    <n v="15"/>
    <n v="1"/>
    <n v="3"/>
    <n v="0"/>
    <n v="0.05"/>
    <n v="3"/>
    <s v="Debit Card"/>
    <s v="Individual"/>
    <s v="C029"/>
    <s v="Bronze"/>
    <s v="REP033"/>
    <s v="Not Returned"/>
    <s v="N/A"/>
    <n v="0"/>
    <n v="-12"/>
    <n v="39"/>
    <n v="75"/>
    <n v="0"/>
    <n v="0"/>
    <n v="0"/>
    <x v="20"/>
    <s v="Shipped"/>
    <n v="5"/>
    <s v="No"/>
    <s v="No"/>
    <n v="0"/>
    <s v="N/A"/>
    <s v="N/A"/>
    <s v="WH04"/>
    <s v="In Stock"/>
    <s v="Clean"/>
  </r>
  <r>
    <s v="ORD030"/>
    <x v="15"/>
    <d v="2025-02-02T00:00:00"/>
    <s v="Delivered"/>
    <s v="In-Store"/>
    <s v="ST030"/>
    <x v="6"/>
    <x v="1"/>
    <s v="Houston"/>
    <s v="TX"/>
    <s v="South"/>
    <x v="1"/>
    <s v="Thomas Brown"/>
    <s v="thomas.brown@urbancart.com"/>
    <d v="2021-04-14T00:00:00"/>
    <s v="P009"/>
    <x v="29"/>
    <x v="0"/>
    <s v="Office"/>
    <s v="PrintMaster"/>
    <s v="OfficeSupply"/>
    <n v="220"/>
    <n v="132"/>
    <n v="8.5"/>
    <s v="Black"/>
    <s v="N/A"/>
    <n v="18"/>
    <n v="4"/>
    <n v="3"/>
    <n v="1"/>
    <n v="0"/>
    <n v="7.0000000000000007E-2"/>
    <n v="15"/>
    <s v="Bank Transfer"/>
    <s v="Corporate"/>
    <s v="C030"/>
    <s v="Gold"/>
    <s v="REP034"/>
    <s v="Not Returned"/>
    <s v="N/A"/>
    <n v="0"/>
    <n v="-7.8"/>
    <n v="132"/>
    <n v="220"/>
    <n v="0"/>
    <n v="0"/>
    <n v="0"/>
    <x v="16"/>
    <s v="Delivered"/>
    <n v="3"/>
    <s v="No"/>
    <s v="No"/>
    <n v="0"/>
    <s v="PROMO10"/>
    <s v="Winter Sale"/>
    <s v="WH01"/>
    <s v="In Stock"/>
    <s v="Clean"/>
  </r>
  <r>
    <s v="ORD031"/>
    <x v="15"/>
    <d v="2025-02-04T00:00:00"/>
    <s v="Delivered"/>
    <s v="Online"/>
    <s v="ST031"/>
    <x v="7"/>
    <x v="0"/>
    <s v="Portland"/>
    <s v="OR"/>
    <s v="West"/>
    <x v="1"/>
    <s v="Sarah Williams"/>
    <s v="sarah.williams@urbancart.com"/>
    <d v="2023-02-25T00:00:00"/>
    <s v="P032"/>
    <x v="30"/>
    <x v="1"/>
    <s v="Clothing"/>
    <s v="FashionFit"/>
    <s v="TextileCo"/>
    <n v="60"/>
    <n v="31"/>
    <n v="0.7"/>
    <s v="Blue"/>
    <n v="32"/>
    <n v="55"/>
    <n v="12"/>
    <n v="2"/>
    <n v="2"/>
    <n v="0.1"/>
    <n v="0.05"/>
    <n v="7"/>
    <s v="Credit Card"/>
    <s v="Individual"/>
    <s v="C031"/>
    <s v="Silver"/>
    <s v="REP035"/>
    <s v="Not Returned"/>
    <s v="N/A"/>
    <n v="0"/>
    <n v="-1.8962218319070225"/>
    <n v="62"/>
    <n v="120"/>
    <n v="0.12"/>
    <n v="14.399999999999999"/>
    <n v="7.1999999999999998E-3"/>
    <x v="21"/>
    <s v="Delivered"/>
    <n v="5"/>
    <s v="No"/>
    <s v="No"/>
    <n v="0"/>
    <s v="PROMO20"/>
    <s v="N/A"/>
    <s v="WH03"/>
    <s v="In Stock"/>
    <s v="Clean"/>
  </r>
  <r>
    <s v="ORD032"/>
    <x v="16"/>
    <d v="2025-02-03T00:00:00"/>
    <s v="Delivered"/>
    <s v="In-Store"/>
    <s v="ST032"/>
    <x v="8"/>
    <x v="3"/>
    <s v="Detroit"/>
    <s v="MI"/>
    <s v="Central"/>
    <x v="1"/>
    <s v="Patricia Miller"/>
    <s v="patricia.miller@urbancart.com"/>
    <d v="2022-11-30T00:00:00"/>
    <s v="P018"/>
    <x v="31"/>
    <x v="2"/>
    <s v="Appliances"/>
    <s v="CleanAir"/>
    <s v="HomeGoods"/>
    <n v="200"/>
    <n v="114"/>
    <n v="4.5"/>
    <s v="White"/>
    <s v="N/A"/>
    <n v="15"/>
    <n v="3"/>
    <n v="3"/>
    <n v="1"/>
    <n v="0.05"/>
    <n v="0.06"/>
    <n v="15"/>
    <s v="Cash"/>
    <s v="Corporate"/>
    <s v="C032"/>
    <s v="Platinum"/>
    <s v="REP036"/>
    <s v="Not Returned"/>
    <s v="N/A"/>
    <n v="0"/>
    <n v="-2.2560265051982178"/>
    <n v="114"/>
    <n v="200"/>
    <n v="0.1"/>
    <n v="20"/>
    <n v="1.1999999999999999E-2"/>
    <x v="22"/>
    <s v="Delivered"/>
    <n v="3"/>
    <s v="Yes"/>
    <s v="No"/>
    <n v="0"/>
    <s v="PROMO15"/>
    <s v="NewYear"/>
    <s v="WH02"/>
    <s v="In Stock"/>
    <s v="Clean"/>
  </r>
  <r>
    <s v="ORD033"/>
    <x v="16"/>
    <d v="2025-02-05T00:00:00"/>
    <s v="Pending"/>
    <s v="Online"/>
    <s v="ST033"/>
    <x v="9"/>
    <x v="3"/>
    <s v="Columbus"/>
    <s v="OH"/>
    <s v="Central"/>
    <x v="1"/>
    <s v="James Wilson"/>
    <s v="james.wilson@urbancart.com"/>
    <d v="2023-04-17T00:00:00"/>
    <s v="P046"/>
    <x v="32"/>
    <x v="3"/>
    <s v="Sports"/>
    <s v="GoalMax"/>
    <s v="SportsInc"/>
    <n v="30"/>
    <n v="16"/>
    <n v="0.8"/>
    <s v="White"/>
    <s v="N/A"/>
    <n v="50"/>
    <n v="12"/>
    <n v="1"/>
    <n v="2"/>
    <n v="0"/>
    <n v="0.05"/>
    <n v="5"/>
    <s v="PayPal"/>
    <s v="Individual"/>
    <s v="C033"/>
    <s v="Bronze"/>
    <s v="REP037"/>
    <s v="Not Returned"/>
    <s v="N/A"/>
    <n v="0"/>
    <n v="-5.4"/>
    <n v="32"/>
    <n v="60"/>
    <n v="0"/>
    <n v="0"/>
    <n v="0"/>
    <x v="8"/>
    <s v="Pending"/>
    <n v="5"/>
    <s v="No"/>
    <s v="No"/>
    <n v="0"/>
    <s v="N/A"/>
    <s v="N/A"/>
    <s v="WH04"/>
    <s v="In Stock"/>
    <s v="Clean"/>
  </r>
  <r>
    <s v="ORD034"/>
    <x v="17"/>
    <d v="2025-02-04T00:00:00"/>
    <s v="Delivered"/>
    <s v="In-Store"/>
    <s v="ST034"/>
    <x v="1"/>
    <x v="1"/>
    <s v="Austin"/>
    <s v="TX"/>
    <s v="South"/>
    <x v="1"/>
    <s v="Lisa Rodriguez"/>
    <s v="lisa.rodriguez@urbancart.com"/>
    <d v="2021-06-15T00:00:00"/>
    <s v="P011"/>
    <x v="33"/>
    <x v="0"/>
    <s v="Computers"/>
    <s v="Dell"/>
    <s v="TechDistro"/>
    <n v="180"/>
    <n v="104"/>
    <n v="3.5"/>
    <s v="Black"/>
    <s v="24-inch"/>
    <n v="12"/>
    <n v="3"/>
    <n v="2"/>
    <n v="1"/>
    <n v="0"/>
    <n v="7.0000000000000007E-2"/>
    <n v="15"/>
    <s v="Debit Card"/>
    <s v="Corporate"/>
    <s v="C034"/>
    <s v="Platinum"/>
    <s v="REP038"/>
    <s v="Not Returned"/>
    <s v="N/A"/>
    <n v="0"/>
    <n v="-5.9333333333333336"/>
    <n v="104"/>
    <n v="180"/>
    <n v="0"/>
    <n v="0"/>
    <n v="0"/>
    <x v="16"/>
    <s v="Delivered"/>
    <n v="3"/>
    <s v="Yes"/>
    <s v="No"/>
    <n v="0"/>
    <s v="N/A"/>
    <s v="N/A"/>
    <s v="WH01"/>
    <s v="In Stock"/>
    <s v="Clean"/>
  </r>
  <r>
    <s v="ORD035"/>
    <x v="17"/>
    <d v="2025-02-06T00:00:00"/>
    <s v="Delivered"/>
    <s v="Online"/>
    <s v="ST035"/>
    <x v="3"/>
    <x v="0"/>
    <s v="Seattle"/>
    <s v="WA"/>
    <s v="West"/>
    <x v="1"/>
    <s v="Jennifer Wong"/>
    <s v="jennifer.wong@urbancart.com"/>
    <d v="2020-11-05T00:00:00"/>
    <s v="P053"/>
    <x v="34"/>
    <x v="1"/>
    <s v="Clothing"/>
    <s v="FashionFit"/>
    <s v="WearCo"/>
    <n v="55"/>
    <n v="29"/>
    <n v="0.5"/>
    <s v="Red"/>
    <s v="M"/>
    <n v="45"/>
    <n v="10"/>
    <n v="2"/>
    <n v="1"/>
    <n v="0.05"/>
    <n v="0.05"/>
    <n v="6"/>
    <s v="Credit Card"/>
    <s v="Individual"/>
    <s v="C035"/>
    <s v="Bronze"/>
    <s v="REP039"/>
    <s v="Not Returned"/>
    <s v="N/A"/>
    <n v="0"/>
    <n v="-2.8598443917043297"/>
    <n v="29"/>
    <n v="55"/>
    <n v="2.75E-2"/>
    <n v="1.5125"/>
    <n v="7.5624999999999998E-4"/>
    <x v="23"/>
    <s v="Delivered"/>
    <n v="5"/>
    <s v="No"/>
    <s v="No"/>
    <n v="0"/>
    <s v="PROMO10"/>
    <s v="N/A"/>
    <s v="WH03"/>
    <s v="In Stock"/>
    <s v="Clean"/>
  </r>
  <r>
    <s v="ORD036"/>
    <x v="18"/>
    <d v="2025-02-05T00:00:00"/>
    <s v="Delivered"/>
    <s v="In-Store"/>
    <s v="ST036"/>
    <x v="4"/>
    <x v="2"/>
    <s v="Boston"/>
    <s v="MA"/>
    <s v="East"/>
    <x v="0"/>
    <s v="David Kim"/>
    <s v="david.kim@urbancart.com"/>
    <d v="2019-02-12T00:00:00"/>
    <s v="P020"/>
    <x v="35"/>
    <x v="2"/>
    <s v="Kitchen"/>
    <s v="KitchenAid"/>
    <s v="HomeGoods"/>
    <n v="140"/>
    <n v="77"/>
    <n v="4.2"/>
    <s v="Silver"/>
    <s v="N/A"/>
    <n v="22"/>
    <n v="5"/>
    <n v="3"/>
    <n v="1"/>
    <n v="0"/>
    <n v="0.06"/>
    <n v="12"/>
    <s v="Bank Transfer"/>
    <s v="Individual"/>
    <s v="C036"/>
    <s v="Silver"/>
    <s v="REP040"/>
    <s v="Not Returned"/>
    <s v="N/A"/>
    <n v="0"/>
    <n v="-5.416666666666667"/>
    <n v="77"/>
    <n v="140"/>
    <n v="0"/>
    <n v="0"/>
    <n v="0"/>
    <x v="10"/>
    <s v="Delivered"/>
    <n v="3"/>
    <s v="No"/>
    <s v="No"/>
    <n v="0"/>
    <s v="N/A"/>
    <s v="N/A"/>
    <s v="WH02"/>
    <s v="In Stock"/>
    <s v="Clean"/>
  </r>
  <r>
    <s v="ORD037"/>
    <x v="18"/>
    <d v="2025-02-07T00:00:00"/>
    <s v="Shipped"/>
    <s v="Online"/>
    <s v="ST037"/>
    <x v="2"/>
    <x v="1"/>
    <s v="Miami"/>
    <s v="FL"/>
    <s v="South"/>
    <x v="1"/>
    <s v="Carlos Mendez"/>
    <s v="carlos.mendez@urbancart.com"/>
    <d v="2022-09-10T00:00:00"/>
    <s v="P006"/>
    <x v="36"/>
    <x v="0"/>
    <s v="Audio"/>
    <s v="SoundBud"/>
    <s v="TechDistro"/>
    <n v="125"/>
    <n v="69"/>
    <n v="0.1"/>
    <s v="White"/>
    <s v="N/A"/>
    <n v="28"/>
    <n v="6"/>
    <n v="2"/>
    <n v="1"/>
    <n v="0"/>
    <n v="0.06"/>
    <n v="5"/>
    <s v="PayPal"/>
    <s v="Individual"/>
    <s v="C037"/>
    <s v="Silver"/>
    <s v="REP041"/>
    <s v="Not Returned"/>
    <s v="N/A"/>
    <n v="0"/>
    <n v="-12.8"/>
    <n v="69"/>
    <n v="125"/>
    <n v="0"/>
    <n v="0"/>
    <n v="0"/>
    <x v="8"/>
    <s v="Shipped"/>
    <n v="5"/>
    <s v="No"/>
    <s v="No"/>
    <n v="0"/>
    <s v="PROMO15"/>
    <s v="NewYear"/>
    <s v="WH01"/>
    <s v="Low Stock"/>
    <s v="Clean"/>
  </r>
  <r>
    <s v="ORD038"/>
    <x v="19"/>
    <d v="2025-02-06T00:00:00"/>
    <s v="Delivered"/>
    <s v="In-Store"/>
    <s v="ST038"/>
    <x v="0"/>
    <x v="0"/>
    <s v="Phoenix"/>
    <s v="AZ"/>
    <s v="West"/>
    <x v="0"/>
    <s v="Michael Chen"/>
    <s v="michael.chen@urbancart.com"/>
    <d v="2020-03-01T00:00:00"/>
    <s v="P035"/>
    <x v="37"/>
    <x v="2"/>
    <s v="Decor"/>
    <s v="CozyHome"/>
    <s v="HomeGoods"/>
    <n v="25"/>
    <n v="13"/>
    <n v="0.4"/>
    <s v="Beige"/>
    <s v="N/A"/>
    <n v="60"/>
    <n v="15"/>
    <n v="1"/>
    <n v="4"/>
    <n v="0"/>
    <n v="0.05"/>
    <n v="3"/>
    <s v="Cash"/>
    <s v="Individual"/>
    <s v="C038"/>
    <s v="Bronze"/>
    <s v="REP042"/>
    <s v="Not Returned"/>
    <s v="N/A"/>
    <n v="0"/>
    <n v="-16.333333333333332"/>
    <n v="52"/>
    <n v="100"/>
    <n v="0"/>
    <n v="0"/>
    <n v="0"/>
    <x v="20"/>
    <s v="Delivered"/>
    <n v="3"/>
    <s v="No"/>
    <s v="No"/>
    <n v="0"/>
    <s v="N/A"/>
    <s v="N/A"/>
    <s v="WH02"/>
    <s v="In Stock"/>
    <s v="Clean"/>
  </r>
  <r>
    <s v="ORD039"/>
    <x v="19"/>
    <d v="2025-02-08T00:00:00"/>
    <s v="Delivered"/>
    <s v="Online"/>
    <s v="ST039"/>
    <x v="5"/>
    <x v="3"/>
    <s v="Chicago"/>
    <s v="IL"/>
    <s v="Central"/>
    <x v="0"/>
    <s v="Robert Johnson"/>
    <s v="robert.johnson@urbancart.com"/>
    <d v="2018-08-20T00:00:00"/>
    <s v="P058"/>
    <x v="38"/>
    <x v="3"/>
    <s v="Equipment"/>
    <s v="AccuMeasure"/>
    <s v="HealthInc"/>
    <n v="45"/>
    <n v="25"/>
    <n v="1.2"/>
    <s v="Black"/>
    <s v="N/A"/>
    <n v="35"/>
    <n v="8"/>
    <n v="2"/>
    <n v="1"/>
    <n v="0"/>
    <n v="0.05"/>
    <n v="6"/>
    <s v="Credit Card"/>
    <s v="Corporate"/>
    <s v="C039"/>
    <s v="Gold"/>
    <s v="REP043"/>
    <s v="Not Returned"/>
    <s v="N/A"/>
    <n v="0"/>
    <n v="-3.1666666666666665"/>
    <n v="25"/>
    <n v="45"/>
    <n v="0"/>
    <n v="0"/>
    <n v="0"/>
    <x v="19"/>
    <s v="Delivered"/>
    <n v="5"/>
    <s v="No"/>
    <s v="No"/>
    <n v="0"/>
    <s v="N/A"/>
    <s v="N/A"/>
    <s v="WH04"/>
    <s v="In Stock"/>
    <s v="Clean"/>
  </r>
  <r>
    <s v="ORD040"/>
    <x v="20"/>
    <d v="2025-02-07T00:00:00"/>
    <s v="Delivered"/>
    <s v="In-Store"/>
    <s v="ST040"/>
    <x v="10"/>
    <x v="0"/>
    <s v="Denver"/>
    <s v="CO"/>
    <s v="West"/>
    <x v="1"/>
    <s v="Amanda Martinez"/>
    <s v="amanda.martinez@urbancart.com"/>
    <d v="2022-07-03T00:00:00"/>
    <s v="P028"/>
    <x v="39"/>
    <x v="1"/>
    <s v="Footwear"/>
    <s v="FashionFit"/>
    <s v="ShoeCo"/>
    <n v="40"/>
    <n v="21"/>
    <n v="0.6"/>
    <s v="Brown"/>
    <n v="9"/>
    <n v="50"/>
    <n v="12"/>
    <n v="2"/>
    <n v="2"/>
    <n v="0"/>
    <n v="0.05"/>
    <n v="4"/>
    <s v="Debit Card"/>
    <s v="Individual"/>
    <s v="C040"/>
    <s v="Bronze"/>
    <s v="REP044"/>
    <s v="Not Returned"/>
    <s v="N/A"/>
    <n v="0"/>
    <n v="-9.5"/>
    <n v="42"/>
    <n v="80"/>
    <n v="0"/>
    <n v="0"/>
    <n v="0"/>
    <x v="18"/>
    <s v="Delivered"/>
    <n v="3"/>
    <s v="No"/>
    <s v="No"/>
    <n v="0"/>
    <s v="N/A"/>
    <s v="N/A"/>
    <s v="WH03"/>
    <s v="In Stock"/>
    <s v="Clean"/>
  </r>
  <r>
    <s v="ORD041"/>
    <x v="20"/>
    <d v="2025-02-09T00:00:00"/>
    <s v="Pending"/>
    <s v="Online"/>
    <s v="ST041"/>
    <x v="6"/>
    <x v="1"/>
    <s v="Houston"/>
    <s v="TX"/>
    <s v="South"/>
    <x v="1"/>
    <s v="Thomas Brown"/>
    <s v="thomas.brown@urbancart.com"/>
    <d v="2021-04-14T00:00:00"/>
    <s v="P013"/>
    <x v="40"/>
    <x v="4"/>
    <s v="Storage"/>
    <s v="HomeStyle"/>
    <s v="FurnitureCo"/>
    <n v="180"/>
    <n v="104"/>
    <n v="18"/>
    <s v="White"/>
    <s v="N/A"/>
    <n v="10"/>
    <n v="2"/>
    <n v="5"/>
    <n v="1"/>
    <n v="0.05"/>
    <n v="7.0000000000000007E-2"/>
    <n v="25"/>
    <s v="Credit Card"/>
    <s v="Corporate"/>
    <s v="C041"/>
    <s v="Platinum"/>
    <s v="REP045"/>
    <s v="Not Returned"/>
    <s v="N/A"/>
    <n v="0"/>
    <n v="-1.5235772483981351"/>
    <n v="104"/>
    <n v="180"/>
    <n v="0.09"/>
    <n v="16.2"/>
    <n v="1.1340000000000001E-2"/>
    <x v="24"/>
    <s v="Pending"/>
    <n v="5"/>
    <s v="Yes"/>
    <s v="No"/>
    <n v="0"/>
    <s v="PROMO20"/>
    <s v="FurnitureSale"/>
    <s v="WH05"/>
    <s v="In Stock"/>
    <s v="Clean"/>
  </r>
  <r>
    <s v="ORD042"/>
    <x v="21"/>
    <d v="2025-02-08T00:00:00"/>
    <s v="Delivered"/>
    <s v="In-Store"/>
    <s v="ST042"/>
    <x v="7"/>
    <x v="0"/>
    <s v="Portland"/>
    <s v="OR"/>
    <s v="West"/>
    <x v="1"/>
    <s v="Sarah Williams"/>
    <s v="sarah.williams@urbancart.com"/>
    <d v="2023-02-25T00:00:00"/>
    <s v="P041"/>
    <x v="41"/>
    <x v="6"/>
    <s v="Beauty"/>
    <s v="GlowUp"/>
    <s v="BeautyCo"/>
    <n v="32"/>
    <n v="17"/>
    <n v="0.2"/>
    <s v="White"/>
    <s v="N/A"/>
    <n v="70"/>
    <n v="15"/>
    <n v="1"/>
    <n v="3"/>
    <n v="0"/>
    <n v="0.05"/>
    <n v="3"/>
    <s v="PayPal"/>
    <s v="Individual"/>
    <s v="C042"/>
    <s v="Silver"/>
    <s v="REP046"/>
    <s v="Not Returned"/>
    <s v="N/A"/>
    <n v="0"/>
    <n v="-16"/>
    <n v="51"/>
    <n v="96"/>
    <n v="0"/>
    <n v="0"/>
    <n v="0"/>
    <x v="20"/>
    <s v="Delivered"/>
    <n v="3"/>
    <s v="No"/>
    <s v="No"/>
    <n v="0"/>
    <s v="N/A"/>
    <s v="N/A"/>
    <s v="WH07"/>
    <s v="In Stock"/>
    <s v="Clean"/>
  </r>
  <r>
    <s v="ORD043"/>
    <x v="21"/>
    <d v="2025-02-10T00:00:00"/>
    <s v="Delivered"/>
    <s v="Online"/>
    <s v="ST043"/>
    <x v="8"/>
    <x v="3"/>
    <s v="Detroit"/>
    <s v="MI"/>
    <s v="Central"/>
    <x v="1"/>
    <s v="Patricia Miller"/>
    <s v="patricia.miller@urbancart.com"/>
    <d v="2022-11-30T00:00:00"/>
    <s v="P033"/>
    <x v="42"/>
    <x v="3"/>
    <s v="Footwear"/>
    <s v="SportMax"/>
    <s v="AthleticInc"/>
    <n v="145"/>
    <n v="80"/>
    <n v="2.2000000000000002"/>
    <s v="Brown"/>
    <n v="10"/>
    <n v="25"/>
    <n v="5"/>
    <n v="3"/>
    <n v="1"/>
    <n v="0.1"/>
    <n v="0.06"/>
    <n v="12"/>
    <s v="Credit Card"/>
    <s v="Individual"/>
    <s v="C043"/>
    <s v="Bronze"/>
    <s v="REP047"/>
    <s v="Not Returned"/>
    <s v="N/A"/>
    <n v="0"/>
    <n v="-1.4214823013101883"/>
    <n v="80"/>
    <n v="145"/>
    <n v="0.14499999999999999"/>
    <n v="21.024999999999999"/>
    <n v="1.2614999999999998E-2"/>
    <x v="25"/>
    <s v="Delivered"/>
    <n v="5"/>
    <s v="No"/>
    <s v="No"/>
    <n v="0"/>
    <s v="PROMO10"/>
    <s v="Winter Sale"/>
    <s v="WH04"/>
    <s v="In Stock"/>
    <s v="Clean"/>
  </r>
  <r>
    <s v="ORD044"/>
    <x v="22"/>
    <d v="2025-02-09T00:00:00"/>
    <s v="Delivered"/>
    <s v="In-Store"/>
    <s v="ST044"/>
    <x v="9"/>
    <x v="3"/>
    <s v="Columbus"/>
    <s v="OH"/>
    <s v="Central"/>
    <x v="1"/>
    <s v="James Wilson"/>
    <s v="james.wilson@urbancart.com"/>
    <d v="2023-04-17T00:00:00"/>
    <s v="P050"/>
    <x v="43"/>
    <x v="2"/>
    <s v="Decor"/>
    <s v="ArtisticHome"/>
    <s v="HomeGoods"/>
    <n v="85"/>
    <n v="45"/>
    <n v="2.1"/>
    <s v="Blue"/>
    <s v="N/A"/>
    <n v="20"/>
    <n v="5"/>
    <n v="2"/>
    <n v="2"/>
    <n v="0"/>
    <n v="0.06"/>
    <n v="8"/>
    <s v="Debit Card"/>
    <s v="Individual"/>
    <s v="C044"/>
    <s v="Silver"/>
    <s v="REP048"/>
    <s v="Not Returned"/>
    <s v="N/A"/>
    <n v="0"/>
    <n v="-10.25"/>
    <n v="90"/>
    <n v="170"/>
    <n v="0"/>
    <n v="0"/>
    <n v="0"/>
    <x v="1"/>
    <s v="Delivered"/>
    <n v="3"/>
    <s v="No"/>
    <s v="No"/>
    <n v="0"/>
    <s v="N/A"/>
    <s v="N/A"/>
    <s v="WH02"/>
    <s v="In Stock"/>
    <s v="Clean"/>
  </r>
  <r>
    <s v="ORD045"/>
    <x v="22"/>
    <d v="2025-02-11T00:00:00"/>
    <s v="Shipped"/>
    <s v="Online"/>
    <s v="ST045"/>
    <x v="1"/>
    <x v="1"/>
    <s v="Austin"/>
    <s v="TX"/>
    <s v="South"/>
    <x v="1"/>
    <s v="Lisa Rodriguez"/>
    <s v="lisa.rodriguez@urbancart.com"/>
    <d v="2021-06-15T00:00:00"/>
    <s v="P016"/>
    <x v="44"/>
    <x v="0"/>
    <s v="Computers"/>
    <s v="DataSafe"/>
    <s v="TechDistro"/>
    <n v="110"/>
    <n v="61"/>
    <n v="0.4"/>
    <s v="Black"/>
    <s v="2TB"/>
    <n v="30"/>
    <n v="8"/>
    <n v="2"/>
    <n v="2"/>
    <n v="0.05"/>
    <n v="0.05"/>
    <n v="6"/>
    <s v="Bank Transfer"/>
    <s v="Corporate"/>
    <s v="C045"/>
    <s v="Gold"/>
    <s v="REP049"/>
    <s v="Not Returned"/>
    <s v="N/A"/>
    <n v="0"/>
    <n v="-3.0381171782166749"/>
    <n v="122"/>
    <n v="220"/>
    <n v="0.11"/>
    <n v="24.2"/>
    <n v="1.21E-2"/>
    <x v="26"/>
    <s v="Shipped"/>
    <n v="5"/>
    <s v="No"/>
    <s v="No"/>
    <n v="0"/>
    <s v="PROMO15"/>
    <s v="NewYear"/>
    <s v="WH01"/>
    <s v="In Stock"/>
    <s v="Clean"/>
  </r>
  <r>
    <s v="ORD046"/>
    <x v="23"/>
    <d v="2025-02-10T00:00:00"/>
    <s v="Delivered"/>
    <s v="In-Store"/>
    <s v="ST046"/>
    <x v="3"/>
    <x v="0"/>
    <s v="Seattle"/>
    <s v="WA"/>
    <s v="West"/>
    <x v="1"/>
    <s v="Jennifer Wong"/>
    <s v="jennifer.wong@urbancart.com"/>
    <d v="2020-11-05T00:00:00"/>
    <s v="P060"/>
    <x v="45"/>
    <x v="3"/>
    <s v="Clothing"/>
    <s v="FlexFit"/>
    <s v="SportsInc"/>
    <n v="48"/>
    <n v="25"/>
    <n v="0.5"/>
    <s v="Black"/>
    <s v="M"/>
    <n v="65"/>
    <n v="15"/>
    <n v="2"/>
    <n v="2"/>
    <n v="0"/>
    <n v="0.06"/>
    <n v="4"/>
    <s v="Cash"/>
    <s v="Individual"/>
    <s v="C046"/>
    <s v="Bronze"/>
    <s v="REP050"/>
    <s v="Not Returned"/>
    <s v="N/A"/>
    <n v="0"/>
    <n v="-11.5"/>
    <n v="50"/>
    <n v="96"/>
    <n v="0"/>
    <n v="0"/>
    <n v="0"/>
    <x v="18"/>
    <s v="Delivered"/>
    <n v="3"/>
    <s v="No"/>
    <s v="No"/>
    <n v="0"/>
    <s v="N/A"/>
    <s v="N/A"/>
    <s v="WH04"/>
    <s v="In Stock"/>
    <s v="Clean"/>
  </r>
  <r>
    <s v="ORD047"/>
    <x v="23"/>
    <d v="2025-02-12T00:00:00"/>
    <s v="Delivered"/>
    <s v="Online"/>
    <s v="ST047"/>
    <x v="4"/>
    <x v="2"/>
    <s v="Boston"/>
    <s v="MA"/>
    <s v="East"/>
    <x v="0"/>
    <s v="David Kim"/>
    <s v="david.kim@urbancart.com"/>
    <d v="2019-02-12T00:00:00"/>
    <s v="P004"/>
    <x v="46"/>
    <x v="0"/>
    <s v="Mobile"/>
    <s v="TechBrand"/>
    <s v="InfiniteSys"/>
    <n v="900"/>
    <n v="540"/>
    <n v="0.3"/>
    <s v="Black"/>
    <s v="128GB"/>
    <n v="20"/>
    <n v="5"/>
    <n v="2"/>
    <n v="1"/>
    <n v="0.05"/>
    <n v="0.08"/>
    <n v="10"/>
    <s v="Credit Card"/>
    <s v="Corporate"/>
    <s v="C047"/>
    <s v="Platinum"/>
    <s v="REP051"/>
    <s v="Not Returned"/>
    <s v="N/A"/>
    <n v="0"/>
    <n v="-0.30018973139043248"/>
    <n v="540"/>
    <n v="900"/>
    <n v="0.45"/>
    <n v="405"/>
    <n v="0.32400000000000001"/>
    <x v="27"/>
    <s v="Delivered"/>
    <n v="5"/>
    <s v="Yes"/>
    <s v="No"/>
    <n v="0"/>
    <s v="PROMO25"/>
    <s v="Clearance"/>
    <s v="WH01"/>
    <s v="In Stock"/>
    <s v="Clean"/>
  </r>
  <r>
    <s v="ORD048"/>
    <x v="24"/>
    <d v="2025-02-11T00:00:00"/>
    <s v="Delivered"/>
    <s v="In-Store"/>
    <s v="ST048"/>
    <x v="2"/>
    <x v="1"/>
    <s v="Miami"/>
    <s v="FL"/>
    <s v="South"/>
    <x v="1"/>
    <s v="Carlos Mendez"/>
    <s v="carlos.mendez@urbancart.com"/>
    <d v="2022-09-10T00:00:00"/>
    <s v="P027"/>
    <x v="47"/>
    <x v="2"/>
    <s v="Bath"/>
    <s v="SoftTouch"/>
    <s v="HomeGoods"/>
    <n v="18"/>
    <n v="9"/>
    <n v="0.8"/>
    <s v="White"/>
    <s v="N/A"/>
    <n v="150"/>
    <n v="30"/>
    <n v="2"/>
    <n v="6"/>
    <n v="0"/>
    <n v="0.05"/>
    <n v="4"/>
    <s v="Debit Card"/>
    <s v="Individual"/>
    <s v="C048"/>
    <s v="Bronze"/>
    <s v="REP052"/>
    <s v="Not Returned"/>
    <s v="N/A"/>
    <n v="0"/>
    <n v="-12.5"/>
    <n v="54"/>
    <n v="108"/>
    <n v="0"/>
    <n v="0"/>
    <n v="0"/>
    <x v="18"/>
    <s v="Delivered"/>
    <n v="3"/>
    <s v="No"/>
    <s v="No"/>
    <n v="0"/>
    <s v="PROMO05"/>
    <s v="BulkDiscount"/>
    <s v="WH02"/>
    <s v="In Stock"/>
    <s v="Clean"/>
  </r>
  <r>
    <s v="ORD049"/>
    <x v="24"/>
    <d v="2025-02-13T00:00:00"/>
    <s v="Pending"/>
    <s v="Online"/>
    <s v="ST049"/>
    <x v="0"/>
    <x v="0"/>
    <s v="Phoenix"/>
    <s v="AZ"/>
    <s v="West"/>
    <x v="0"/>
    <s v="Michael Chen"/>
    <s v="michael.chen@urbancart.com"/>
    <d v="2020-03-01T00:00:00"/>
    <s v="P039"/>
    <x v="48"/>
    <x v="5"/>
    <s v="Luggage"/>
    <s v="TravelMax"/>
    <s v="AccessoryCo"/>
    <n v="110"/>
    <n v="60"/>
    <n v="3.5"/>
    <s v="Black"/>
    <s v="22-inch"/>
    <n v="18"/>
    <n v="4"/>
    <n v="3"/>
    <n v="1"/>
    <n v="0"/>
    <n v="0.06"/>
    <n v="12"/>
    <s v="PayPal"/>
    <s v="Corporate"/>
    <s v="C049"/>
    <s v="Gold"/>
    <s v="REP053"/>
    <s v="Not Returned"/>
    <s v="N/A"/>
    <n v="0"/>
    <n v="-4"/>
    <n v="60"/>
    <n v="110"/>
    <n v="0"/>
    <n v="0"/>
    <n v="0"/>
    <x v="10"/>
    <s v="Pending"/>
    <n v="5"/>
    <s v="No"/>
    <s v="No"/>
    <n v="0"/>
    <s v="N/A"/>
    <s v="N/A"/>
    <s v="WH03"/>
    <s v="In Stock"/>
    <s v="Clean"/>
  </r>
  <r>
    <s v="ORD050"/>
    <x v="25"/>
    <d v="2025-02-12T00:00:00"/>
    <s v="Delivered"/>
    <s v="In-Store"/>
    <s v="ST050"/>
    <x v="5"/>
    <x v="3"/>
    <s v="Chicago"/>
    <s v="IL"/>
    <s v="Central"/>
    <x v="0"/>
    <s v="Robert Johnson"/>
    <s v="robert.johnson@urbancart.com"/>
    <d v="2018-08-20T00:00:00"/>
    <s v="P022"/>
    <x v="49"/>
    <x v="8"/>
    <s v="Equipment"/>
    <s v="SecureCut"/>
    <s v="OfficeSupply"/>
    <n v="95"/>
    <n v="52"/>
    <n v="3.2"/>
    <s v="Black"/>
    <s v="N/A"/>
    <n v="15"/>
    <n v="4"/>
    <n v="2"/>
    <n v="1"/>
    <n v="0"/>
    <n v="0.06"/>
    <n v="8"/>
    <s v="Credit Card"/>
    <s v="Corporate"/>
    <s v="C050"/>
    <s v="Platinum"/>
    <s v="REP054"/>
    <s v="Not Returned"/>
    <s v="N/A"/>
    <n v="0"/>
    <n v="-5.5"/>
    <n v="52"/>
    <n v="95"/>
    <n v="0"/>
    <n v="0"/>
    <n v="0"/>
    <x v="1"/>
    <s v="Delivered"/>
    <n v="3"/>
    <s v="Yes"/>
    <s v="No"/>
    <n v="0"/>
    <s v="N/A"/>
    <s v="N/A"/>
    <s v="WH05"/>
    <s v="In Stock"/>
    <s v="Clean"/>
  </r>
  <r>
    <s v="ORD051"/>
    <x v="25"/>
    <d v="2025-02-14T00:00:00"/>
    <s v="Delivered"/>
    <s v="Online"/>
    <s v="ST051"/>
    <x v="10"/>
    <x v="0"/>
    <s v="Denver"/>
    <s v="CO"/>
    <s v="West"/>
    <x v="1"/>
    <s v="Amanda Martinez"/>
    <s v="amanda.martinez@urbancart.com"/>
    <d v="2022-07-03T00:00:00"/>
    <s v="P047"/>
    <x v="50"/>
    <x v="9"/>
    <s v="Grocery"/>
    <s v="HealthyLife"/>
    <s v="FoodDistro"/>
    <n v="6"/>
    <n v="3"/>
    <n v="0.5"/>
    <m/>
    <s v="N/A"/>
    <n v="500"/>
    <n v="100"/>
    <n v="1"/>
    <n v="12"/>
    <n v="0"/>
    <n v="0.04"/>
    <n v="2"/>
    <s v="Debit Card"/>
    <s v="Individual"/>
    <s v="C051"/>
    <s v="Silver"/>
    <s v="REP055"/>
    <s v="Not Returned"/>
    <s v="N/A"/>
    <n v="0"/>
    <n v="-17"/>
    <n v="36"/>
    <n v="72"/>
    <n v="0"/>
    <n v="0"/>
    <n v="0"/>
    <x v="28"/>
    <s v="Delivered"/>
    <n v="5"/>
    <s v="No"/>
    <s v="Yes"/>
    <n v="0.05"/>
    <s v="PROMO05"/>
    <s v="BulkDiscount"/>
    <s v="WH08"/>
    <s v="In Stock"/>
    <s v="Clean"/>
  </r>
  <r>
    <s v="ORD052"/>
    <x v="26"/>
    <d v="2025-02-13T00:00:00"/>
    <s v="Delivered"/>
    <s v="In-Store"/>
    <s v="ST052"/>
    <x v="6"/>
    <x v="1"/>
    <s v="Houston"/>
    <s v="TX"/>
    <s v="South"/>
    <x v="1"/>
    <s v="Thomas Brown"/>
    <s v="thomas.brown@urbancart.com"/>
    <d v="2021-04-14T00:00:00"/>
    <s v="P054"/>
    <x v="51"/>
    <x v="10"/>
    <s v="Fashion"/>
    <s v="SparkleCo"/>
    <s v="AccessoryCo"/>
    <n v="85"/>
    <n v="45"/>
    <n v="0.1"/>
    <s v="Gold"/>
    <s v="N/A"/>
    <n v="25"/>
    <n v="5"/>
    <n v="2"/>
    <n v="1"/>
    <n v="0"/>
    <n v="0.06"/>
    <n v="3"/>
    <s v="Cash"/>
    <s v="Individual"/>
    <s v="C052"/>
    <s v="Bronze"/>
    <s v="REP056"/>
    <s v="Returned"/>
    <s v="Defective"/>
    <n v="25"/>
    <n v="-14"/>
    <n v="45"/>
    <n v="85"/>
    <n v="0"/>
    <n v="0"/>
    <n v="0"/>
    <x v="20"/>
    <s v="Delivered"/>
    <n v="3"/>
    <s v="No"/>
    <s v="No"/>
    <n v="0"/>
    <s v="PROMO10"/>
    <s v="N/A"/>
    <s v="WH07"/>
    <s v="Low Stock"/>
    <s v="Clean"/>
  </r>
  <r>
    <s v="ORD053"/>
    <x v="26"/>
    <d v="2025-02-15T00:00:00"/>
    <s v="Shipped"/>
    <s v="Online"/>
    <s v="ST053"/>
    <x v="7"/>
    <x v="0"/>
    <s v="Portland"/>
    <s v="OR"/>
    <s v="West"/>
    <x v="1"/>
    <s v="Sarah Williams"/>
    <s v="sarah.williams@urbancart.com"/>
    <d v="2023-02-25T00:00:00"/>
    <s v="P024"/>
    <x v="52"/>
    <x v="2"/>
    <s v="Kitchen"/>
    <s v="WoodCraft"/>
    <s v="HomeGoods"/>
    <n v="35"/>
    <n v="18"/>
    <n v="1.2"/>
    <s v="Wood"/>
    <s v="N/A"/>
    <n v="60"/>
    <n v="15"/>
    <n v="2"/>
    <n v="2"/>
    <n v="0.05"/>
    <n v="0.05"/>
    <n v="5"/>
    <s v="Credit Card"/>
    <s v="Individual"/>
    <s v="C053"/>
    <s v="Silver"/>
    <s v="REP057"/>
    <s v="Not Returned"/>
    <s v="N/A"/>
    <n v="0"/>
    <n v="-3.8314203369244653"/>
    <n v="36"/>
    <n v="70"/>
    <n v="3.5000000000000003E-2"/>
    <n v="2.4500000000000002"/>
    <n v="1.2250000000000002E-3"/>
    <x v="29"/>
    <s v="Shipped"/>
    <n v="5"/>
    <s v="No"/>
    <s v="No"/>
    <n v="0"/>
    <s v="PROMO15"/>
    <s v="NewYear"/>
    <s v="WH02"/>
    <s v="In Stock"/>
    <s v="Clean"/>
  </r>
  <r>
    <s v="ORD054"/>
    <x v="27"/>
    <d v="2025-02-14T00:00:00"/>
    <s v="Delivered"/>
    <s v="In-Store"/>
    <s v="ST054"/>
    <x v="8"/>
    <x v="3"/>
    <s v="Detroit"/>
    <s v="MI"/>
    <s v="Central"/>
    <x v="1"/>
    <s v="Patricia Miller"/>
    <s v="patricia.miller@urbancart.com"/>
    <d v="2022-11-30T00:00:00"/>
    <s v="P037"/>
    <x v="53"/>
    <x v="2"/>
    <s v="Appliances"/>
    <s v="RiceMaster"/>
    <s v="HomeGoods"/>
    <n v="75"/>
    <n v="41"/>
    <n v="2.5"/>
    <s v="White"/>
    <s v="N/A"/>
    <n v="22"/>
    <n v="5"/>
    <n v="2"/>
    <n v="1"/>
    <n v="0"/>
    <n v="0.06"/>
    <n v="8"/>
    <s v="Bank Transfer"/>
    <s v="Corporate"/>
    <s v="C054"/>
    <s v="Platinum"/>
    <s v="REP058"/>
    <s v="Not Returned"/>
    <s v="N/A"/>
    <n v="0"/>
    <n v="-4.125"/>
    <n v="41"/>
    <n v="75"/>
    <n v="0"/>
    <n v="0"/>
    <n v="0"/>
    <x v="1"/>
    <s v="Delivered"/>
    <n v="3"/>
    <s v="Yes"/>
    <s v="No"/>
    <n v="0"/>
    <s v="N/A"/>
    <s v="N/A"/>
    <s v="WH02"/>
    <s v="In Stock"/>
    <s v="Clean"/>
  </r>
  <r>
    <s v="ORD055"/>
    <x v="27"/>
    <d v="2025-02-16T00:00:00"/>
    <s v="Delivered"/>
    <s v="Online"/>
    <s v="ST055"/>
    <x v="9"/>
    <x v="3"/>
    <s v="Columbus"/>
    <s v="OH"/>
    <s v="Central"/>
    <x v="1"/>
    <s v="James Wilson"/>
    <s v="james.wilson@urbancart.com"/>
    <d v="2023-04-17T00:00:00"/>
    <s v="P052"/>
    <x v="54"/>
    <x v="6"/>
    <s v="Hair"/>
    <s v="PureSilk"/>
    <s v="BeautyCo"/>
    <n v="12"/>
    <n v="6"/>
    <n v="0.4"/>
    <s v="White"/>
    <s v="N/A"/>
    <n v="200"/>
    <n v="40"/>
    <n v="1"/>
    <n v="8"/>
    <n v="0"/>
    <n v="0.05"/>
    <n v="3"/>
    <s v="PayPal"/>
    <s v="Individual"/>
    <s v="C055"/>
    <s v="Bronze"/>
    <s v="REP059"/>
    <s v="Not Returned"/>
    <s v="N/A"/>
    <n v="0"/>
    <n v="-15"/>
    <n v="48"/>
    <n v="96"/>
    <n v="0"/>
    <n v="0"/>
    <n v="0"/>
    <x v="20"/>
    <s v="Delivered"/>
    <n v="5"/>
    <s v="No"/>
    <s v="No"/>
    <n v="0"/>
    <s v="PROMO05"/>
    <s v="BulkDiscount"/>
    <s v="WH07"/>
    <s v="In Stock"/>
    <s v="Clean"/>
  </r>
  <r>
    <s v="ORD056"/>
    <x v="28"/>
    <d v="2025-02-15T00:00:00"/>
    <s v="Delivered"/>
    <s v="In-Store"/>
    <s v="ST056"/>
    <x v="1"/>
    <x v="1"/>
    <s v="Austin"/>
    <s v="TX"/>
    <s v="South"/>
    <x v="1"/>
    <s v="Lisa Rodriguez"/>
    <s v="lisa.rodriguez@urbancart.com"/>
    <d v="2021-06-15T00:00:00"/>
    <s v="P003"/>
    <x v="55"/>
    <x v="0"/>
    <s v="Accessories"/>
    <s v="LogiTech"/>
    <s v="TechDistro"/>
    <n v="70"/>
    <n v="38"/>
    <n v="0.2"/>
    <s v="Black"/>
    <s v="N/A"/>
    <n v="45"/>
    <n v="10"/>
    <n v="2"/>
    <n v="2"/>
    <n v="0"/>
    <n v="0.05"/>
    <n v="4"/>
    <s v="Credit Card"/>
    <s v="Individual"/>
    <s v="C056"/>
    <s v="Bronze"/>
    <s v="REP060"/>
    <s v="Not Returned"/>
    <s v="N/A"/>
    <n v="0"/>
    <n v="-18"/>
    <n v="76"/>
    <n v="140"/>
    <n v="0"/>
    <n v="0"/>
    <n v="0"/>
    <x v="18"/>
    <s v="Delivered"/>
    <n v="3"/>
    <s v="No"/>
    <s v="No"/>
    <n v="0"/>
    <s v="N/A"/>
    <s v="N/A"/>
    <s v="WH01"/>
    <s v="In Stock"/>
    <s v="Clean"/>
  </r>
  <r>
    <s v="ORD057"/>
    <x v="28"/>
    <d v="2025-02-17T00:00:00"/>
    <s v="Pending"/>
    <s v="Online"/>
    <s v="ST057"/>
    <x v="3"/>
    <x v="0"/>
    <s v="Seattle"/>
    <s v="WA"/>
    <s v="West"/>
    <x v="1"/>
    <s v="Jennifer Wong"/>
    <s v="jennifer.wong@urbancart.com"/>
    <d v="2020-11-05T00:00:00"/>
    <s v="P044"/>
    <x v="56"/>
    <x v="2"/>
    <s v="Kitchen"/>
    <s v="CrystalClear"/>
    <s v="HomeGoods"/>
    <n v="30"/>
    <n v="16"/>
    <n v="0.5"/>
    <s v="Clear"/>
    <s v="N/A"/>
    <n v="80"/>
    <n v="20"/>
    <n v="2"/>
    <n v="4"/>
    <n v="0"/>
    <n v="0.06"/>
    <n v="6"/>
    <s v="Debit Card"/>
    <s v="Corporate"/>
    <s v="C057"/>
    <s v="Gold"/>
    <s v="REP061"/>
    <s v="Not Returned"/>
    <s v="N/A"/>
    <n v="0"/>
    <n v="-9.6666666666666661"/>
    <n v="64"/>
    <n v="120"/>
    <n v="0"/>
    <n v="0"/>
    <n v="0"/>
    <x v="19"/>
    <s v="Pending"/>
    <n v="5"/>
    <s v="No"/>
    <s v="No"/>
    <n v="0"/>
    <s v="N/A"/>
    <s v="N/A"/>
    <s v="WH02"/>
    <s v="In Stock"/>
    <s v="Clean"/>
  </r>
  <r>
    <s v="ORD058"/>
    <x v="29"/>
    <d v="2025-02-16T00:00:00"/>
    <s v="Delivered"/>
    <s v="In-Store"/>
    <s v="ST058"/>
    <x v="4"/>
    <x v="2"/>
    <s v="Boston"/>
    <s v="MA"/>
    <s v="East"/>
    <x v="0"/>
    <s v="David Kim"/>
    <s v="david.kim@urbancart.com"/>
    <d v="2019-02-12T00:00:00"/>
    <s v="P056"/>
    <x v="57"/>
    <x v="3"/>
    <s v="Sports"/>
    <s v="GoalMax"/>
    <s v="SportsInc"/>
    <n v="28"/>
    <n v="15"/>
    <n v="0.9"/>
    <s v="Brown"/>
    <s v="N/A"/>
    <n v="40"/>
    <n v="10"/>
    <n v="1"/>
    <n v="3"/>
    <n v="0"/>
    <n v="0.05"/>
    <n v="4"/>
    <s v="Cash"/>
    <s v="Individual"/>
    <s v="C058"/>
    <s v="Bronze"/>
    <s v="REP062"/>
    <s v="Not Returned"/>
    <s v="N/A"/>
    <n v="0"/>
    <n v="-10.25"/>
    <n v="45"/>
    <n v="84"/>
    <n v="0"/>
    <n v="0"/>
    <n v="0"/>
    <x v="18"/>
    <s v="Delivered"/>
    <n v="3"/>
    <s v="No"/>
    <s v="No"/>
    <n v="0"/>
    <s v="N/A"/>
    <s v="N/A"/>
    <s v="WH04"/>
    <s v="In Stock"/>
    <s v="Clean"/>
  </r>
  <r>
    <s v="ORD059"/>
    <x v="29"/>
    <d v="2025-02-18T00:00:00"/>
    <s v="Delivered"/>
    <s v="Online"/>
    <s v="ST059"/>
    <x v="2"/>
    <x v="1"/>
    <s v="Miami"/>
    <s v="FL"/>
    <s v="South"/>
    <x v="1"/>
    <s v="Carlos Mendez"/>
    <s v="carlos.mendez@urbancart.com"/>
    <d v="2022-09-10T00:00:00"/>
    <s v="P030"/>
    <x v="58"/>
    <x v="5"/>
    <s v="Clothing"/>
    <s v="LeatherCo"/>
    <s v="AccessoryCo"/>
    <n v="40"/>
    <n v="21"/>
    <n v="0.2"/>
    <s v="Brown"/>
    <n v="32"/>
    <n v="55"/>
    <n v="12"/>
    <n v="1"/>
    <n v="2"/>
    <n v="0"/>
    <n v="0.05"/>
    <n v="3"/>
    <s v="PayPal"/>
    <s v="Individual"/>
    <s v="C059"/>
    <s v="Silver"/>
    <s v="REP063"/>
    <s v="Not Returned"/>
    <s v="N/A"/>
    <n v="0"/>
    <n v="-13"/>
    <n v="42"/>
    <n v="80"/>
    <n v="0"/>
    <n v="0"/>
    <n v="0"/>
    <x v="20"/>
    <s v="Delivered"/>
    <n v="5"/>
    <s v="No"/>
    <s v="No"/>
    <n v="0"/>
    <s v="PROMO10"/>
    <s v="Winter Sale"/>
    <s v="WH03"/>
    <s v="In Stock"/>
    <s v="Clean"/>
  </r>
  <r>
    <s v="ORD060"/>
    <x v="30"/>
    <d v="2025-02-17T00:00:00"/>
    <s v="Delivered"/>
    <s v="In-Store"/>
    <s v="ST060"/>
    <x v="0"/>
    <x v="0"/>
    <s v="Phoenix"/>
    <s v="AZ"/>
    <s v="West"/>
    <x v="0"/>
    <s v="Michael Chen"/>
    <s v="michael.chen@urbancart.com"/>
    <d v="2020-03-01T00:00:00"/>
    <s v="P043"/>
    <x v="59"/>
    <x v="2"/>
    <s v="Kitchen"/>
    <s v="NonStickPro"/>
    <s v="HomeGoods"/>
    <n v="45"/>
    <n v="24"/>
    <n v="1.2"/>
    <s v="Black"/>
    <s v="12-inch"/>
    <n v="35"/>
    <n v="8"/>
    <n v="2"/>
    <n v="2"/>
    <n v="0"/>
    <n v="0.06"/>
    <n v="4"/>
    <s v="Credit Card"/>
    <s v="Individual"/>
    <s v="C060"/>
    <s v="Silver"/>
    <s v="REP064"/>
    <s v="Not Returned"/>
    <s v="N/A"/>
    <n v="0"/>
    <n v="-11"/>
    <n v="48"/>
    <n v="90"/>
    <n v="0"/>
    <n v="0"/>
    <n v="0"/>
    <x v="18"/>
    <s v="Delivered"/>
    <n v="3"/>
    <s v="No"/>
    <s v="No"/>
    <n v="0"/>
    <s v="N/A"/>
    <s v="N/A"/>
    <s v="WH02"/>
    <s v="In Stock"/>
    <s v="Clean"/>
  </r>
  <r>
    <s v="ORD061"/>
    <x v="30"/>
    <d v="2025-02-19T00:00:00"/>
    <s v="Shipped"/>
    <s v="Online"/>
    <s v="ST061"/>
    <x v="5"/>
    <x v="3"/>
    <s v="Chicago"/>
    <s v="IL"/>
    <s v="Central"/>
    <x v="0"/>
    <s v="Robert Johnson"/>
    <s v="robert.johnson@urbancart.com"/>
    <d v="2018-08-20T00:00:00"/>
    <s v="P061"/>
    <x v="60"/>
    <x v="0"/>
    <s v="Accessories"/>
    <s v="ProtectPlus"/>
    <s v="TechDistro"/>
    <n v="35"/>
    <n v="18"/>
    <n v="0.2"/>
    <s v="Black"/>
    <s v="10-inch"/>
    <n v="60"/>
    <n v="15"/>
    <n v="1"/>
    <n v="2"/>
    <n v="0"/>
    <n v="0.05"/>
    <n v="3"/>
    <s v="Bank Transfer"/>
    <s v="Corporate"/>
    <s v="C061"/>
    <s v="Gold"/>
    <s v="REP065"/>
    <s v="Not Returned"/>
    <s v="N/A"/>
    <n v="0"/>
    <n v="-11"/>
    <n v="36"/>
    <n v="70"/>
    <n v="0"/>
    <n v="0"/>
    <n v="0"/>
    <x v="20"/>
    <s v="Shipped"/>
    <n v="5"/>
    <s v="No"/>
    <s v="No"/>
    <n v="0"/>
    <s v="N/A"/>
    <s v="N/A"/>
    <s v="WH01"/>
    <s v="In Stock"/>
    <s v="Clean"/>
  </r>
  <r>
    <s v="ORD062"/>
    <x v="31"/>
    <d v="2025-02-18T00:00:00"/>
    <s v="Delivered"/>
    <s v="In-Store"/>
    <s v="ST062"/>
    <x v="10"/>
    <x v="0"/>
    <s v="Denver"/>
    <s v="CO"/>
    <s v="West"/>
    <x v="1"/>
    <s v="Amanda Martinez"/>
    <s v="amanda.martinez@urbancart.com"/>
    <d v="2022-07-03T00:00:00"/>
    <s v="P062"/>
    <x v="61"/>
    <x v="2"/>
    <s v="Garden"/>
    <s v="GreenThumb"/>
    <s v="HomeGoods"/>
    <n v="22"/>
    <n v="11"/>
    <n v="1.2"/>
    <s v="Terra"/>
    <s v="6-inch"/>
    <n v="45"/>
    <n v="10"/>
    <n v="2"/>
    <n v="3"/>
    <n v="0"/>
    <n v="0.05"/>
    <n v="4"/>
    <s v="Debit Card"/>
    <s v="Individual"/>
    <s v="C062"/>
    <s v="Bronze"/>
    <s v="REP066"/>
    <s v="Not Returned"/>
    <s v="N/A"/>
    <n v="0"/>
    <n v="-7.25"/>
    <n v="33"/>
    <n v="66"/>
    <n v="0"/>
    <n v="0"/>
    <n v="0"/>
    <x v="18"/>
    <s v="Delivered"/>
    <n v="3"/>
    <s v="No"/>
    <s v="No"/>
    <n v="0"/>
    <s v="N/A"/>
    <s v="N/A"/>
    <s v="WH02"/>
    <s v="In Stock"/>
    <s v="Clean"/>
  </r>
  <r>
    <s v="ORD063"/>
    <x v="31"/>
    <d v="2025-02-20T00:00:00"/>
    <s v="Delivered"/>
    <s v="Online"/>
    <s v="ST063"/>
    <x v="6"/>
    <x v="1"/>
    <s v="Houston"/>
    <s v="TX"/>
    <s v="South"/>
    <x v="1"/>
    <s v="Thomas Brown"/>
    <s v="thomas.brown@urbancart.com"/>
    <d v="2021-04-14T00:00:00"/>
    <s v="P063"/>
    <x v="62"/>
    <x v="0"/>
    <s v="Computers"/>
    <s v="DataSafe"/>
    <s v="TechDistro"/>
    <n v="18"/>
    <n v="9"/>
    <n v="0.05"/>
    <s v="Black"/>
    <s v="64GB"/>
    <n v="200"/>
    <n v="40"/>
    <n v="1"/>
    <n v="5"/>
    <n v="0"/>
    <n v="0.05"/>
    <n v="2"/>
    <s v="Cash"/>
    <s v="Corporate"/>
    <s v="C063"/>
    <s v="Platinum"/>
    <s v="REP067"/>
    <s v="Not Returned"/>
    <s v="N/A"/>
    <n v="0"/>
    <n v="-21.5"/>
    <n v="45"/>
    <n v="90"/>
    <n v="0"/>
    <n v="0"/>
    <n v="0"/>
    <x v="28"/>
    <s v="Delivered"/>
    <n v="5"/>
    <s v="Yes"/>
    <s v="No"/>
    <n v="0"/>
    <s v="PROMO05"/>
    <s v="BulkDiscount"/>
    <s v="WH01"/>
    <s v="In Stock"/>
    <s v="Clean"/>
  </r>
  <r>
    <s v="ORD064"/>
    <x v="32"/>
    <d v="2025-02-19T00:00:00"/>
    <s v="Delivered"/>
    <s v="In-Store"/>
    <s v="ST064"/>
    <x v="7"/>
    <x v="0"/>
    <s v="Portland"/>
    <s v="OR"/>
    <s v="West"/>
    <x v="1"/>
    <s v="Sarah Williams"/>
    <s v="sarah.williams@urbancart.com"/>
    <d v="2023-02-25T00:00:00"/>
    <s v="P064"/>
    <x v="63"/>
    <x v="2"/>
    <s v="Appliances"/>
    <s v="HeatWave"/>
    <s v="HomeGoods"/>
    <n v="110"/>
    <n v="63"/>
    <n v="12"/>
    <s v="White"/>
    <s v="N/A"/>
    <n v="18"/>
    <n v="4"/>
    <n v="3"/>
    <n v="1"/>
    <n v="0.05"/>
    <n v="0.06"/>
    <n v="12"/>
    <s v="Credit Card"/>
    <s v="Individual"/>
    <s v="C064"/>
    <s v="Bronze"/>
    <s v="REP068"/>
    <s v="Not Returned"/>
    <s v="N/A"/>
    <n v="0"/>
    <n v="-2.4896029219608469"/>
    <n v="63"/>
    <n v="110"/>
    <n v="5.5E-2"/>
    <n v="6.05"/>
    <n v="3.6299999999999995E-3"/>
    <x v="30"/>
    <s v="Delivered"/>
    <n v="3"/>
    <s v="No"/>
    <s v="No"/>
    <n v="0"/>
    <s v="PROMO15"/>
    <s v="NewYear"/>
    <s v="WH02"/>
    <s v="In Stock"/>
    <s v="Clean"/>
  </r>
  <r>
    <s v="ORD065"/>
    <x v="32"/>
    <d v="2025-02-21T00:00:00"/>
    <s v="Pending"/>
    <s v="Online"/>
    <s v="ST065"/>
    <x v="8"/>
    <x v="3"/>
    <s v="Detroit"/>
    <s v="MI"/>
    <s v="Central"/>
    <x v="1"/>
    <s v="Patricia Miller"/>
    <s v="patricia.miller@urbancart.com"/>
    <d v="2022-11-30T00:00:00"/>
    <s v="P065"/>
    <x v="64"/>
    <x v="1"/>
    <s v="Clothing"/>
    <s v="FashionFit"/>
    <s v="TextileCo"/>
    <n v="8"/>
    <n v="4"/>
    <n v="0.1"/>
    <s v="White"/>
    <s v="One"/>
    <n v="400"/>
    <n v="80"/>
    <n v="1"/>
    <n v="15"/>
    <n v="0"/>
    <n v="0.04"/>
    <n v="2"/>
    <s v="PayPal"/>
    <s v="Individual"/>
    <s v="C065"/>
    <s v="Silver"/>
    <s v="REP069"/>
    <s v="Not Returned"/>
    <s v="N/A"/>
    <n v="0"/>
    <n v="-29"/>
    <n v="60"/>
    <n v="120"/>
    <n v="0"/>
    <n v="0"/>
    <n v="0"/>
    <x v="28"/>
    <s v="Pending"/>
    <n v="5"/>
    <s v="No"/>
    <s v="Yes"/>
    <n v="0.05"/>
    <s v="PROMO05"/>
    <s v="BulkDiscount"/>
    <s v="WH03"/>
    <s v="In Stock"/>
    <s v="Clean"/>
  </r>
  <r>
    <s v="ORD066"/>
    <x v="33"/>
    <d v="2025-02-20T00:00:00"/>
    <s v="Delivered"/>
    <s v="In-Store"/>
    <s v="ST066"/>
    <x v="9"/>
    <x v="3"/>
    <s v="Columbus"/>
    <s v="OH"/>
    <s v="Central"/>
    <x v="1"/>
    <s v="James Wilson"/>
    <s v="james.wilson@urbancart.com"/>
    <d v="2023-04-17T00:00:00"/>
    <s v="P066"/>
    <x v="65"/>
    <x v="11"/>
    <s v="Cleaning"/>
    <s v="PowerClean"/>
    <s v="AutoDistro"/>
    <n v="65"/>
    <n v="36"/>
    <n v="2.5"/>
    <s v="Black"/>
    <s v="N/A"/>
    <n v="20"/>
    <n v="5"/>
    <n v="2"/>
    <n v="1"/>
    <n v="0"/>
    <n v="0.06"/>
    <n v="6"/>
    <s v="Debit Card"/>
    <s v="Corporate"/>
    <s v="C066"/>
    <s v="Platinum"/>
    <s v="REP070"/>
    <s v="Not Returned"/>
    <s v="N/A"/>
    <n v="0"/>
    <n v="-5"/>
    <n v="36"/>
    <n v="65"/>
    <n v="0"/>
    <n v="0"/>
    <n v="0"/>
    <x v="19"/>
    <s v="Delivered"/>
    <n v="3"/>
    <s v="Yes"/>
    <s v="No"/>
    <n v="0"/>
    <s v="N/A"/>
    <s v="N/A"/>
    <s v="WH09"/>
    <s v="In Stock"/>
    <s v="Clean"/>
  </r>
  <r>
    <s v="ORD067"/>
    <x v="33"/>
    <d v="2025-02-22T00:00:00"/>
    <s v="Delivered"/>
    <s v="Online"/>
    <s v="ST067"/>
    <x v="1"/>
    <x v="1"/>
    <s v="Austin"/>
    <s v="TX"/>
    <s v="South"/>
    <x v="1"/>
    <s v="Lisa Rodriguez"/>
    <s v="lisa.rodriguez@urbancart.com"/>
    <d v="2021-06-15T00:00:00"/>
    <s v="P067"/>
    <x v="66"/>
    <x v="2"/>
    <s v="Decor"/>
    <s v="Scentsy"/>
    <s v="HomeGoods"/>
    <n v="28"/>
    <n v="15"/>
    <n v="0.8"/>
    <s v="Various"/>
    <s v="N/A"/>
    <n v="40"/>
    <n v="10"/>
    <n v="2"/>
    <n v="2"/>
    <n v="0"/>
    <n v="0.05"/>
    <n v="4"/>
    <s v="Credit Card"/>
    <s v="Individual"/>
    <s v="C067"/>
    <s v="Bronze"/>
    <s v="REP071"/>
    <s v="Not Returned"/>
    <s v="N/A"/>
    <n v="0"/>
    <n v="-6.5"/>
    <n v="30"/>
    <n v="56"/>
    <n v="0"/>
    <n v="0"/>
    <n v="0"/>
    <x v="18"/>
    <s v="Delivered"/>
    <n v="5"/>
    <s v="No"/>
    <s v="No"/>
    <n v="0"/>
    <s v="PROMO10"/>
    <s v="N/A"/>
    <s v="WH02"/>
    <s v="In Stock"/>
    <s v="Clean"/>
  </r>
  <r>
    <s v="ORD068"/>
    <x v="34"/>
    <d v="2025-02-21T00:00:00"/>
    <s v="Delivered"/>
    <s v="In-Store"/>
    <s v="ST068"/>
    <x v="3"/>
    <x v="0"/>
    <s v="Seattle"/>
    <s v="WA"/>
    <s v="West"/>
    <x v="1"/>
    <s v="Jennifer Wong"/>
    <s v="jennifer.wong@urbancart.com"/>
    <d v="2020-11-05T00:00:00"/>
    <s v="P068"/>
    <x v="67"/>
    <x v="3"/>
    <s v="Equipment"/>
    <s v="StrengthPro"/>
    <s v="SportsInc"/>
    <n v="90"/>
    <n v="50"/>
    <n v="10"/>
    <s v="Black"/>
    <s v="15lb"/>
    <n v="15"/>
    <n v="4"/>
    <n v="2"/>
    <n v="1"/>
    <n v="0.05"/>
    <n v="0.06"/>
    <n v="8"/>
    <s v="Bank Transfer"/>
    <s v="Individual"/>
    <s v="C068"/>
    <s v="Silver"/>
    <s v="REP072"/>
    <s v="Not Returned"/>
    <s v="N/A"/>
    <n v="0"/>
    <n v="-3.1485409996158449"/>
    <n v="50"/>
    <n v="90"/>
    <n v="4.4999999999999998E-2"/>
    <n v="4.05"/>
    <n v="2.4299999999999999E-3"/>
    <x v="31"/>
    <s v="Delivered"/>
    <n v="3"/>
    <s v="No"/>
    <s v="No"/>
    <n v="0"/>
    <s v="PROMO20"/>
    <s v="FurnitureSale"/>
    <s v="WH04"/>
    <s v="Low Stock"/>
    <s v="Clean"/>
  </r>
  <r>
    <s v="ORD069"/>
    <x v="34"/>
    <d v="2025-02-23T00:00:00"/>
    <s v="Shipped"/>
    <s v="Online"/>
    <s v="ST069"/>
    <x v="4"/>
    <x v="2"/>
    <s v="Boston"/>
    <s v="MA"/>
    <s v="East"/>
    <x v="0"/>
    <s v="David Kim"/>
    <s v="david.kim@urbancart.com"/>
    <d v="2019-02-12T00:00:00"/>
    <s v="P069"/>
    <x v="68"/>
    <x v="2"/>
    <s v="Bedding"/>
    <s v="ComfortHome"/>
    <s v="HomeGoods"/>
    <n v="55"/>
    <n v="30"/>
    <n v="1.2"/>
    <s v="Blue"/>
    <s v="Queen"/>
    <n v="30"/>
    <n v="7"/>
    <n v="2"/>
    <n v="2"/>
    <n v="0"/>
    <n v="0.06"/>
    <n v="5"/>
    <s v="Credit Card"/>
    <s v="Corporate"/>
    <s v="C069"/>
    <s v="Gold"/>
    <s v="REP073"/>
    <s v="Not Returned"/>
    <s v="N/A"/>
    <n v="0"/>
    <n v="-11"/>
    <n v="60"/>
    <n v="110"/>
    <n v="0"/>
    <n v="0"/>
    <n v="0"/>
    <x v="8"/>
    <s v="Shipped"/>
    <n v="5"/>
    <s v="No"/>
    <s v="No"/>
    <n v="0"/>
    <s v="N/A"/>
    <s v="N/A"/>
    <s v="WH02"/>
    <s v="In Stock"/>
    <s v="Clean"/>
  </r>
  <r>
    <s v="ORD070"/>
    <x v="35"/>
    <d v="2025-02-22T00:00:00"/>
    <s v="Delivered"/>
    <s v="In-Store"/>
    <s v="ST070"/>
    <x v="2"/>
    <x v="1"/>
    <s v="Miami"/>
    <s v="FL"/>
    <s v="South"/>
    <x v="1"/>
    <s v="Carlos Mendez"/>
    <s v="carlos.mendez@urbancart.com"/>
    <d v="2022-09-10T00:00:00"/>
    <s v="P070"/>
    <x v="69"/>
    <x v="0"/>
    <s v="Networking"/>
    <s v="NetGear"/>
    <s v="TechDistro"/>
    <n v="95"/>
    <n v="53"/>
    <n v="1.2"/>
    <s v="Black"/>
    <s v="N/A"/>
    <n v="15"/>
    <n v="4"/>
    <n v="2"/>
    <n v="1"/>
    <n v="0"/>
    <n v="0.06"/>
    <n v="8"/>
    <s v="Cash"/>
    <s v="Corporate"/>
    <s v="C070"/>
    <s v="Gold"/>
    <s v="REP074"/>
    <s v="Not Returned"/>
    <s v="N/A"/>
    <n v="0"/>
    <n v="-5.625"/>
    <n v="53"/>
    <n v="95"/>
    <n v="0"/>
    <n v="0"/>
    <n v="0"/>
    <x v="1"/>
    <s v="Delivered"/>
    <n v="3"/>
    <s v="No"/>
    <s v="No"/>
    <n v="0"/>
    <s v="N/A"/>
    <s v="N/A"/>
    <s v="WH01"/>
    <s v="In Stock"/>
    <s v="Clean"/>
  </r>
  <r>
    <s v="ORD071"/>
    <x v="35"/>
    <d v="2025-02-24T00:00:00"/>
    <s v="Delivered"/>
    <s v="Online"/>
    <s v="ST071"/>
    <x v="0"/>
    <x v="0"/>
    <s v="Phoenix"/>
    <s v="AZ"/>
    <s v="West"/>
    <x v="0"/>
    <s v="Michael Chen"/>
    <s v="michael.chen@urbancart.com"/>
    <d v="2020-03-01T00:00:00"/>
    <s v="P071"/>
    <x v="70"/>
    <x v="5"/>
    <s v="Eyewear"/>
    <s v="SunStyle"/>
    <s v="AccessoryCo"/>
    <n v="95"/>
    <n v="52"/>
    <n v="0.1"/>
    <s v="Black"/>
    <s v="One"/>
    <n v="25"/>
    <n v="5"/>
    <n v="2"/>
    <n v="1"/>
    <n v="0.05"/>
    <n v="0.06"/>
    <n v="3"/>
    <s v="PayPal"/>
    <s v="Individual"/>
    <s v="C071"/>
    <s v="Bronze"/>
    <s v="REP075"/>
    <s v="Returned"/>
    <s v="Style"/>
    <n v="47.5"/>
    <n v="-5.9193032926901887"/>
    <n v="52"/>
    <n v="95"/>
    <n v="4.7500000000000001E-2"/>
    <n v="4.5125000000000002"/>
    <n v="2.7074999999999998E-3"/>
    <x v="32"/>
    <s v="Delivered"/>
    <n v="5"/>
    <s v="No"/>
    <s v="No"/>
    <n v="0"/>
    <s v="PROMO25"/>
    <s v="Clearance"/>
    <s v="WH03"/>
    <s v="In Stock"/>
    <s v="Clean"/>
  </r>
  <r>
    <s v="ORD072"/>
    <x v="36"/>
    <d v="2025-02-23T00:00:00"/>
    <s v="Delivered"/>
    <s v="In-Store"/>
    <s v="ST072"/>
    <x v="5"/>
    <x v="3"/>
    <s v="Chicago"/>
    <s v="IL"/>
    <s v="Central"/>
    <x v="0"/>
    <s v="Robert Johnson"/>
    <s v="robert.johnson@urbancart.com"/>
    <d v="2018-08-20T00:00:00"/>
    <s v="P072"/>
    <x v="71"/>
    <x v="8"/>
    <s v="Furniture"/>
    <s v="OfficePro"/>
    <s v="OfficeSupply"/>
    <n v="220"/>
    <n v="128"/>
    <n v="25"/>
    <s v="Black"/>
    <s v="N/A"/>
    <n v="8"/>
    <n v="2"/>
    <n v="4"/>
    <n v="1"/>
    <n v="0"/>
    <n v="7.0000000000000007E-2"/>
    <n v="25"/>
    <s v="Debit Card"/>
    <s v="Corporate"/>
    <s v="C072"/>
    <s v="Platinum"/>
    <s v="REP076"/>
    <s v="Not Returned"/>
    <s v="N/A"/>
    <n v="0"/>
    <n v="-4.12"/>
    <n v="128"/>
    <n v="220"/>
    <n v="0"/>
    <n v="0"/>
    <n v="0"/>
    <x v="33"/>
    <s v="Delivered"/>
    <n v="3"/>
    <s v="Yes"/>
    <s v="No"/>
    <n v="0"/>
    <s v="PROMO20"/>
    <s v="FurnitureSale"/>
    <s v="WH05"/>
    <s v="In Stock"/>
    <s v="Clean"/>
  </r>
  <r>
    <s v="ORD073"/>
    <x v="36"/>
    <d v="2025-02-25T00:00:00"/>
    <s v="Pending"/>
    <s v="Online"/>
    <s v="ST073"/>
    <x v="10"/>
    <x v="0"/>
    <s v="Denver"/>
    <s v="CO"/>
    <s v="West"/>
    <x v="1"/>
    <s v="Amanda Martinez"/>
    <s v="amanda.martinez@urbancart.com"/>
    <d v="2022-07-03T00:00:00"/>
    <s v="P073"/>
    <x v="72"/>
    <x v="2"/>
    <s v="Hardware"/>
    <s v="HandyMan"/>
    <s v="HomeGoods"/>
    <n v="120"/>
    <n v="67"/>
    <n v="4.5"/>
    <s v="Black"/>
    <n v="25"/>
    <n v="5"/>
    <n v="3"/>
    <n v="1"/>
    <n v="0"/>
    <n v="0.06"/>
    <n v="0.12"/>
    <n v="0"/>
    <s v="Debit Card"/>
    <s v="Individual"/>
    <s v="C073"/>
    <s v="Platinum"/>
    <s v="REP077"/>
    <s v="Not Returned"/>
    <n v="0"/>
    <n v="44.17"/>
    <n v="0"/>
    <n v="0"/>
    <n v="0"/>
    <n v="0"/>
    <n v="0"/>
    <n v="0"/>
    <x v="13"/>
    <n v="5"/>
    <n v="5"/>
    <s v="Yes"/>
    <s v="No"/>
    <n v="0"/>
    <s v="N/A"/>
    <s v="WH09"/>
    <s v="In Stock"/>
    <s v="Clean"/>
    <m/>
  </r>
  <r>
    <s v="ORD074"/>
    <x v="37"/>
    <d v="2025-02-24T00:00:00"/>
    <s v="Delivered"/>
    <s v="In-Store"/>
    <s v="ST074"/>
    <x v="6"/>
    <x v="1"/>
    <s v="Houston"/>
    <s v="TX"/>
    <s v="South"/>
    <x v="1"/>
    <s v="Thomas Brown"/>
    <s v="thomas.brown@urbancart.com"/>
    <d v="2021-04-14T00:00:00"/>
    <s v="P074"/>
    <x v="73"/>
    <x v="6"/>
    <s v="Hair"/>
    <s v="StylePro"/>
    <s v="BeautyCo"/>
    <n v="65"/>
    <n v="36"/>
    <n v="1.1000000000000001"/>
    <s v="Black"/>
    <s v="N/A"/>
    <n v="28"/>
    <n v="6"/>
    <n v="2"/>
    <n v="1"/>
    <n v="0"/>
    <n v="0.06"/>
    <n v="5"/>
    <s v="Bank Transfer"/>
    <s v="Individual"/>
    <s v="C074"/>
    <s v="Silver"/>
    <s v="REP078"/>
    <s v="Not Returned"/>
    <s v="N/A"/>
    <n v="0"/>
    <n v="-6.2"/>
    <n v="36"/>
    <n v="65"/>
    <n v="0"/>
    <n v="0"/>
    <n v="0"/>
    <x v="8"/>
    <s v="Delivered"/>
    <n v="3"/>
    <s v="No"/>
    <s v="No"/>
    <n v="0"/>
    <s v="N/A"/>
    <s v="N/A"/>
    <s v="WH07"/>
    <s v="In Stock"/>
    <s v="Clean"/>
  </r>
  <r>
    <s v="ORD075"/>
    <x v="37"/>
    <d v="2025-02-26T00:00:00"/>
    <s v="Delivered"/>
    <s v="Online"/>
    <s v="ST075"/>
    <x v="7"/>
    <x v="0"/>
    <s v="Portland"/>
    <s v="OR"/>
    <s v="West"/>
    <x v="1"/>
    <s v="Sarah Williams"/>
    <s v="sarah.williams@urbancart.com"/>
    <d v="2023-02-25T00:00:00"/>
    <s v="P075"/>
    <x v="74"/>
    <x v="8"/>
    <s v="Stationery"/>
    <s v="WriteWell"/>
    <s v="OfficeSupply"/>
    <n v="4"/>
    <n v="2"/>
    <n v="0.1"/>
    <s v="Blue"/>
    <s v="N/A"/>
    <n v="500"/>
    <n v="100"/>
    <n v="1"/>
    <n v="25"/>
    <n v="0"/>
    <n v="0.04"/>
    <n v="2"/>
    <s v="PayPal"/>
    <s v="Individual"/>
    <s v="C075"/>
    <s v="Bronze"/>
    <s v="REP079"/>
    <s v="Not Returned"/>
    <s v="N/A"/>
    <n v="0"/>
    <n v="-24"/>
    <n v="50"/>
    <n v="100"/>
    <n v="0"/>
    <n v="0"/>
    <n v="0"/>
    <x v="28"/>
    <s v="Delivered"/>
    <n v="5"/>
    <s v="No"/>
    <s v="Yes"/>
    <n v="0.05"/>
    <s v="PROMO05"/>
    <s v="BulkDiscount"/>
    <s v="WH06"/>
    <s v="In Stock"/>
    <s v="Clean"/>
  </r>
  <r>
    <s v="ORD076"/>
    <x v="38"/>
    <d v="2025-02-25T00:00:00"/>
    <s v="Delivered"/>
    <s v="In-Store"/>
    <s v="ST076"/>
    <x v="8"/>
    <x v="3"/>
    <s v="Detroit"/>
    <s v="MI"/>
    <s v="Central"/>
    <x v="1"/>
    <s v="Patricia Miller"/>
    <s v="patricia.miller@urbancart.com"/>
    <d v="2022-11-30T00:00:00"/>
    <s v="P076"/>
    <x v="75"/>
    <x v="2"/>
    <s v="Cleaning"/>
    <s v="DirtDevil"/>
    <s v="HomeGoods"/>
    <n v="55"/>
    <n v="30"/>
    <n v="2.5"/>
    <s v="Red"/>
    <s v="N/A"/>
    <n v="20"/>
    <n v="5"/>
    <n v="2"/>
    <n v="1"/>
    <n v="0.05"/>
    <n v="0.05"/>
    <n v="5"/>
    <s v="Credit Card"/>
    <s v="Corporate"/>
    <s v="C076"/>
    <s v="Gold"/>
    <s v="REP080"/>
    <s v="Not Returned"/>
    <s v="N/A"/>
    <n v="0"/>
    <n v="-3.6059910509432211"/>
    <n v="30"/>
    <n v="55"/>
    <n v="2.75E-2"/>
    <n v="1.5125"/>
    <n v="7.5624999999999998E-4"/>
    <x v="34"/>
    <s v="Delivered"/>
    <n v="3"/>
    <s v="No"/>
    <s v="No"/>
    <n v="0"/>
    <s v="PROMO15"/>
    <s v="NewYear"/>
    <s v="WH02"/>
    <s v="Low Stock"/>
    <s v="Clean"/>
  </r>
  <r>
    <s v="ORD077"/>
    <x v="38"/>
    <d v="2025-02-27T00:00:00"/>
    <s v="Shipped"/>
    <s v="Online"/>
    <s v="ST077"/>
    <x v="9"/>
    <x v="3"/>
    <s v="Columbus"/>
    <s v="OH"/>
    <s v="Central"/>
    <x v="1"/>
    <s v="James Wilson"/>
    <s v="james.wilson@urbancart.com"/>
    <d v="2023-04-17T00:00:00"/>
    <s v="P077"/>
    <x v="76"/>
    <x v="3"/>
    <s v="Accessories"/>
    <s v="ShakePro"/>
    <s v="SportsInc"/>
    <n v="15"/>
    <n v="8"/>
    <n v="0.2"/>
    <s v="Black"/>
    <s v="24oz"/>
    <n v="120"/>
    <n v="25"/>
    <n v="1"/>
    <n v="4"/>
    <n v="0"/>
    <n v="0.05"/>
    <n v="3"/>
    <s v="Debit Card"/>
    <s v="Individual"/>
    <s v="C077"/>
    <s v="Bronze"/>
    <s v="REP081"/>
    <s v="Not Returned"/>
    <s v="N/A"/>
    <n v="0"/>
    <n v="-9.6666666666666661"/>
    <n v="32"/>
    <n v="60"/>
    <n v="0"/>
    <n v="0"/>
    <n v="0"/>
    <x v="20"/>
    <s v="Shipped"/>
    <n v="5"/>
    <s v="No"/>
    <s v="No"/>
    <n v="0"/>
    <s v="N/A"/>
    <s v="N/A"/>
    <s v="WH04"/>
    <s v="In Stock"/>
    <s v="Clean"/>
  </r>
  <r>
    <s v="ORD078"/>
    <x v="39"/>
    <d v="2025-02-26T00:00:00"/>
    <s v="Delivered"/>
    <s v="In-Store"/>
    <s v="ST078"/>
    <x v="1"/>
    <x v="1"/>
    <s v="Austin"/>
    <s v="TX"/>
    <s v="South"/>
    <x v="1"/>
    <s v="Lisa Rodriguez"/>
    <s v="lisa.rodriguez@urbancart.com"/>
    <d v="2021-06-15T00:00:00"/>
    <s v="P078"/>
    <x v="77"/>
    <x v="2"/>
    <s v="Decor"/>
    <s v="SoftStep"/>
    <s v="HomeGoods"/>
    <n v="140"/>
    <n v="79"/>
    <n v="6.5"/>
    <s v="Gray"/>
    <s v="5x7"/>
    <n v="12"/>
    <n v="3"/>
    <n v="3"/>
    <n v="1"/>
    <n v="0"/>
    <n v="0.06"/>
    <n v="15"/>
    <s v="Cash"/>
    <s v="Corporate"/>
    <s v="C078"/>
    <s v="Gold"/>
    <s v="REP082"/>
    <s v="Not Returned"/>
    <s v="N/A"/>
    <n v="0"/>
    <n v="-4.2666666666666666"/>
    <n v="79"/>
    <n v="140"/>
    <n v="0"/>
    <n v="0"/>
    <n v="0"/>
    <x v="16"/>
    <s v="Delivered"/>
    <n v="3"/>
    <s v="No"/>
    <s v="No"/>
    <n v="0"/>
    <s v="N/A"/>
    <s v="N/A"/>
    <s v="WH02"/>
    <s v="In Stock"/>
    <s v="Clean"/>
  </r>
  <r>
    <s v="ORD079"/>
    <x v="39"/>
    <d v="2025-02-28T00:00:00"/>
    <s v="Delivered"/>
    <s v="Online"/>
    <s v="ST079"/>
    <x v="3"/>
    <x v="0"/>
    <s v="Seattle"/>
    <s v="WA"/>
    <s v="West"/>
    <x v="1"/>
    <s v="Jennifer Wong"/>
    <s v="jennifer.wong@urbancart.com"/>
    <d v="2020-11-05T00:00:00"/>
    <s v="P079"/>
    <x v="78"/>
    <x v="0"/>
    <s v="Computers"/>
    <s v="LogiTech"/>
    <s v="TechDistro"/>
    <n v="75"/>
    <n v="41"/>
    <n v="0.2"/>
    <s v="Black"/>
    <s v="N/A"/>
    <n v="22"/>
    <n v="5"/>
    <n v="2"/>
    <n v="1"/>
    <n v="0"/>
    <n v="0.06"/>
    <n v="4"/>
    <s v="Credit Card"/>
    <s v="Individual"/>
    <s v="C079"/>
    <s v="Silver"/>
    <s v="REP083"/>
    <s v="Not Returned"/>
    <s v="N/A"/>
    <n v="0"/>
    <n v="-9.25"/>
    <n v="41"/>
    <n v="75"/>
    <n v="0"/>
    <n v="0"/>
    <n v="0"/>
    <x v="18"/>
    <s v="Delivered"/>
    <n v="5"/>
    <s v="No"/>
    <s v="No"/>
    <n v="0"/>
    <s v="PROMO10"/>
    <s v="Winter Sale"/>
    <s v="WH01"/>
    <s v="In Stock"/>
    <s v="Clean"/>
  </r>
  <r>
    <s v="ORD080"/>
    <x v="40"/>
    <d v="2025-02-27T00:00:00"/>
    <s v="Delivered"/>
    <s v="In-Store"/>
    <s v="ST080"/>
    <x v="4"/>
    <x v="2"/>
    <s v="Boston"/>
    <s v="MA"/>
    <s v="East"/>
    <x v="0"/>
    <s v="David Kim"/>
    <s v="david.kim@urbancart.com"/>
    <d v="2019-02-12T00:00:00"/>
    <s v="P080"/>
    <x v="79"/>
    <x v="4"/>
    <s v="Living"/>
    <s v="HomeStyle"/>
    <s v="FurnitureCo"/>
    <n v="200"/>
    <n v="116"/>
    <n v="15"/>
    <s v="Wood"/>
    <s v="N/A"/>
    <n v="10"/>
    <n v="2"/>
    <n v="4"/>
    <n v="1"/>
    <n v="0.1"/>
    <n v="7.0000000000000007E-2"/>
    <n v="20"/>
    <s v="Bank Transfer"/>
    <s v="Corporate"/>
    <s v="C080"/>
    <s v="Platinum"/>
    <s v="REP084"/>
    <s v="Not Returned"/>
    <s v="N/A"/>
    <n v="0"/>
    <n v="-0.93243153195175588"/>
    <n v="116"/>
    <n v="200"/>
    <n v="0.2"/>
    <n v="40"/>
    <n v="2.8000000000000004E-2"/>
    <x v="35"/>
    <s v="Delivered"/>
    <n v="3"/>
    <s v="Yes"/>
    <s v="No"/>
    <n v="0"/>
    <s v="PROMO20"/>
    <s v="FurnitureSale"/>
    <s v="WH05"/>
    <s v="In Stock"/>
    <s v="Clean"/>
  </r>
  <r>
    <s v="ORD081"/>
    <x v="40"/>
    <d v="2025-03-01T00:00:00"/>
    <s v="Pending"/>
    <s v="Online"/>
    <s v="ST081"/>
    <x v="2"/>
    <x v="1"/>
    <s v="Miami"/>
    <s v="FL"/>
    <s v="South"/>
    <x v="1"/>
    <s v="Carlos Mendez"/>
    <s v="carlos.mendez@urbancart.com"/>
    <d v="2022-09-10T00:00:00"/>
    <s v="P081"/>
    <x v="80"/>
    <x v="10"/>
    <s v="Fashion"/>
    <s v="SparkleCo"/>
    <s v="AccessoryCo"/>
    <n v="55"/>
    <n v="30"/>
    <n v="0.05"/>
    <s v="Silver"/>
    <s v="N/A"/>
    <n v="35"/>
    <n v="8"/>
    <n v="1"/>
    <n v="2"/>
    <n v="0"/>
    <n v="0.06"/>
    <n v="2"/>
    <s v="PayPal"/>
    <s v="Individual"/>
    <s v="C081"/>
    <s v="Silver"/>
    <s v="REP085"/>
    <s v="Not Returned"/>
    <s v="N/A"/>
    <n v="0"/>
    <n v="-29"/>
    <n v="60"/>
    <n v="110"/>
    <n v="0"/>
    <n v="0"/>
    <n v="0"/>
    <x v="28"/>
    <s v="Pending"/>
    <n v="5"/>
    <s v="No"/>
    <s v="No"/>
    <n v="0"/>
    <s v="N/A"/>
    <s v="N/A"/>
    <s v="WH07"/>
    <s v="In Stock"/>
    <s v="Clean"/>
  </r>
  <r>
    <s v="ORD082"/>
    <x v="41"/>
    <d v="2025-02-28T00:00:00"/>
    <s v="Delivered"/>
    <s v="In-Store"/>
    <s v="ST082"/>
    <x v="0"/>
    <x v="0"/>
    <s v="Phoenix"/>
    <s v="AZ"/>
    <s v="West"/>
    <x v="0"/>
    <s v="Michael Chen"/>
    <s v="michael.chen@urbancart.com"/>
    <d v="2020-03-01T00:00:00"/>
    <s v="P082"/>
    <x v="81"/>
    <x v="1"/>
    <s v="Outerwear"/>
    <s v="FashionFit"/>
    <s v="WearCo"/>
    <n v="85"/>
    <n v="46"/>
    <n v="0.8"/>
    <s v="Blue"/>
    <s v="L"/>
    <n v="30"/>
    <n v="7"/>
    <n v="2"/>
    <n v="1"/>
    <n v="0.05"/>
    <n v="0.06"/>
    <n v="5"/>
    <s v="Debit Card"/>
    <s v="Corporate"/>
    <s v="C082"/>
    <s v="Platinum"/>
    <s v="REP086"/>
    <s v="Not Returned"/>
    <s v="N/A"/>
    <n v="0"/>
    <n v="-4.3397301753085662"/>
    <n v="46"/>
    <n v="85"/>
    <n v="4.2500000000000003E-2"/>
    <n v="3.6125000000000003"/>
    <n v="2.1675000000000002E-3"/>
    <x v="36"/>
    <s v="Delivered"/>
    <n v="3"/>
    <s v="Yes"/>
    <s v="No"/>
    <n v="0"/>
    <s v="PROMO15"/>
    <s v="NewYear"/>
    <s v="WH03"/>
    <s v="In Stock"/>
    <s v="Clean"/>
  </r>
  <r>
    <s v="ORD083"/>
    <x v="41"/>
    <d v="2025-03-02T00:00:00"/>
    <s v="Delivered"/>
    <s v="Online"/>
    <s v="ST083"/>
    <x v="5"/>
    <x v="3"/>
    <s v="Chicago"/>
    <s v="IL"/>
    <s v="Central"/>
    <x v="0"/>
    <s v="Robert Johnson"/>
    <s v="robert.johnson@urbancart.com"/>
    <d v="2018-08-20T00:00:00"/>
    <s v="P083"/>
    <x v="82"/>
    <x v="0"/>
    <s v="Photography"/>
    <s v="Canon"/>
    <s v="TechDistro"/>
    <n v="550"/>
    <n v="330"/>
    <n v="1.2"/>
    <s v="Black"/>
    <s v="N/A"/>
    <n v="12"/>
    <n v="3"/>
    <n v="3"/>
    <n v="1"/>
    <n v="0"/>
    <n v="7.0000000000000007E-2"/>
    <n v="10"/>
    <s v="Credit Card"/>
    <s v="Corporate"/>
    <s v="C083"/>
    <s v="Gold"/>
    <s v="REP087"/>
    <s v="Not Returned"/>
    <s v="N/A"/>
    <n v="0"/>
    <n v="-32"/>
    <n v="330"/>
    <n v="550"/>
    <n v="0"/>
    <n v="0"/>
    <n v="0"/>
    <x v="3"/>
    <s v="Delivered"/>
    <n v="5"/>
    <s v="No"/>
    <s v="No"/>
    <n v="0"/>
    <s v="PROMO25"/>
    <s v="Clearance"/>
    <s v="WH01"/>
    <s v="In Stock"/>
    <s v="Clean"/>
  </r>
  <r>
    <s v="ORD084"/>
    <x v="42"/>
    <d v="2025-03-01T00:00:00"/>
    <s v="Delivered"/>
    <s v="In-Store"/>
    <s v="ST084"/>
    <x v="10"/>
    <x v="0"/>
    <s v="Denver"/>
    <s v="CO"/>
    <s v="West"/>
    <x v="1"/>
    <s v="Amanda Martinez"/>
    <s v="amanda.martinez@urbancart.com"/>
    <d v="2022-07-03T00:00:00"/>
    <s v="P084"/>
    <x v="83"/>
    <x v="2"/>
    <s v="Kitchen"/>
    <s v="WineCellar"/>
    <s v="HomeGoods"/>
    <n v="45"/>
    <n v="24"/>
    <n v="2.5"/>
    <s v="Black"/>
    <s v="N/A"/>
    <n v="18"/>
    <n v="4"/>
    <n v="2"/>
    <n v="2"/>
    <n v="0"/>
    <n v="0.06"/>
    <n v="6"/>
    <s v="Cash"/>
    <s v="Individual"/>
    <s v="C084"/>
    <s v="Bronze"/>
    <s v="REP088"/>
    <s v="Not Returned"/>
    <s v="N/A"/>
    <n v="0"/>
    <n v="-7"/>
    <n v="48"/>
    <n v="90"/>
    <n v="0"/>
    <n v="0"/>
    <n v="0"/>
    <x v="19"/>
    <s v="Delivered"/>
    <n v="3"/>
    <s v="No"/>
    <s v="No"/>
    <n v="0"/>
    <s v="N/A"/>
    <s v="N/A"/>
    <s v="WH02"/>
    <s v="In Stock"/>
    <s v="Clean"/>
  </r>
  <r>
    <s v="ORD085"/>
    <x v="42"/>
    <d v="2025-03-03T00:00:00"/>
    <s v="Shipped"/>
    <s v="Online"/>
    <s v="ST085"/>
    <x v="6"/>
    <x v="1"/>
    <s v="Houston"/>
    <s v="TX"/>
    <s v="South"/>
    <x v="1"/>
    <s v="Thomas Brown"/>
    <s v="thomas.brown@urbancart.com"/>
    <d v="2021-04-14T00:00:00"/>
    <s v="P085"/>
    <x v="84"/>
    <x v="2"/>
    <s v="Bedding"/>
    <s v="ComfortHome"/>
    <s v="HomeGoods"/>
    <n v="35"/>
    <n v="19"/>
    <n v="0.8"/>
    <s v="White"/>
    <s v="Standard"/>
    <n v="45"/>
    <n v="10"/>
    <n v="2"/>
    <n v="2"/>
    <n v="0"/>
    <n v="0.05"/>
    <n v="5"/>
    <s v="PayPal"/>
    <s v="Corporate"/>
    <s v="C085"/>
    <s v="Gold"/>
    <s v="REP089"/>
    <s v="Not Returned"/>
    <s v="N/A"/>
    <n v="0"/>
    <n v="-6.6"/>
    <n v="38"/>
    <n v="70"/>
    <n v="0"/>
    <n v="0"/>
    <n v="0"/>
    <x v="8"/>
    <s v="Shipped"/>
    <n v="5"/>
    <s v="No"/>
    <s v="No"/>
    <n v="0"/>
    <s v="N/A"/>
    <s v="N/A"/>
    <s v="WH02"/>
    <s v="In Stock"/>
    <s v="Clean"/>
  </r>
  <r>
    <s v="ORD086"/>
    <x v="43"/>
    <d v="2025-03-02T00:00:00"/>
    <s v="Delivered"/>
    <s v="In-Store"/>
    <s v="ST086"/>
    <x v="7"/>
    <x v="0"/>
    <s v="Portland"/>
    <s v="OR"/>
    <s v="West"/>
    <x v="1"/>
    <s v="Sarah Williams"/>
    <s v="sarah.williams@urbancart.com"/>
    <d v="2023-02-25T00:00:00"/>
    <s v="P086"/>
    <x v="85"/>
    <x v="0"/>
    <s v="Automotive"/>
    <s v="TrackMaster"/>
    <s v="TechDistro"/>
    <n v="65"/>
    <n v="36"/>
    <n v="0.1"/>
    <s v="Black"/>
    <s v="N/A"/>
    <n v="20"/>
    <n v="5"/>
    <n v="2"/>
    <n v="1"/>
    <n v="0"/>
    <n v="0.06"/>
    <n v="4"/>
    <s v="Debit Card"/>
    <s v="Individual"/>
    <s v="C086"/>
    <s v="Silver"/>
    <s v="REP090"/>
    <s v="Not Returned"/>
    <s v="N/A"/>
    <n v="0"/>
    <n v="-8"/>
    <n v="36"/>
    <n v="65"/>
    <n v="0"/>
    <n v="0"/>
    <n v="0"/>
    <x v="18"/>
    <s v="Delivered"/>
    <n v="3"/>
    <s v="No"/>
    <s v="No"/>
    <n v="0"/>
    <s v="PROMO10"/>
    <s v="N/A"/>
    <s v="WH01"/>
    <s v="In Stock"/>
    <s v="Clean"/>
  </r>
  <r>
    <s v="ORD087"/>
    <x v="43"/>
    <d v="2025-03-04T00:00:00"/>
    <s v="Delivered"/>
    <s v="Online"/>
    <s v="ST087"/>
    <x v="8"/>
    <x v="3"/>
    <s v="Detroit"/>
    <s v="MI"/>
    <s v="Central"/>
    <x v="1"/>
    <s v="Patricia Miller"/>
    <s v="patricia.miller@urbancart.com"/>
    <d v="2022-11-30T00:00:00"/>
    <s v="P087"/>
    <x v="86"/>
    <x v="2"/>
    <s v="Storage"/>
    <s v="HomeHelp"/>
    <s v="HomeGoods"/>
    <n v="22"/>
    <n v="12"/>
    <n v="1.2"/>
    <s v="Blue"/>
    <s v="N/A"/>
    <n v="35"/>
    <n v="8"/>
    <n v="1"/>
    <n v="2"/>
    <n v="0"/>
    <n v="0.05"/>
    <n v="4"/>
    <s v="Credit Card"/>
    <s v="Individual"/>
    <s v="C087"/>
    <s v="Bronze"/>
    <s v="REP091"/>
    <s v="Not Returned"/>
    <s v="N/A"/>
    <n v="0"/>
    <n v="-5"/>
    <n v="24"/>
    <n v="44"/>
    <n v="0"/>
    <n v="0"/>
    <n v="0"/>
    <x v="18"/>
    <s v="Delivered"/>
    <n v="5"/>
    <s v="No"/>
    <s v="No"/>
    <n v="0"/>
    <s v="N/A"/>
    <s v="N/A"/>
    <s v="WH02"/>
    <s v="In Stock"/>
    <s v="Clean"/>
  </r>
  <r>
    <s v="ORD088"/>
    <x v="44"/>
    <d v="2025-03-03T00:00:00"/>
    <s v="Delivered"/>
    <s v="In-Store"/>
    <s v="ST088"/>
    <x v="9"/>
    <x v="3"/>
    <s v="Columbus"/>
    <s v="OH"/>
    <s v="Central"/>
    <x v="1"/>
    <s v="James Wilson"/>
    <s v="james.wilson@urbancart.com"/>
    <d v="2023-04-17T00:00:00"/>
    <s v="P088"/>
    <x v="87"/>
    <x v="3"/>
    <s v="Equipment"/>
    <s v="CardioMax"/>
    <s v="SportsInc"/>
    <n v="12"/>
    <n v="6"/>
    <n v="0.2"/>
    <s v="Black"/>
    <s v="N/A"/>
    <n v="80"/>
    <n v="20"/>
    <n v="1"/>
    <n v="5"/>
    <n v="0"/>
    <n v="0.05"/>
    <n v="2"/>
    <s v="Bank Transfer"/>
    <s v="Individual"/>
    <s v="C088"/>
    <s v="Silver"/>
    <s v="REP092"/>
    <s v="Not Returned"/>
    <s v="N/A"/>
    <n v="0"/>
    <n v="-14"/>
    <n v="30"/>
    <n v="60"/>
    <n v="0"/>
    <n v="0"/>
    <n v="0"/>
    <x v="28"/>
    <s v="Delivered"/>
    <n v="3"/>
    <s v="No"/>
    <s v="No"/>
    <n v="0"/>
    <s v="N/A"/>
    <s v="N/A"/>
    <s v="WH04"/>
    <s v="In Stock"/>
    <s v="Clean"/>
  </r>
  <r>
    <s v="ORD089"/>
    <x v="44"/>
    <d v="2025-03-05T00:00:00"/>
    <s v="Pending"/>
    <s v="Online"/>
    <s v="ST089"/>
    <x v="1"/>
    <x v="1"/>
    <s v="Austin"/>
    <s v="TX"/>
    <s v="South"/>
    <x v="1"/>
    <s v="Lisa Rodriguez"/>
    <s v="lisa.rodriguez@urbancart.com"/>
    <d v="2021-06-15T00:00:00"/>
    <s v="P089"/>
    <x v="88"/>
    <x v="2"/>
    <s v="Decor"/>
    <s v="Memories"/>
    <s v="HomeGoods"/>
    <n v="18"/>
    <n v="10"/>
    <n v="0.5"/>
    <s v="Wood"/>
    <s v="8x10"/>
    <n v="50"/>
    <n v="12"/>
    <n v="1"/>
    <n v="3"/>
    <n v="0"/>
    <n v="0.05"/>
    <n v="3"/>
    <s v="Credit Card"/>
    <s v="Corporate"/>
    <s v="C089"/>
    <s v="Platinum"/>
    <s v="REP093"/>
    <s v="Not Returned"/>
    <s v="N/A"/>
    <n v="0"/>
    <n v="-9"/>
    <n v="30"/>
    <n v="54"/>
    <n v="0"/>
    <n v="0"/>
    <n v="0"/>
    <x v="20"/>
    <s v="Pending"/>
    <n v="5"/>
    <s v="Yes"/>
    <s v="No"/>
    <n v="0"/>
    <s v="N/A"/>
    <s v="N/A"/>
    <s v="WH02"/>
    <s v="In Stock"/>
    <s v="Clean"/>
  </r>
  <r>
    <s v="ORD090"/>
    <x v="45"/>
    <d v="2025-03-04T00:00:00"/>
    <s v="Delivered"/>
    <s v="In-Store"/>
    <s v="ST090"/>
    <x v="3"/>
    <x v="0"/>
    <s v="Seattle"/>
    <s v="WA"/>
    <s v="West"/>
    <x v="1"/>
    <s v="Jennifer Wong"/>
    <s v="jennifer.wong@urbancart.com"/>
    <d v="2020-11-05T00:00:00"/>
    <s v="P090"/>
    <x v="89"/>
    <x v="0"/>
    <s v="Music"/>
    <s v="KeyNote"/>
    <s v="MusicDistro"/>
    <n v="180"/>
    <n v="104"/>
    <n v="8"/>
    <s v="Black"/>
    <s v="61-key"/>
    <n v="8"/>
    <n v="2"/>
    <n v="4"/>
    <n v="1"/>
    <n v="0.05"/>
    <n v="0.06"/>
    <n v="15"/>
    <s v="Cash"/>
    <s v="Individual"/>
    <s v="C090"/>
    <s v="Bronze"/>
    <s v="REP094"/>
    <s v="Not Returned"/>
    <s v="N/A"/>
    <n v="0"/>
    <n v="-2.3322951952148241"/>
    <n v="104"/>
    <n v="180"/>
    <n v="0.09"/>
    <n v="16.2"/>
    <n v="9.7199999999999995E-3"/>
    <x v="37"/>
    <s v="Delivered"/>
    <n v="3"/>
    <s v="No"/>
    <s v="No"/>
    <n v="0"/>
    <s v="PROMO20"/>
    <s v="FurnitureSale"/>
    <s v="WH10"/>
    <s v="In Stock"/>
    <s v="Clean"/>
  </r>
  <r>
    <s v="ORD091"/>
    <x v="45"/>
    <d v="2025-03-06T00:00:00"/>
    <s v="Delivered"/>
    <s v="Online"/>
    <s v="ST091"/>
    <x v="4"/>
    <x v="2"/>
    <s v="Boston"/>
    <s v="MA"/>
    <s v="East"/>
    <x v="0"/>
    <s v="David Kim"/>
    <s v="david.kim@urbancart.com"/>
    <d v="2019-02-12T00:00:00"/>
    <s v="P091"/>
    <x v="90"/>
    <x v="1"/>
    <s v="Accessories"/>
    <s v="FashionFit"/>
    <s v="TextileCo"/>
    <n v="22"/>
    <n v="12"/>
    <n v="0.2"/>
    <s v="Black"/>
    <s v="M"/>
    <n v="60"/>
    <n v="15"/>
    <n v="1"/>
    <n v="3"/>
    <n v="0"/>
    <n v="0.05"/>
    <n v="3"/>
    <s v="PayPal"/>
    <s v="Individual"/>
    <s v="C091"/>
    <s v="Bronze"/>
    <s v="REP095"/>
    <s v="Not Returned"/>
    <s v="N/A"/>
    <n v="0"/>
    <n v="-11"/>
    <n v="36"/>
    <n v="66"/>
    <n v="0"/>
    <n v="0"/>
    <n v="0"/>
    <x v="20"/>
    <s v="Delivered"/>
    <n v="5"/>
    <s v="No"/>
    <s v="No"/>
    <n v="0"/>
    <s v="PROMO10"/>
    <s v="Winter Sale"/>
    <s v="WH03"/>
    <s v="In Stock"/>
    <s v="Clean"/>
  </r>
  <r>
    <s v="ORD092"/>
    <x v="46"/>
    <d v="2025-03-05T00:00:00"/>
    <s v="Delivered"/>
    <s v="In-Store"/>
    <s v="ST092"/>
    <x v="2"/>
    <x v="1"/>
    <s v="Miami"/>
    <s v="FL"/>
    <s v="South"/>
    <x v="1"/>
    <s v="Carlos Mendez"/>
    <s v="carlos.mendez@urbancart.com"/>
    <d v="2022-09-10T00:00:00"/>
    <s v="P092"/>
    <x v="91"/>
    <x v="0"/>
    <s v="Accessories"/>
    <s v="PowerPlus"/>
    <s v="ElectroDistro"/>
    <n v="15"/>
    <n v="8"/>
    <n v="0.3"/>
    <s v="White"/>
    <s v="10ft"/>
    <n v="100"/>
    <n v="20"/>
    <n v="1"/>
    <n v="6"/>
    <n v="0"/>
    <n v="0.05"/>
    <n v="2"/>
    <s v="Debit Card"/>
    <s v="Corporate"/>
    <s v="C092"/>
    <s v="Platinum"/>
    <s v="REP096"/>
    <s v="Not Returned"/>
    <s v="N/A"/>
    <n v="0"/>
    <n v="-23"/>
    <n v="48"/>
    <n v="90"/>
    <n v="0"/>
    <n v="0"/>
    <n v="0"/>
    <x v="28"/>
    <s v="Delivered"/>
    <n v="3"/>
    <s v="Yes"/>
    <s v="No"/>
    <n v="0"/>
    <s v="PROMO05"/>
    <s v="BulkDiscount"/>
    <s v="WH01"/>
    <s v="In Stock"/>
    <s v="Clean"/>
  </r>
  <r>
    <s v="ORD093"/>
    <x v="46"/>
    <d v="2025-03-07T00:00:00"/>
    <s v="Shipped"/>
    <s v="Online"/>
    <s v="ST093"/>
    <x v="0"/>
    <x v="0"/>
    <s v="Phoenix"/>
    <s v="AZ"/>
    <s v="West"/>
    <x v="0"/>
    <s v="Michael Chen"/>
    <s v="michael.chen@urbancart.com"/>
    <d v="2020-03-01T00:00:00"/>
    <s v="P093"/>
    <x v="92"/>
    <x v="9"/>
    <s v="Snacks"/>
    <s v="GainWell"/>
    <s v="FoodDistro"/>
    <n v="3"/>
    <n v="1.5"/>
    <n v="0.1"/>
    <s v="Chocolate"/>
    <s v="N/A"/>
    <n v="1000"/>
    <n v="200"/>
    <n v="1"/>
    <n v="40"/>
    <n v="0"/>
    <n v="0.04"/>
    <n v="4"/>
    <s v="Credit Card"/>
    <s v="Individual"/>
    <s v="C093"/>
    <s v="Silver"/>
    <s v="REP097"/>
    <s v="Not Returned"/>
    <s v="N/A"/>
    <n v="0"/>
    <n v="-14"/>
    <n v="60"/>
    <n v="120"/>
    <n v="0"/>
    <n v="0"/>
    <n v="0"/>
    <x v="18"/>
    <s v="Shipped"/>
    <n v="5"/>
    <s v="No"/>
    <s v="Yes"/>
    <n v="0.05"/>
    <s v="PROMO05"/>
    <s v="BulkDiscount"/>
    <s v="WH08"/>
    <s v="In Stock"/>
    <s v="Clean"/>
  </r>
  <r>
    <s v="ORD094"/>
    <x v="47"/>
    <d v="2025-03-06T00:00:00"/>
    <s v="Delivered"/>
    <s v="In-Store"/>
    <s v="ST094"/>
    <x v="5"/>
    <x v="3"/>
    <s v="Chicago"/>
    <s v="IL"/>
    <s v="Central"/>
    <x v="0"/>
    <s v="Robert Johnson"/>
    <s v="robert.johnson@urbancart.com"/>
    <d v="2018-08-20T00:00:00"/>
    <s v="P094"/>
    <x v="93"/>
    <x v="2"/>
    <s v="Bath"/>
    <s v="BathPro"/>
    <s v="HomeGoods"/>
    <n v="28"/>
    <n v="15"/>
    <n v="0.6"/>
    <s v="White"/>
    <s v="N/A"/>
    <n v="40"/>
    <n v="10"/>
    <n v="2"/>
    <n v="2"/>
    <n v="0"/>
    <n v="0.05"/>
    <n v="4"/>
    <s v="Bank Transfer"/>
    <s v="Corporate"/>
    <s v="C094"/>
    <s v="Gold"/>
    <s v="REP098"/>
    <s v="Not Returned"/>
    <s v="N/A"/>
    <n v="0"/>
    <n v="-6.5"/>
    <n v="30"/>
    <n v="56"/>
    <n v="0"/>
    <n v="0"/>
    <n v="0"/>
    <x v="18"/>
    <s v="Delivered"/>
    <n v="3"/>
    <s v="No"/>
    <s v="No"/>
    <n v="0"/>
    <s v="N/A"/>
    <s v="N/A"/>
    <s v="WH02"/>
    <s v="In Stock"/>
    <s v="Clean"/>
  </r>
  <r>
    <s v="ORD095"/>
    <x v="47"/>
    <d v="2025-03-08T00:00:00"/>
    <s v="Delivered"/>
    <s v="Online"/>
    <s v="ST095"/>
    <x v="10"/>
    <x v="0"/>
    <s v="Denver"/>
    <s v="CO"/>
    <s v="West"/>
    <x v="1"/>
    <s v="Amanda Martinez"/>
    <s v="amanda.martinez@urbancart.com"/>
    <d v="2022-07-03T00:00:00"/>
    <s v="P095"/>
    <x v="94"/>
    <x v="0"/>
    <s v="Music"/>
    <s v="Strummer"/>
    <s v="MusicDistro"/>
    <n v="400"/>
    <n v="240"/>
    <n v="7"/>
    <s v="Red"/>
    <s v="N/A"/>
    <n v="6"/>
    <n v="1"/>
    <n v="5"/>
    <n v="1"/>
    <n v="0.05"/>
    <n v="7.0000000000000007E-2"/>
    <n v="25"/>
    <s v="PayPal"/>
    <s v="Corporate"/>
    <s v="C095"/>
    <s v="Gold"/>
    <s v="REP099"/>
    <s v="Not Returned"/>
    <s v="N/A"/>
    <n v="0"/>
    <n v="-1.284495887907402"/>
    <n v="240"/>
    <n v="400"/>
    <n v="0.2"/>
    <n v="80"/>
    <n v="5.6000000000000008E-2"/>
    <x v="38"/>
    <s v="Delivered"/>
    <n v="5"/>
    <s v="No"/>
    <s v="No"/>
    <n v="0"/>
    <s v="PROMO25"/>
    <s v="Clearance"/>
    <s v="WH10"/>
    <s v="In Stock"/>
    <s v="Clean"/>
  </r>
  <r>
    <s v="ORD096"/>
    <x v="48"/>
    <d v="2025-03-07T00:00:00"/>
    <s v="Delivered"/>
    <s v="In-Store"/>
    <s v="ST096"/>
    <x v="6"/>
    <x v="1"/>
    <s v="Houston"/>
    <s v="TX"/>
    <s v="South"/>
    <x v="1"/>
    <s v="Thomas Brown"/>
    <s v="thomas.brown@urbancart.com"/>
    <d v="2021-04-14T00:00:00"/>
    <s v="P096"/>
    <x v="95"/>
    <x v="3"/>
    <s v="Accessories"/>
    <s v="HotCold"/>
    <s v="SportsInc"/>
    <n v="22"/>
    <n v="12"/>
    <n v="0.5"/>
    <s v="Stainless"/>
    <s v="32oz"/>
    <n v="35"/>
    <n v="8"/>
    <n v="1"/>
    <n v="2"/>
    <n v="0"/>
    <n v="0.05"/>
    <n v="3"/>
    <s v="Debit Card"/>
    <s v="Individual"/>
    <s v="C096"/>
    <s v="Bronze"/>
    <s v="REP100"/>
    <s v="Not Returned"/>
    <s v="N/A"/>
    <n v="0"/>
    <n v="-7"/>
    <n v="24"/>
    <n v="44"/>
    <n v="0"/>
    <n v="0"/>
    <n v="0"/>
    <x v="20"/>
    <s v="Delivered"/>
    <n v="3"/>
    <s v="No"/>
    <s v="No"/>
    <n v="0"/>
    <s v="N/A"/>
    <s v="N/A"/>
    <s v="WH04"/>
    <s v="Low Stock"/>
    <s v="Clean"/>
  </r>
  <r>
    <s v="ORD097"/>
    <x v="48"/>
    <d v="2025-03-09T00:00:00"/>
    <s v="Pending"/>
    <s v="Online"/>
    <s v="ST097"/>
    <x v="7"/>
    <x v="0"/>
    <s v="Portland"/>
    <s v="OR"/>
    <s v="West"/>
    <x v="1"/>
    <s v="Sarah Williams"/>
    <s v="sarah.williams@urbancart.com"/>
    <d v="2023-02-25T00:00:00"/>
    <s v="P097"/>
    <x v="96"/>
    <x v="4"/>
    <s v="Bedroom"/>
    <s v="HomeStyle"/>
    <s v="FurnitureCo"/>
    <n v="130"/>
    <n v="75"/>
    <n v="12"/>
    <s v="White"/>
    <s v="N/A"/>
    <n v="12"/>
    <n v="3"/>
    <n v="3"/>
    <n v="1"/>
    <n v="0"/>
    <n v="0.06"/>
    <n v="15"/>
    <s v="Credit Card"/>
    <s v="Corporate"/>
    <s v="C097"/>
    <s v="Platinum"/>
    <s v="REP101"/>
    <s v="Not Returned"/>
    <s v="N/A"/>
    <n v="0"/>
    <n v="-4"/>
    <n v="75"/>
    <n v="130"/>
    <n v="0"/>
    <n v="0"/>
    <n v="0"/>
    <x v="16"/>
    <s v="Pending"/>
    <n v="5"/>
    <s v="Yes"/>
    <s v="No"/>
    <n v="0"/>
    <s v="N/A"/>
    <s v="N/A"/>
    <s v="WH05"/>
    <s v="In Stock"/>
    <s v="Clean"/>
  </r>
  <r>
    <s v="ORD098"/>
    <x v="49"/>
    <d v="2025-03-08T00:00:00"/>
    <s v="Delivered"/>
    <s v="In-Store"/>
    <s v="ST098"/>
    <x v="8"/>
    <x v="3"/>
    <s v="Detroit"/>
    <s v="MI"/>
    <s v="Central"/>
    <x v="1"/>
    <s v="Patricia Miller"/>
    <s v="patricia.miller@urbancart.com"/>
    <d v="2022-11-30T00:00:00"/>
    <s v="P098"/>
    <x v="97"/>
    <x v="9"/>
    <s v="Bakery"/>
    <s v="FrenchBake"/>
    <s v="FoodDistro"/>
    <n v="4"/>
    <n v="2"/>
    <n v="0.2"/>
    <s v="N/A"/>
    <s v="N/A"/>
    <n v="150"/>
    <n v="30"/>
    <n v="1"/>
    <n v="12"/>
    <n v="0"/>
    <n v="0.04"/>
    <n v="2"/>
    <s v="Cash"/>
    <s v="Individual"/>
    <s v="C098"/>
    <s v="Silver"/>
    <s v="REP102"/>
    <s v="Not Returned"/>
    <s v="N/A"/>
    <n v="0"/>
    <n v="-11"/>
    <n v="24"/>
    <n v="48"/>
    <n v="0"/>
    <n v="0"/>
    <n v="0"/>
    <x v="28"/>
    <s v="Delivered"/>
    <n v="3"/>
    <s v="No"/>
    <s v="Yes"/>
    <n v="0.05"/>
    <s v="PROMO05"/>
    <s v="BulkDiscount"/>
    <s v="WH08"/>
    <s v="In Stock"/>
    <s v="Clean"/>
  </r>
  <r>
    <s v="ORD099"/>
    <x v="49"/>
    <d v="2025-03-10T00:00:00"/>
    <s v="Delivered"/>
    <s v="Online"/>
    <s v="ST099"/>
    <x v="9"/>
    <x v="3"/>
    <s v="Columbus"/>
    <s v="OH"/>
    <s v="Central"/>
    <x v="1"/>
    <s v="James Wilson"/>
    <s v="james.wilson@urbancart.com"/>
    <d v="2023-04-17T00:00:00"/>
    <s v="P099"/>
    <x v="98"/>
    <x v="2"/>
    <s v="Storage"/>
    <s v="OrganizeIt"/>
    <s v="HomeGoods"/>
    <n v="45"/>
    <n v="25"/>
    <n v="3.5"/>
    <s v="Black"/>
    <s v="N/A"/>
    <n v="18"/>
    <n v="4"/>
    <n v="2"/>
    <n v="1"/>
    <n v="0"/>
    <n v="0.06"/>
    <n v="6"/>
    <s v="PayPal"/>
    <s v="Corporate"/>
    <s v="C099"/>
    <s v="Platinum"/>
    <s v="REP103"/>
    <s v="Not Returned"/>
    <s v="N/A"/>
    <n v="0"/>
    <n v="-3.1666666666666665"/>
    <n v="25"/>
    <n v="45"/>
    <n v="0"/>
    <n v="0"/>
    <n v="0"/>
    <x v="19"/>
    <s v="Delivered"/>
    <n v="5"/>
    <s v="Yes"/>
    <s v="No"/>
    <n v="0"/>
    <s v="PROMO10"/>
    <s v="Winter Sale"/>
    <s v="WH02"/>
    <s v="In Stock"/>
    <s v="Clean"/>
  </r>
  <r>
    <s v="ORD100"/>
    <x v="50"/>
    <d v="2025-03-09T00:00:00"/>
    <s v="Delivered"/>
    <s v="In-Store"/>
    <s v="ST100"/>
    <x v="1"/>
    <x v="1"/>
    <s v="Austin"/>
    <s v="TX"/>
    <s v="South"/>
    <x v="1"/>
    <s v="Lisa Rodriguez"/>
    <s v="lisa.rodriguez@urbancart.com"/>
    <d v="2021-06-15T00:00:00"/>
    <s v="P100"/>
    <x v="99"/>
    <x v="2"/>
    <s v="Decor"/>
    <s v="TimeWorks"/>
    <s v="HomeGoods"/>
    <n v="35"/>
    <n v="19"/>
    <n v="0.5"/>
    <s v="Silver"/>
    <s v="N/A"/>
    <n v="25"/>
    <n v="5"/>
    <n v="1"/>
    <n v="1"/>
    <n v="0.05"/>
    <n v="0.06"/>
    <n v="3"/>
    <s v="Debit Card"/>
    <s v="Individual"/>
    <s v="C100"/>
    <s v="Bronze"/>
    <s v="REP104"/>
    <s v="Not Returned"/>
    <s v="N/A"/>
    <n v="0"/>
    <n v="-4.2589805742945179"/>
    <n v="19"/>
    <n v="35"/>
    <n v="1.7500000000000002E-2"/>
    <n v="0.61250000000000004"/>
    <n v="3.6749999999999999E-4"/>
    <x v="39"/>
    <s v="Delivered"/>
    <n v="3"/>
    <s v="No"/>
    <s v="No"/>
    <n v="0"/>
    <s v="PROMO15"/>
    <s v="NewYear"/>
    <s v="WH02"/>
    <s v="In Stock"/>
    <s v="Clean"/>
  </r>
  <r>
    <s v="ORD101"/>
    <x v="50"/>
    <d v="2025-03-11T00:00:00"/>
    <s v="Delivered"/>
    <s v="Online"/>
    <s v="ST101"/>
    <x v="3"/>
    <x v="0"/>
    <s v="Seattle"/>
    <s v="WA"/>
    <s v="West"/>
    <x v="1"/>
    <s v="Jennifer Wong"/>
    <s v="jennifer.wong@urbancart.com"/>
    <d v="2020-11-05T00:00:00"/>
    <s v="P101"/>
    <x v="100"/>
    <x v="8"/>
    <s v="Stationery"/>
    <s v="ArtCraft"/>
    <s v="OfficeSupply"/>
    <n v="18"/>
    <n v="9"/>
    <n v="0.3"/>
    <s v="Green"/>
    <s v="A3"/>
    <n v="45"/>
    <n v="10"/>
    <n v="2"/>
    <n v="2"/>
    <n v="0"/>
    <n v="0.05"/>
    <n v="3"/>
    <s v="Credit Card"/>
    <s v="Individual"/>
    <s v="C101"/>
    <s v="Silver"/>
    <s v="REP105"/>
    <s v="Not Returned"/>
    <s v="N/A"/>
    <n v="0"/>
    <n v="-5"/>
    <n v="18"/>
    <n v="36"/>
    <n v="0"/>
    <n v="0"/>
    <n v="0"/>
    <x v="20"/>
    <s v="Delivered"/>
    <n v="5"/>
    <s v="No"/>
    <s v="No"/>
    <n v="0"/>
    <s v="N/A"/>
    <s v="N/A"/>
    <s v="WH06"/>
    <s v="In Stock"/>
    <s v="Clean"/>
  </r>
  <r>
    <s v="ORD102"/>
    <x v="51"/>
    <d v="2025-03-10T00:00:00"/>
    <s v="Delivered"/>
    <s v="In-Store"/>
    <s v="ST102"/>
    <x v="4"/>
    <x v="2"/>
    <s v="Boston"/>
    <s v="MA"/>
    <s v="East"/>
    <x v="0"/>
    <s v="David Kim"/>
    <s v="david.kim@urbancart.com"/>
    <d v="2019-02-12T00:00:00"/>
    <s v="P102"/>
    <x v="101"/>
    <x v="12"/>
    <s v="Accessories"/>
    <s v="ComfyPet"/>
    <s v="PetCo"/>
    <n v="65"/>
    <n v="36"/>
    <n v="2.5"/>
    <s v="Gray"/>
    <s v="L"/>
    <n v="15"/>
    <n v="4"/>
    <n v="2"/>
    <n v="1"/>
    <n v="0"/>
    <n v="0.06"/>
    <n v="8"/>
    <s v="Bank Transfer"/>
    <s v="Corporate"/>
    <s v="C102"/>
    <s v="Gold"/>
    <s v="REP106"/>
    <s v="Not Returned"/>
    <s v="N/A"/>
    <n v="0"/>
    <n v="-3.5"/>
    <n v="36"/>
    <n v="65"/>
    <n v="0"/>
    <n v="0"/>
    <n v="0"/>
    <x v="1"/>
    <s v="Delivered"/>
    <n v="3"/>
    <s v="No"/>
    <s v="No"/>
    <n v="0"/>
    <s v="N/A"/>
    <s v="N/A"/>
    <s v="WH11"/>
    <s v="In Stock"/>
    <s v="Clean"/>
  </r>
  <r>
    <s v="ORD103"/>
    <x v="51"/>
    <d v="2025-03-12T00:00:00"/>
    <s v="Shipped"/>
    <s v="Online"/>
    <s v="ST103"/>
    <x v="2"/>
    <x v="1"/>
    <s v="Miami"/>
    <s v="FL"/>
    <s v="South"/>
    <x v="1"/>
    <s v="Carlos Mendez"/>
    <s v="carlos.mendez@urbancart.com"/>
    <d v="2022-09-10T00:00:00"/>
    <s v="P103"/>
    <x v="102"/>
    <x v="0"/>
    <s v="Computers"/>
    <s v="PortMaster"/>
    <s v="TechDistro"/>
    <n v="42"/>
    <n v="23"/>
    <n v="0.15"/>
    <s v="Black"/>
    <s v="4-port"/>
    <n v="40"/>
    <n v="10"/>
    <n v="1"/>
    <n v="2"/>
    <n v="0"/>
    <n v="0.05"/>
    <n v="4"/>
    <s v="PayPal"/>
    <s v="Individual"/>
    <s v="C103"/>
    <s v="Bronze"/>
    <s v="REP107"/>
    <s v="Not Returned"/>
    <s v="N/A"/>
    <n v="0"/>
    <n v="-10.5"/>
    <n v="46"/>
    <n v="84"/>
    <n v="0"/>
    <n v="0"/>
    <n v="0"/>
    <x v="18"/>
    <s v="Shipped"/>
    <n v="5"/>
    <s v="No"/>
    <s v="No"/>
    <n v="0"/>
    <s v="PROMO10"/>
    <s v="N/A"/>
    <s v="WH01"/>
    <s v="In Stock"/>
    <s v="Clean"/>
  </r>
  <r>
    <s v="ORD104"/>
    <x v="52"/>
    <d v="2025-03-11T00:00:00"/>
    <s v="Delivered"/>
    <s v="In-Store"/>
    <s v="ST104"/>
    <x v="0"/>
    <x v="0"/>
    <s v="Phoenix"/>
    <s v="AZ"/>
    <s v="West"/>
    <x v="0"/>
    <s v="Michael Chen"/>
    <s v="michael.chen@urbancart.com"/>
    <d v="2020-03-01T00:00:00"/>
    <s v="P104"/>
    <x v="103"/>
    <x v="2"/>
    <s v="Kitchen"/>
    <s v="NonStickPro"/>
    <s v="HomeGoods"/>
    <n v="55"/>
    <n v="30"/>
    <n v="2.2000000000000002"/>
    <s v="Black"/>
    <s v="14-inch"/>
    <n v="20"/>
    <n v="5"/>
    <n v="2"/>
    <n v="1"/>
    <n v="0.05"/>
    <n v="0.06"/>
    <n v="5"/>
    <s v="Debit Card"/>
    <s v="Corporate"/>
    <s v="C104"/>
    <s v="Platinum"/>
    <s v="REP108"/>
    <s v="Not Returned"/>
    <s v="N/A"/>
    <n v="0"/>
    <n v="-3.6058840936944296"/>
    <n v="30"/>
    <n v="55"/>
    <n v="2.75E-2"/>
    <n v="1.5125"/>
    <n v="9.0749999999999989E-4"/>
    <x v="40"/>
    <s v="Delivered"/>
    <n v="3"/>
    <s v="Yes"/>
    <s v="No"/>
    <n v="0"/>
    <s v="PROMO15"/>
    <s v="NewYear"/>
    <s v="WH02"/>
    <s v="In Stock"/>
    <s v="Clean"/>
  </r>
  <r>
    <s v="ORD105"/>
    <x v="52"/>
    <d v="2025-03-13T00:00:00"/>
    <s v="Delivered"/>
    <s v="Online"/>
    <s v="ST105"/>
    <x v="5"/>
    <x v="3"/>
    <s v="Chicago"/>
    <s v="IL"/>
    <s v="Central"/>
    <x v="0"/>
    <s v="Robert Johnson"/>
    <s v="robert.johnson@urbancart.com"/>
    <d v="2018-08-20T00:00:00"/>
    <s v="P105"/>
    <x v="104"/>
    <x v="1"/>
    <s v="Accessories"/>
    <s v="FashionFit"/>
    <s v="TextileCo"/>
    <n v="28"/>
    <n v="15"/>
    <n v="0.1"/>
    <s v="Blue"/>
    <s v="One"/>
    <n v="45"/>
    <n v="10"/>
    <n v="1"/>
    <n v="2"/>
    <n v="0"/>
    <n v="0.05"/>
    <n v="3"/>
    <s v="Credit Card"/>
    <s v="Corporate"/>
    <s v="C105"/>
    <s v="Gold"/>
    <s v="REP109"/>
    <s v="Not Returned"/>
    <s v="N/A"/>
    <n v="0"/>
    <n v="-9"/>
    <n v="30"/>
    <n v="56"/>
    <n v="0"/>
    <n v="0"/>
    <n v="0"/>
    <x v="20"/>
    <s v="Delivered"/>
    <n v="5"/>
    <s v="No"/>
    <s v="No"/>
    <n v="0"/>
    <s v="N/A"/>
    <s v="N/A"/>
    <s v="WH03"/>
    <s v="In Stock"/>
    <s v="Clean"/>
  </r>
  <r>
    <s v="ORD106"/>
    <x v="53"/>
    <d v="2025-03-12T00:00:00"/>
    <s v="Delivered"/>
    <s v="In-Store"/>
    <s v="ST106"/>
    <x v="10"/>
    <x v="0"/>
    <s v="Denver"/>
    <s v="CO"/>
    <s v="West"/>
    <x v="1"/>
    <s v="Amanda Martinez"/>
    <s v="amanda.martinez@urbancart.com"/>
    <d v="2022-07-03T00:00:00"/>
    <s v="P106"/>
    <x v="105"/>
    <x v="6"/>
    <s v="Beauty"/>
    <s v="GlowUp"/>
    <s v="BeautyCo"/>
    <n v="24"/>
    <n v="13"/>
    <n v="0.3"/>
    <s v="White"/>
    <s v="N/A"/>
    <n v="55"/>
    <n v="12"/>
    <n v="1"/>
    <n v="3"/>
    <n v="0"/>
    <n v="0.05"/>
    <n v="3"/>
    <s v="Cash"/>
    <s v="Individual"/>
    <s v="C106"/>
    <s v="Bronze"/>
    <s v="REP110"/>
    <s v="Not Returned"/>
    <s v="N/A"/>
    <n v="0"/>
    <n v="-12"/>
    <n v="39"/>
    <n v="72"/>
    <n v="0"/>
    <n v="0"/>
    <n v="0"/>
    <x v="20"/>
    <s v="Delivered"/>
    <n v="3"/>
    <s v="No"/>
    <s v="No"/>
    <n v="0"/>
    <s v="N/A"/>
    <s v="N/A"/>
    <s v="WH07"/>
    <s v="In Stock"/>
    <s v="Clean"/>
  </r>
  <r>
    <s v="ORD107"/>
    <x v="53"/>
    <d v="2025-03-14T00:00:00"/>
    <s v="Pending"/>
    <s v="Online"/>
    <s v="ST107"/>
    <x v="6"/>
    <x v="1"/>
    <s v="Houston"/>
    <s v="TX"/>
    <s v="South"/>
    <x v="1"/>
    <s v="Thomas Brown"/>
    <s v="thomas.brown@urbancart.com"/>
    <d v="2021-04-14T00:00:00"/>
    <s v="P107"/>
    <x v="106"/>
    <x v="2"/>
    <s v="Bedding"/>
    <s v="ComfortHome"/>
    <s v="HomeGoods"/>
    <n v="48"/>
    <n v="26"/>
    <n v="1.2"/>
    <s v="White"/>
    <s v="Standard"/>
    <n v="25"/>
    <n v="6"/>
    <n v="2"/>
    <n v="2"/>
    <n v="0.05"/>
    <n v="0.06"/>
    <n v="5"/>
    <s v="PayPal"/>
    <s v="Individual"/>
    <s v="C107"/>
    <s v="Silver"/>
    <s v="REP111"/>
    <s v="Not Returned"/>
    <s v="N/A"/>
    <n v="0"/>
    <n v="-4.4105995810031686"/>
    <n v="52"/>
    <n v="96"/>
    <n v="4.8000000000000001E-2"/>
    <n v="4.6080000000000005"/>
    <n v="2.7648E-3"/>
    <x v="41"/>
    <s v="Pending"/>
    <n v="5"/>
    <s v="No"/>
    <s v="No"/>
    <n v="0"/>
    <s v="PROMO20"/>
    <s v="FurnitureSale"/>
    <s v="WH02"/>
    <s v="Low Stock"/>
    <s v="Clean"/>
  </r>
  <r>
    <s v="ORD108"/>
    <x v="54"/>
    <d v="2025-03-13T00:00:00"/>
    <s v="Delivered"/>
    <s v="In-Store"/>
    <s v="ST108"/>
    <x v="7"/>
    <x v="0"/>
    <s v="Portland"/>
    <s v="OR"/>
    <s v="West"/>
    <x v="1"/>
    <s v="Sarah Williams"/>
    <s v="sarah.williams@urbancart.com"/>
    <d v="2023-02-25T00:00:00"/>
    <s v="P108"/>
    <x v="107"/>
    <x v="12"/>
    <s v="Accessories"/>
    <s v="FurryFun"/>
    <s v="PetCo"/>
    <n v="8"/>
    <n v="4"/>
    <n v="0.1"/>
    <s v="Assorted"/>
    <s v="N/A"/>
    <n v="150"/>
    <n v="30"/>
    <n v="1"/>
    <n v="6"/>
    <n v="0"/>
    <n v="0.05"/>
    <n v="2"/>
    <s v="Debit Card"/>
    <s v="Corporate"/>
    <s v="C108"/>
    <s v="Platinum"/>
    <s v="REP112"/>
    <s v="Not Returned"/>
    <s v="N/A"/>
    <n v="0"/>
    <n v="-11"/>
    <n v="24"/>
    <n v="48"/>
    <n v="0"/>
    <n v="0"/>
    <n v="0"/>
    <x v="28"/>
    <s v="Delivered"/>
    <n v="3"/>
    <s v="Yes"/>
    <s v="No"/>
    <n v="0"/>
    <s v="PROMO05"/>
    <s v="BulkDiscount"/>
    <s v="WH11"/>
    <s v="In Stock"/>
    <s v="Clean"/>
  </r>
  <r>
    <s v="ORD109"/>
    <x v="54"/>
    <d v="2025-03-15T00:00:00"/>
    <s v="Delivered"/>
    <s v="Online"/>
    <s v="ST109"/>
    <x v="8"/>
    <x v="3"/>
    <s v="Detroit"/>
    <s v="MI"/>
    <s v="Central"/>
    <x v="1"/>
    <s v="Patricia Miller"/>
    <s v="patricia.miller@urbancart.com"/>
    <d v="2022-11-30T00:00:00"/>
    <s v="P109"/>
    <x v="108"/>
    <x v="2"/>
    <s v="Lighting"/>
    <s v="LumiHome"/>
    <s v="HomeGoods"/>
    <n v="52"/>
    <n v="29"/>
    <n v="1.1000000000000001"/>
    <s v="Black"/>
    <s v="N/A"/>
    <n v="18"/>
    <n v="4"/>
    <n v="2"/>
    <n v="1"/>
    <n v="0"/>
    <n v="0.06"/>
    <n v="5"/>
    <s v="Credit Card"/>
    <s v="Corporate"/>
    <s v="C109"/>
    <s v="Platinum"/>
    <s v="REP113"/>
    <s v="Not Returned"/>
    <s v="N/A"/>
    <n v="0"/>
    <n v="-4.8"/>
    <n v="29"/>
    <n v="52"/>
    <n v="0"/>
    <n v="0"/>
    <n v="0"/>
    <x v="8"/>
    <s v="Delivered"/>
    <n v="5"/>
    <s v="Yes"/>
    <s v="No"/>
    <n v="0"/>
    <s v="PROMO10"/>
    <s v="Winter Sale"/>
    <s v="WH02"/>
    <s v="In Stock"/>
    <s v="Clean"/>
  </r>
  <r>
    <s v="ORD110"/>
    <x v="55"/>
    <d v="2025-03-14T00:00:00"/>
    <s v="Delivered"/>
    <s v="In-Store"/>
    <s v="ST110"/>
    <x v="9"/>
    <x v="3"/>
    <s v="Columbus"/>
    <s v="OH"/>
    <s v="Central"/>
    <x v="1"/>
    <s v="James Wilson"/>
    <s v="james.wilson@urbancart.com"/>
    <d v="2023-04-17T00:00:00"/>
    <s v="P110"/>
    <x v="109"/>
    <x v="3"/>
    <s v="Sports"/>
    <s v="GoalMax"/>
    <s v="SportsInc"/>
    <n v="32"/>
    <n v="17"/>
    <n v="1.2"/>
    <s v="Orange"/>
    <n v="7"/>
    <n v="35"/>
    <n v="8"/>
    <n v="1"/>
    <n v="2"/>
    <n v="0"/>
    <n v="0.05"/>
    <n v="4"/>
    <s v="Bank Transfer"/>
    <s v="Individual"/>
    <s v="C110"/>
    <s v="Bronze"/>
    <s v="REP114"/>
    <s v="Not Returned"/>
    <s v="N/A"/>
    <n v="0"/>
    <n v="-7.5"/>
    <n v="34"/>
    <n v="64"/>
    <n v="0"/>
    <n v="0"/>
    <n v="0"/>
    <x v="18"/>
    <s v="Delivered"/>
    <n v="3"/>
    <s v="No"/>
    <s v="No"/>
    <n v="0"/>
    <s v="N/A"/>
    <s v="N/A"/>
    <s v="WH04"/>
    <s v="In Stock"/>
    <s v="Clean"/>
  </r>
  <r>
    <s v="ORD111"/>
    <x v="55"/>
    <d v="2025-03-16T00:00:00"/>
    <s v="Shipped"/>
    <s v="Online"/>
    <s v="ST111"/>
    <x v="1"/>
    <x v="1"/>
    <s v="Austin"/>
    <s v="TX"/>
    <s v="South"/>
    <x v="1"/>
    <s v="Lisa Rodriguez"/>
    <s v="lisa.rodriguez@urbancart.com"/>
    <d v="2021-06-15T00:00:00"/>
    <s v="P111"/>
    <x v="110"/>
    <x v="2"/>
    <s v="Appliances"/>
    <s v="GrillMaster"/>
    <s v="HomeGoods"/>
    <n v="38"/>
    <n v="21"/>
    <n v="1.8"/>
    <s v="Black"/>
    <s v="N/A"/>
    <n v="22"/>
    <n v="5"/>
    <n v="2"/>
    <n v="1"/>
    <n v="0"/>
    <n v="0.06"/>
    <n v="5"/>
    <s v="Credit Card"/>
    <s v="Individual"/>
    <s v="C111"/>
    <s v="Silver"/>
    <s v="REP115"/>
    <s v="Not Returned"/>
    <s v="N/A"/>
    <n v="0"/>
    <n v="-3.2"/>
    <n v="21"/>
    <n v="38"/>
    <n v="0"/>
    <n v="0"/>
    <n v="0"/>
    <x v="8"/>
    <s v="Shipped"/>
    <n v="5"/>
    <s v="No"/>
    <s v="No"/>
    <n v="0"/>
    <s v="N/A"/>
    <s v="N/A"/>
    <s v="WH02"/>
    <s v="In Stock"/>
    <s v="Clean"/>
  </r>
  <r>
    <s v="ORD112"/>
    <x v="56"/>
    <d v="2025-03-15T00:00:00"/>
    <s v="Delivered"/>
    <s v="In-Store"/>
    <s v="ST112"/>
    <x v="3"/>
    <x v="0"/>
    <s v="Seattle"/>
    <s v="WA"/>
    <s v="West"/>
    <x v="1"/>
    <s v="Jennifer Wong"/>
    <s v="jennifer.wong@urbancart.com"/>
    <d v="2020-11-05T00:00:00"/>
    <s v="P112"/>
    <x v="111"/>
    <x v="12"/>
    <s v="Accessories"/>
    <s v="WalkWell"/>
    <s v="PetCo"/>
    <n v="18"/>
    <n v="10"/>
    <n v="0.3"/>
    <s v="Black"/>
    <s v="6ft"/>
    <n v="60"/>
    <n v="15"/>
    <n v="1"/>
    <n v="3"/>
    <n v="0"/>
    <n v="0.05"/>
    <n v="3"/>
    <s v="Debit Card"/>
    <s v="Corporate"/>
    <s v="C112"/>
    <s v="Gold"/>
    <s v="REP116"/>
    <s v="Not Returned"/>
    <s v="N/A"/>
    <n v="0"/>
    <n v="-9"/>
    <n v="30"/>
    <n v="54"/>
    <n v="0"/>
    <n v="0"/>
    <n v="0"/>
    <x v="20"/>
    <s v="Delivered"/>
    <n v="3"/>
    <s v="No"/>
    <s v="No"/>
    <n v="0"/>
    <s v="N/A"/>
    <s v="N/A"/>
    <s v="WH11"/>
    <s v="In Stock"/>
    <s v="Clean"/>
  </r>
  <r>
    <s v="ORD113"/>
    <x v="56"/>
    <d v="2025-03-17T00:00:00"/>
    <s v="Delivered"/>
    <s v="Online"/>
    <s v="ST113"/>
    <x v="4"/>
    <x v="2"/>
    <s v="Boston"/>
    <s v="MA"/>
    <s v="East"/>
    <x v="0"/>
    <s v="David Kim"/>
    <s v="david.kim@urbancart.com"/>
    <d v="2019-02-12T00:00:00"/>
    <s v="P113"/>
    <x v="112"/>
    <x v="0"/>
    <s v="Accessories"/>
    <s v="LogiTech"/>
    <s v="TechDistro"/>
    <n v="22"/>
    <n v="12"/>
    <n v="0.1"/>
    <s v="Black"/>
    <s v="N/A"/>
    <n v="70"/>
    <n v="15"/>
    <n v="1"/>
    <n v="3"/>
    <n v="0"/>
    <n v="0.05"/>
    <n v="2"/>
    <s v="PayPal"/>
    <s v="Individual"/>
    <s v="C113"/>
    <s v="Bronze"/>
    <s v="REP117"/>
    <s v="Not Returned"/>
    <s v="N/A"/>
    <n v="0"/>
    <n v="-17"/>
    <n v="36"/>
    <n v="66"/>
    <n v="0"/>
    <n v="0"/>
    <n v="0"/>
    <x v="28"/>
    <s v="Delivered"/>
    <n v="5"/>
    <s v="No"/>
    <s v="No"/>
    <n v="0"/>
    <s v="PROMO10"/>
    <s v="N/A"/>
    <s v="WH01"/>
    <s v="In Stock"/>
    <s v="Clean"/>
  </r>
  <r>
    <s v="ORD114"/>
    <x v="57"/>
    <d v="2025-03-16T00:00:00"/>
    <s v="Delivered"/>
    <s v="In-Store"/>
    <s v="ST114"/>
    <x v="2"/>
    <x v="1"/>
    <s v="Miami"/>
    <s v="FL"/>
    <s v="South"/>
    <x v="1"/>
    <s v="Carlos Mendez"/>
    <s v="carlos.mendez@urbancart.com"/>
    <d v="2022-09-10T00:00:00"/>
    <s v="P114"/>
    <x v="113"/>
    <x v="2"/>
    <s v="Bath"/>
    <s v="SoftTouch"/>
    <s v="HomeGoods"/>
    <n v="22"/>
    <n v="12"/>
    <n v="0.6"/>
    <s v="Gray"/>
    <s v="N/A"/>
    <n v="45"/>
    <n v="10"/>
    <n v="1"/>
    <n v="2"/>
    <n v="0"/>
    <n v="0.05"/>
    <n v="3"/>
    <s v="Cash"/>
    <s v="Individual"/>
    <s v="C114"/>
    <s v="Silver"/>
    <s v="REP118"/>
    <s v="Not Returned"/>
    <s v="N/A"/>
    <n v="0"/>
    <n v="-7"/>
    <n v="24"/>
    <n v="44"/>
    <n v="0"/>
    <n v="0"/>
    <n v="0"/>
    <x v="20"/>
    <s v="Delivered"/>
    <n v="3"/>
    <s v="No"/>
    <s v="No"/>
    <n v="0"/>
    <s v="N/A"/>
    <s v="N/A"/>
    <s v="WH02"/>
    <s v="In Stock"/>
    <s v="Clean"/>
  </r>
  <r>
    <s v="ORD115"/>
    <x v="57"/>
    <d v="2025-03-18T00:00:00"/>
    <s v="Pending"/>
    <s v="Online"/>
    <s v="ST115"/>
    <x v="0"/>
    <x v="0"/>
    <s v="Phoenix"/>
    <s v="AZ"/>
    <s v="West"/>
    <x v="0"/>
    <s v="Michael Chen"/>
    <s v="michael.chen@urbancart.com"/>
    <d v="2020-03-01T00:00:00"/>
    <s v="P115"/>
    <x v="114"/>
    <x v="0"/>
    <s v="Audio"/>
    <s v="SoundCo"/>
    <s v="TechDistro"/>
    <n v="16"/>
    <n v="9"/>
    <n v="0.1"/>
    <s v="Black"/>
    <s v="N/A"/>
    <n v="45"/>
    <n v="10"/>
    <n v="1"/>
    <n v="3"/>
    <n v="0"/>
    <n v="0.05"/>
    <n v="2"/>
    <s v="Credit Card"/>
    <s v="Corporate"/>
    <s v="C115"/>
    <s v="Gold"/>
    <s v="REP119"/>
    <s v="Not Returned"/>
    <s v="N/A"/>
    <n v="0"/>
    <n v="-12.5"/>
    <n v="27"/>
    <n v="48"/>
    <n v="0"/>
    <n v="0"/>
    <n v="0"/>
    <x v="28"/>
    <s v="Pending"/>
    <n v="5"/>
    <s v="No"/>
    <s v="No"/>
    <n v="0"/>
    <s v="N/A"/>
    <s v="N/A"/>
    <s v="WH01"/>
    <s v="In Stock"/>
    <s v="Clean"/>
  </r>
  <r>
    <s v="ORD116"/>
    <x v="58"/>
    <d v="2025-03-17T00:00:00"/>
    <s v="Delivered"/>
    <s v="In-Store"/>
    <s v="ST116"/>
    <x v="5"/>
    <x v="3"/>
    <s v="Chicago"/>
    <s v="IL"/>
    <s v="Central"/>
    <x v="0"/>
    <s v="Robert Johnson"/>
    <s v="robert.johnson@urbancart.com"/>
    <d v="2018-08-20T00:00:00"/>
    <s v="P116"/>
    <x v="115"/>
    <x v="2"/>
    <s v="Kitchen"/>
    <s v="NonStickPro"/>
    <s v="HomeGoods"/>
    <n v="48"/>
    <n v="26"/>
    <n v="2.2000000000000002"/>
    <s v="Black"/>
    <s v="10-inch"/>
    <n v="15"/>
    <n v="4"/>
    <n v="2"/>
    <n v="1"/>
    <n v="0"/>
    <n v="0.06"/>
    <n v="5"/>
    <s v="Bank Transfer"/>
    <s v="Corporate"/>
    <s v="C116"/>
    <s v="Platinum"/>
    <s v="REP120"/>
    <s v="Not Returned"/>
    <s v="N/A"/>
    <n v="0"/>
    <n v="-4.2"/>
    <n v="26"/>
    <n v="48"/>
    <n v="0"/>
    <n v="0"/>
    <n v="0"/>
    <x v="8"/>
    <s v="Delivered"/>
    <n v="3"/>
    <s v="Yes"/>
    <s v="No"/>
    <n v="0"/>
    <s v="PROMO15"/>
    <s v="NewYear"/>
    <s v="WH02"/>
    <s v="In Stock"/>
    <s v="Clean"/>
  </r>
  <r>
    <s v="ORD117"/>
    <x v="58"/>
    <d v="2025-03-19T00:00:00"/>
    <s v="Delivered"/>
    <s v="Online"/>
    <s v="ST117"/>
    <x v="10"/>
    <x v="0"/>
    <s v="Denver"/>
    <s v="CO"/>
    <s v="West"/>
    <x v="1"/>
    <s v="Amanda Martinez"/>
    <s v="amanda.martinez@urbancart.com"/>
    <d v="2022-07-03T00:00:00"/>
    <s v="P117"/>
    <x v="116"/>
    <x v="3"/>
    <s v="Accessories"/>
    <s v="FlexFit"/>
    <s v="SportsInc"/>
    <n v="15"/>
    <n v="8"/>
    <n v="0.2"/>
    <s v="Blue"/>
    <s v="8ft"/>
    <n v="55"/>
    <n v="12"/>
    <n v="1"/>
    <n v="4"/>
    <n v="0"/>
    <n v="0.05"/>
    <n v="2"/>
    <s v="PayPal"/>
    <s v="Individual"/>
    <s v="C117"/>
    <s v="Bronze"/>
    <s v="REP121"/>
    <s v="Not Returned"/>
    <s v="N/A"/>
    <n v="0"/>
    <n v="-15"/>
    <n v="32"/>
    <n v="60"/>
    <n v="0"/>
    <n v="0"/>
    <n v="0"/>
    <x v="28"/>
    <s v="Delivered"/>
    <n v="5"/>
    <s v="No"/>
    <s v="No"/>
    <n v="0"/>
    <s v="N/A"/>
    <s v="N/A"/>
    <s v="WH04"/>
    <s v="In Stock"/>
    <s v="Clean"/>
  </r>
  <r>
    <s v="ORD118"/>
    <x v="59"/>
    <d v="2025-03-18T00:00:00"/>
    <s v="Delivered"/>
    <s v="In-Store"/>
    <s v="ST118"/>
    <x v="6"/>
    <x v="1"/>
    <s v="Houston"/>
    <s v="TX"/>
    <s v="South"/>
    <x v="1"/>
    <s v="Thomas Brown"/>
    <s v="thomas.brown@urbancart.com"/>
    <d v="2021-04-14T00:00:00"/>
    <s v="P118"/>
    <x v="117"/>
    <x v="2"/>
    <s v="Kitchen"/>
    <s v="CeramicArt"/>
    <s v="HomeGoods"/>
    <n v="12"/>
    <n v="6"/>
    <n v="0.5"/>
    <s v="Blue"/>
    <s v="12oz"/>
    <n v="80"/>
    <n v="20"/>
    <n v="1"/>
    <n v="6"/>
    <n v="0"/>
    <n v="0.05"/>
    <n v="2"/>
    <s v="Debit Card"/>
    <s v="Individual"/>
    <s v="C118"/>
    <s v="Silver"/>
    <s v="REP122"/>
    <s v="Not Returned"/>
    <s v="N/A"/>
    <n v="0"/>
    <n v="-17"/>
    <n v="36"/>
    <n v="72"/>
    <n v="0"/>
    <n v="0"/>
    <n v="0"/>
    <x v="28"/>
    <s v="Delivered"/>
    <n v="3"/>
    <s v="No"/>
    <s v="No"/>
    <n v="0"/>
    <s v="PROMO05"/>
    <s v="BulkDiscount"/>
    <s v="WH02"/>
    <s v="In Stock"/>
    <s v="Clean"/>
  </r>
  <r>
    <s v="ORD119"/>
    <x v="59"/>
    <d v="2025-03-20T00:00:00"/>
    <s v="Shipped"/>
    <s v="Online"/>
    <s v="ST119"/>
    <x v="7"/>
    <x v="0"/>
    <s v="Portland"/>
    <s v="OR"/>
    <s v="West"/>
    <x v="1"/>
    <s v="Sarah Williams"/>
    <s v="sarah.williams@urbancart.com"/>
    <d v="2023-02-25T00:00:00"/>
    <s v="P119"/>
    <x v="118"/>
    <x v="0"/>
    <s v="Accessories"/>
    <s v="PowerPlus"/>
    <s v="TechDistro"/>
    <n v="35"/>
    <n v="19"/>
    <n v="0.1"/>
    <s v="White"/>
    <s v="N/A"/>
    <n v="30"/>
    <n v="8"/>
    <n v="1"/>
    <n v="2"/>
    <n v="0.05"/>
    <n v="0.05"/>
    <n v="3"/>
    <s v="Credit Card"/>
    <s v="Individual"/>
    <s v="C119"/>
    <s v="Bronze"/>
    <s v="REP123"/>
    <s v="Not Returned"/>
    <s v="N/A"/>
    <n v="0"/>
    <n v="-5.9709102082559422"/>
    <n v="38"/>
    <n v="70"/>
    <n v="3.5000000000000003E-2"/>
    <n v="2.4500000000000002"/>
    <n v="1.2250000000000002E-3"/>
    <x v="42"/>
    <s v="Shipped"/>
    <n v="5"/>
    <s v="No"/>
    <s v="No"/>
    <n v="0"/>
    <s v="PROMO20"/>
    <s v="Clearance"/>
    <s v="WH01"/>
    <s v="Low Stock"/>
    <s v="Clean"/>
  </r>
  <r>
    <s v="ORD120"/>
    <x v="60"/>
    <d v="2025-03-19T00:00:00"/>
    <s v="Delivered"/>
    <s v="In-Store"/>
    <s v="ST120"/>
    <x v="8"/>
    <x v="3"/>
    <s v="Detroit"/>
    <s v="MI"/>
    <s v="Central"/>
    <x v="1"/>
    <s v="Patricia Miller"/>
    <s v="patricia.miller@urbancart.com"/>
    <d v="2022-11-30T00:00:00"/>
    <s v="P120"/>
    <x v="119"/>
    <x v="1"/>
    <s v="Accessories"/>
    <s v="FashionFit"/>
    <s v="WearCo"/>
    <n v="28"/>
    <n v="15"/>
    <n v="0.2"/>
    <s v="Gray"/>
    <s v="One"/>
    <n v="35"/>
    <n v="8"/>
    <n v="1"/>
    <n v="2"/>
    <n v="0"/>
    <n v="0.05"/>
    <n v="3"/>
    <s v="Cash"/>
    <s v="Corporate"/>
    <s v="C120"/>
    <s v="Platinum"/>
    <s v="REP124"/>
    <s v="Not Returned"/>
    <s v="N/A"/>
    <n v="0"/>
    <n v="-9"/>
    <n v="30"/>
    <n v="56"/>
    <n v="0"/>
    <n v="0"/>
    <n v="0"/>
    <x v="20"/>
    <s v="Delivered"/>
    <n v="3"/>
    <s v="Yes"/>
    <s v="No"/>
    <n v="0"/>
    <s v="PROMO10"/>
    <s v="Winter Sale"/>
    <s v="WH03"/>
    <s v="In Stock"/>
    <s v="Cle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FFC77E-DB4A-4B15-9CB9-D2588A2D3C07}"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s">
  <location ref="A27:C31" firstHeaderRow="0" firstDataRow="1" firstDataCol="1"/>
  <pivotFields count="60">
    <pivotField dataField="1" showAll="0"/>
    <pivotField axis="axisRow" numFmtId="164" showAl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numFmtId="164" showAll="0"/>
    <pivotField showAll="0"/>
    <pivotField showAll="0"/>
    <pivotField showAll="0"/>
    <pivotField showAll="0"/>
    <pivotField showAll="0">
      <items count="5">
        <item x="3"/>
        <item x="2"/>
        <item x="1"/>
        <item x="0"/>
        <item t="default"/>
      </items>
    </pivotField>
    <pivotField showAll="0"/>
    <pivotField showAll="0"/>
    <pivotField showAll="0"/>
    <pivotField showAll="0">
      <items count="3">
        <item x="0"/>
        <item x="1"/>
        <item t="default"/>
      </items>
    </pivotField>
    <pivotField showAll="0"/>
    <pivotField showAll="0"/>
    <pivotField numFmtId="164" showAll="0"/>
    <pivotField showAll="0"/>
    <pivotField showAll="0"/>
    <pivotField showAll="0">
      <items count="14">
        <item x="5"/>
        <item x="1"/>
        <item x="11"/>
        <item x="7"/>
        <item x="0"/>
        <item x="3"/>
        <item x="9"/>
        <item x="4"/>
        <item x="2"/>
        <item x="10"/>
        <item x="8"/>
        <item x="6"/>
        <item x="12"/>
        <item t="default"/>
      </items>
    </pivotField>
    <pivotField showAll="0"/>
    <pivotField showAll="0"/>
    <pivotField showAll="0"/>
    <pivotField numFmtId="165" showAll="0"/>
    <pivotField numFmtId="165" showAll="0"/>
    <pivotField showAll="0"/>
    <pivotField showAll="0"/>
    <pivotField showAll="0"/>
    <pivotField showAll="0"/>
    <pivotField showAll="0"/>
    <pivotField showAll="0"/>
    <pivotField showAll="0"/>
    <pivotField numFmtId="9" showAll="0"/>
    <pivotField numFmtId="9" showAll="0"/>
    <pivotField numFmtId="165" showAll="0"/>
    <pivotField showAll="0"/>
    <pivotField showAll="0"/>
    <pivotField showAll="0"/>
    <pivotField showAll="0"/>
    <pivotField showAll="0"/>
    <pivotField showAll="0"/>
    <pivotField showAll="0"/>
    <pivotField numFmtId="165" showAll="0"/>
    <pivotField numFmtId="165" showAll="0"/>
    <pivotField numFmtId="165" showAll="0"/>
    <pivotField numFmtId="165" showAll="0"/>
    <pivotField numFmtId="165" showAll="0"/>
    <pivotField numFmtId="165" showAll="0"/>
    <pivotField numFmtId="165" showAll="0"/>
    <pivotField dataField="1" numFmtId="165"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59"/>
    <field x="1"/>
  </rowFields>
  <rowItems count="4">
    <i>
      <x v="1"/>
    </i>
    <i>
      <x v="2"/>
    </i>
    <i>
      <x v="3"/>
    </i>
    <i t="grand">
      <x/>
    </i>
  </rowItems>
  <colFields count="1">
    <field x="-2"/>
  </colFields>
  <colItems count="2">
    <i>
      <x/>
    </i>
    <i i="1">
      <x v="1"/>
    </i>
  </colItems>
  <dataFields count="2">
    <dataField name="Sum of TotalRevenue" fld="47" baseField="0" baseItem="0" numFmtId="165"/>
    <dataField name="Count of OrderID" fld="0" subtotal="count" baseField="59" baseItem="1"/>
  </dataFields>
  <formats count="21">
    <format dxfId="20">
      <pivotArea type="all" dataOnly="0" outline="0" fieldPosition="0"/>
    </format>
    <format dxfId="19">
      <pivotArea outline="0" collapsedLevelsAreSubtotals="1" fieldPosition="0"/>
    </format>
    <format dxfId="18">
      <pivotArea field="59" type="button" dataOnly="0" labelOnly="1" outline="0" axis="axisRow" fieldPosition="0"/>
    </format>
    <format dxfId="17">
      <pivotArea field="1" type="button" dataOnly="0" labelOnly="1" outline="0" axis="axisRow" fieldPosition="1"/>
    </format>
    <format dxfId="16">
      <pivotArea dataOnly="0" labelOnly="1" outline="0" fieldPosition="0">
        <references count="1">
          <reference field="59" count="3">
            <x v="1"/>
            <x v="2"/>
            <x v="3"/>
          </reference>
        </references>
      </pivotArea>
    </format>
    <format dxfId="15">
      <pivotArea dataOnly="0" labelOnly="1" grandRow="1" outline="0" fieldPosition="0"/>
    </format>
    <format dxfId="14">
      <pivotArea dataOnly="0" labelOnly="1" outline="0" fieldPosition="0">
        <references count="1">
          <reference field="4294967294" count="2">
            <x v="0"/>
            <x v="1"/>
          </reference>
        </references>
      </pivotArea>
    </format>
    <format dxfId="13">
      <pivotArea type="all" dataOnly="0" outline="0" fieldPosition="0"/>
    </format>
    <format dxfId="12">
      <pivotArea outline="0" collapsedLevelsAreSubtotals="1" fieldPosition="0"/>
    </format>
    <format dxfId="11">
      <pivotArea field="59" type="button" dataOnly="0" labelOnly="1" outline="0" axis="axisRow" fieldPosition="0"/>
    </format>
    <format dxfId="10">
      <pivotArea field="1" type="button" dataOnly="0" labelOnly="1" outline="0" axis="axisRow" fieldPosition="1"/>
    </format>
    <format dxfId="9">
      <pivotArea dataOnly="0" labelOnly="1" outline="0" fieldPosition="0">
        <references count="1">
          <reference field="59" count="3">
            <x v="1"/>
            <x v="2"/>
            <x v="3"/>
          </reference>
        </references>
      </pivotArea>
    </format>
    <format dxfId="8">
      <pivotArea dataOnly="0" labelOnly="1" grandRow="1" outline="0" fieldPosition="0"/>
    </format>
    <format dxfId="7">
      <pivotArea dataOnly="0" labelOnly="1" outline="0" fieldPosition="0">
        <references count="1">
          <reference field="4294967294" count="2">
            <x v="0"/>
            <x v="1"/>
          </reference>
        </references>
      </pivotArea>
    </format>
    <format dxfId="6">
      <pivotArea outline="0" fieldPosition="0">
        <references count="1">
          <reference field="4294967294" count="1" selected="0">
            <x v="0"/>
          </reference>
        </references>
      </pivotArea>
    </format>
    <format dxfId="5">
      <pivotArea outline="0" fieldPosition="0">
        <references count="1">
          <reference field="4294967294" count="1" selected="0">
            <x v="0"/>
          </reference>
        </references>
      </pivotArea>
    </format>
    <format dxfId="4">
      <pivotArea outline="0" fieldPosition="0">
        <references count="1">
          <reference field="4294967294" count="1" selected="0">
            <x v="0"/>
          </reference>
        </references>
      </pivotArea>
    </format>
    <format dxfId="3">
      <pivotArea outline="0" fieldPosition="0">
        <references count="1">
          <reference field="4294967294" count="1" selected="0">
            <x v="0"/>
          </reference>
        </references>
      </pivotArea>
    </format>
    <format dxfId="2">
      <pivotArea outline="0" fieldPosition="0">
        <references count="1">
          <reference field="4294967294" count="1" selected="0">
            <x v="0"/>
          </reference>
        </references>
      </pivotArea>
    </format>
    <format dxfId="1">
      <pivotArea outline="0" fieldPosition="0">
        <references count="1">
          <reference field="4294967294" count="1" selected="0">
            <x v="0"/>
          </reference>
        </references>
      </pivotArea>
    </format>
    <format dxfId="0">
      <pivotArea outline="0" fieldPosition="0">
        <references count="1">
          <reference field="4294967294" count="1" selected="0">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A9872A-53BA-4CFC-91C0-96F1D4EF1965}" name="PivotTable1"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chartFormat="11">
  <location ref="A3:E17" firstHeaderRow="1" firstDataRow="2" firstDataCol="1"/>
  <pivotFields count="60">
    <pivotField compact="0" showAll="0"/>
    <pivotField compact="0" numFmtId="164" showAl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compact="0" numFmtId="164" showAll="0"/>
    <pivotField compact="0" showAll="0"/>
    <pivotField compact="0" showAll="0"/>
    <pivotField compact="0" showAll="0"/>
    <pivotField compact="0" showAll="0"/>
    <pivotField axis="axisCol" compact="0" showAll="0">
      <items count="5">
        <item x="3"/>
        <item x="2"/>
        <item x="1"/>
        <item x="0"/>
        <item t="default"/>
      </items>
    </pivotField>
    <pivotField compact="0" showAll="0"/>
    <pivotField compact="0" showAll="0"/>
    <pivotField compact="0" showAll="0"/>
    <pivotField compact="0" showAll="0">
      <items count="3">
        <item x="0"/>
        <item x="1"/>
        <item t="default"/>
      </items>
    </pivotField>
    <pivotField compact="0" showAll="0"/>
    <pivotField compact="0" showAll="0"/>
    <pivotField compact="0" numFmtId="164" showAll="0"/>
    <pivotField compact="0" showAll="0"/>
    <pivotField compact="0" showAll="0"/>
    <pivotField axis="axisRow" compact="0" showAll="0">
      <items count="14">
        <item x="5"/>
        <item x="1"/>
        <item x="11"/>
        <item x="7"/>
        <item x="0"/>
        <item x="3"/>
        <item x="9"/>
        <item x="4"/>
        <item x="2"/>
        <item x="10"/>
        <item x="8"/>
        <item x="6"/>
        <item x="12"/>
        <item t="default"/>
      </items>
    </pivotField>
    <pivotField compact="0" showAll="0"/>
    <pivotField compact="0" showAll="0"/>
    <pivotField compact="0" showAll="0"/>
    <pivotField compact="0" numFmtId="165" showAll="0"/>
    <pivotField compact="0" numFmtId="165" showAll="0"/>
    <pivotField compact="0" showAll="0"/>
    <pivotField compact="0" showAll="0"/>
    <pivotField compact="0" showAll="0"/>
    <pivotField compact="0" showAll="0"/>
    <pivotField compact="0" showAll="0"/>
    <pivotField compact="0" showAll="0"/>
    <pivotField compact="0" showAll="0"/>
    <pivotField compact="0" numFmtId="9" showAll="0"/>
    <pivotField compact="0" numFmtId="9" showAll="0"/>
    <pivotField compact="0" numFmtId="165" showAll="0"/>
    <pivotField compact="0" showAll="0"/>
    <pivotField compact="0" showAll="0"/>
    <pivotField compact="0" showAll="0"/>
    <pivotField compact="0" showAll="0"/>
    <pivotField compact="0" showAll="0"/>
    <pivotField compact="0" showAll="0"/>
    <pivotField compact="0" showAll="0"/>
    <pivotField compact="0" numFmtId="165" showAll="0"/>
    <pivotField compact="0" numFmtId="165" showAll="0"/>
    <pivotField compact="0" numFmtId="165" showAll="0"/>
    <pivotField compact="0" numFmtId="165" showAll="0"/>
    <pivotField compact="0" numFmtId="165" showAll="0"/>
    <pivotField compact="0" numFmtId="165" showAll="0"/>
    <pivotField compact="0" numFmtId="165" showAll="0"/>
    <pivotField dataField="1" compact="0" numFmtId="165" showAll="0">
      <items count="44">
        <item x="13"/>
        <item x="28"/>
        <item x="20"/>
        <item x="39"/>
        <item x="18"/>
        <item x="8"/>
        <item x="42"/>
        <item x="19"/>
        <item x="34"/>
        <item x="40"/>
        <item x="29"/>
        <item x="23"/>
        <item x="32"/>
        <item x="1"/>
        <item x="36"/>
        <item x="41"/>
        <item x="3"/>
        <item x="9"/>
        <item x="10"/>
        <item x="31"/>
        <item x="12"/>
        <item x="16"/>
        <item x="6"/>
        <item x="30"/>
        <item x="2"/>
        <item x="21"/>
        <item x="17"/>
        <item x="33"/>
        <item x="26"/>
        <item x="37"/>
        <item x="25"/>
        <item x="22"/>
        <item x="24"/>
        <item x="35"/>
        <item x="7"/>
        <item x="38"/>
        <item x="4"/>
        <item x="14"/>
        <item x="5"/>
        <item x="27"/>
        <item x="15"/>
        <item x="11"/>
        <item x="0"/>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showAll="0">
      <items count="15">
        <item x="0"/>
        <item x="1"/>
        <item x="2"/>
        <item x="3"/>
        <item x="4"/>
        <item x="5"/>
        <item x="6"/>
        <item x="7"/>
        <item x="8"/>
        <item x="9"/>
        <item x="10"/>
        <item x="11"/>
        <item x="12"/>
        <item x="13"/>
        <item t="default"/>
      </items>
    </pivotField>
  </pivotFields>
  <rowFields count="1">
    <field x="17"/>
  </rowFields>
  <rowItems count="13">
    <i>
      <x/>
    </i>
    <i>
      <x v="1"/>
    </i>
    <i>
      <x v="2"/>
    </i>
    <i>
      <x v="3"/>
    </i>
    <i>
      <x v="4"/>
    </i>
    <i>
      <x v="5"/>
    </i>
    <i>
      <x v="6"/>
    </i>
    <i>
      <x v="7"/>
    </i>
    <i>
      <x v="8"/>
    </i>
    <i>
      <x v="9"/>
    </i>
    <i>
      <x v="10"/>
    </i>
    <i>
      <x v="11"/>
    </i>
    <i>
      <x v="12"/>
    </i>
  </rowItems>
  <colFields count="1">
    <field x="7"/>
  </colFields>
  <colItems count="4">
    <i>
      <x/>
    </i>
    <i>
      <x v="1"/>
    </i>
    <i>
      <x v="2"/>
    </i>
    <i>
      <x v="3"/>
    </i>
  </colItems>
  <dataFields count="1">
    <dataField name="Sum of TotalRevenue" fld="47" baseField="0" baseItem="0" numFmtId="165"/>
  </dataFields>
  <formats count="39">
    <format dxfId="59">
      <pivotArea type="all" dataOnly="0" outline="0" fieldPosition="0"/>
    </format>
    <format dxfId="58">
      <pivotArea outline="0" collapsedLevelsAreSubtotals="1" fieldPosition="0"/>
    </format>
    <format dxfId="57">
      <pivotArea type="origin" dataOnly="0" labelOnly="1" outline="0" fieldPosition="0"/>
    </format>
    <format dxfId="56">
      <pivotArea field="7" type="button" dataOnly="0" labelOnly="1" outline="0" axis="axisCol" fieldPosition="0"/>
    </format>
    <format dxfId="55">
      <pivotArea type="topRight" dataOnly="0" labelOnly="1" outline="0" fieldPosition="0"/>
    </format>
    <format dxfId="54">
      <pivotArea field="17" type="button" dataOnly="0" labelOnly="1" outline="0" axis="axisRow" fieldPosition="0"/>
    </format>
    <format dxfId="53">
      <pivotArea dataOnly="0" labelOnly="1" outline="0" fieldPosition="0">
        <references count="1">
          <reference field="17" count="0"/>
        </references>
      </pivotArea>
    </format>
    <format dxfId="52">
      <pivotArea dataOnly="0" labelOnly="1" grandRow="1" outline="0" fieldPosition="0"/>
    </format>
    <format dxfId="51">
      <pivotArea dataOnly="0" labelOnly="1" outline="0" fieldPosition="0">
        <references count="1">
          <reference field="7" count="0"/>
        </references>
      </pivotArea>
    </format>
    <format dxfId="50">
      <pivotArea dataOnly="0" labelOnly="1" grandCol="1" outline="0" fieldPosition="0"/>
    </format>
    <format dxfId="49">
      <pivotArea type="all" dataOnly="0" outline="0" fieldPosition="0"/>
    </format>
    <format dxfId="48">
      <pivotArea outline="0" collapsedLevelsAreSubtotals="1" fieldPosition="0"/>
    </format>
    <format dxfId="47">
      <pivotArea type="origin" dataOnly="0" labelOnly="1" outline="0" fieldPosition="0"/>
    </format>
    <format dxfId="46">
      <pivotArea field="7" type="button" dataOnly="0" labelOnly="1" outline="0" axis="axisCol" fieldPosition="0"/>
    </format>
    <format dxfId="45">
      <pivotArea type="topRight" dataOnly="0" labelOnly="1" outline="0" fieldPosition="0"/>
    </format>
    <format dxfId="44">
      <pivotArea field="17" type="button" dataOnly="0" labelOnly="1" outline="0" axis="axisRow" fieldPosition="0"/>
    </format>
    <format dxfId="43">
      <pivotArea dataOnly="0" labelOnly="1" outline="0" fieldPosition="0">
        <references count="1">
          <reference field="17" count="0"/>
        </references>
      </pivotArea>
    </format>
    <format dxfId="42">
      <pivotArea dataOnly="0" labelOnly="1" grandRow="1" outline="0" fieldPosition="0"/>
    </format>
    <format dxfId="41">
      <pivotArea dataOnly="0" labelOnly="1" outline="0" fieldPosition="0">
        <references count="1">
          <reference field="7" count="0"/>
        </references>
      </pivotArea>
    </format>
    <format dxfId="40">
      <pivotArea dataOnly="0" labelOnly="1" grandCol="1" outline="0" fieldPosition="0"/>
    </format>
    <format dxfId="39">
      <pivotArea type="all" dataOnly="0" outline="0" fieldPosition="0"/>
    </format>
    <format dxfId="38">
      <pivotArea outline="0" collapsedLevelsAreSubtotals="1" fieldPosition="0"/>
    </format>
    <format dxfId="37">
      <pivotArea type="origin" dataOnly="0" labelOnly="1" outline="0" fieldPosition="0"/>
    </format>
    <format dxfId="36">
      <pivotArea field="7" type="button" dataOnly="0" labelOnly="1" outline="0" axis="axisCol" fieldPosition="0"/>
    </format>
    <format dxfId="35">
      <pivotArea type="topRight" dataOnly="0" labelOnly="1" outline="0" fieldPosition="0"/>
    </format>
    <format dxfId="34">
      <pivotArea field="17" type="button" dataOnly="0" labelOnly="1" outline="0" axis="axisRow" fieldPosition="0"/>
    </format>
    <format dxfId="33">
      <pivotArea dataOnly="0" labelOnly="1" outline="0" fieldPosition="0">
        <references count="1">
          <reference field="17" count="0"/>
        </references>
      </pivotArea>
    </format>
    <format dxfId="32">
      <pivotArea dataOnly="0" labelOnly="1" grandRow="1" outline="0" fieldPosition="0"/>
    </format>
    <format dxfId="31">
      <pivotArea dataOnly="0" labelOnly="1" outline="0" fieldPosition="0">
        <references count="1">
          <reference field="7" count="0"/>
        </references>
      </pivotArea>
    </format>
    <format dxfId="30">
      <pivotArea dataOnly="0" labelOnly="1" grandCol="1" outline="0" fieldPosition="0"/>
    </format>
    <format dxfId="29">
      <pivotArea outline="0" collapsedLevelsAreSubtotals="1" fieldPosition="0"/>
    </format>
    <format dxfId="28">
      <pivotArea outline="0" fieldPosition="0">
        <references count="1">
          <reference field="7" count="3" selected="0">
            <x v="0"/>
            <x v="1"/>
            <x v="2"/>
          </reference>
        </references>
      </pivotArea>
    </format>
    <format dxfId="27">
      <pivotArea outline="0" fieldPosition="0">
        <references count="1">
          <reference field="7" count="3" selected="0">
            <x v="0"/>
            <x v="1"/>
            <x v="2"/>
          </reference>
        </references>
      </pivotArea>
    </format>
    <format dxfId="26">
      <pivotArea outline="0" fieldPosition="0">
        <references count="1">
          <reference field="7" count="3" selected="0">
            <x v="0"/>
            <x v="1"/>
            <x v="2"/>
          </reference>
        </references>
      </pivotArea>
    </format>
    <format dxfId="25">
      <pivotArea outline="0" fieldPosition="0">
        <references count="1">
          <reference field="7" count="3" selected="0">
            <x v="0"/>
            <x v="1"/>
            <x v="2"/>
          </reference>
        </references>
      </pivotArea>
    </format>
    <format dxfId="24">
      <pivotArea fieldPosition="0">
        <references count="2">
          <reference field="7" count="1" selected="0">
            <x v="0"/>
          </reference>
          <reference field="17" count="12">
            <x v="1"/>
            <x v="2"/>
            <x v="3"/>
            <x v="4"/>
            <x v="5"/>
            <x v="6"/>
            <x v="7"/>
            <x v="8"/>
            <x v="9"/>
            <x v="10"/>
            <x v="11"/>
            <x v="12"/>
          </reference>
        </references>
      </pivotArea>
    </format>
    <format dxfId="23">
      <pivotArea field="7" grandRow="1" outline="0" axis="axisCol" fieldPosition="0">
        <references count="1">
          <reference field="7" count="1" selected="0">
            <x v="0"/>
          </reference>
        </references>
      </pivotArea>
    </format>
    <format dxfId="22">
      <pivotArea fieldPosition="0">
        <references count="2">
          <reference field="7" count="1" selected="0">
            <x v="0"/>
          </reference>
          <reference field="17" count="12">
            <x v="1"/>
            <x v="2"/>
            <x v="3"/>
            <x v="4"/>
            <x v="5"/>
            <x v="6"/>
            <x v="7"/>
            <x v="8"/>
            <x v="9"/>
            <x v="10"/>
            <x v="11"/>
            <x v="12"/>
          </reference>
        </references>
      </pivotArea>
    </format>
    <format dxfId="21">
      <pivotArea field="7" grandRow="1" outline="0" axis="axisCol" fieldPosition="0">
        <references count="1">
          <reference field="7" count="1" selected="0">
            <x v="0"/>
          </reference>
        </references>
      </pivotArea>
    </format>
  </formats>
  <chartFormats count="10">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 chart="4" format="8" series="1">
      <pivotArea type="data" outline="0" fieldPosition="0">
        <references count="2">
          <reference field="4294967294" count="1" selected="0">
            <x v="0"/>
          </reference>
          <reference field="7" count="1" selected="0">
            <x v="0"/>
          </reference>
        </references>
      </pivotArea>
    </chartFormat>
    <chartFormat chart="4" format="9" series="1">
      <pivotArea type="data" outline="0" fieldPosition="0">
        <references count="2">
          <reference field="4294967294" count="1" selected="0">
            <x v="0"/>
          </reference>
          <reference field="7" count="1" selected="0">
            <x v="1"/>
          </reference>
        </references>
      </pivotArea>
    </chartFormat>
    <chartFormat chart="4" format="10" series="1">
      <pivotArea type="data" outline="0" fieldPosition="0">
        <references count="2">
          <reference field="4294967294" count="1" selected="0">
            <x v="0"/>
          </reference>
          <reference field="7" count="1" selected="0">
            <x v="2"/>
          </reference>
        </references>
      </pivotArea>
    </chartFormat>
    <chartFormat chart="4" format="11" series="1">
      <pivotArea type="data" outline="0" fieldPosition="0">
        <references count="2">
          <reference field="4294967294" count="1" selected="0">
            <x v="0"/>
          </reference>
          <reference field="7" count="1" selected="0">
            <x v="3"/>
          </reference>
        </references>
      </pivotArea>
    </chartFormat>
    <chartFormat chart="4" format="12"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21B70A-9694-4E72-B30C-13A8369ECAA3}"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56:C177" firstHeaderRow="0" firstDataRow="1" firstDataCol="1"/>
  <pivotFields count="60">
    <pivotField showAll="0"/>
    <pivotField numFmtId="164" showAl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numFmtId="164" showAll="0"/>
    <pivotField showAll="0"/>
    <pivotField showAll="0"/>
    <pivotField showAll="0"/>
    <pivotField showAll="0"/>
    <pivotField showAll="0">
      <items count="5">
        <item x="3"/>
        <item x="2"/>
        <item x="1"/>
        <item x="0"/>
        <item t="default"/>
      </items>
    </pivotField>
    <pivotField showAll="0"/>
    <pivotField showAll="0"/>
    <pivotField showAll="0"/>
    <pivotField showAll="0">
      <items count="3">
        <item x="0"/>
        <item x="1"/>
        <item t="default"/>
      </items>
    </pivotField>
    <pivotField showAll="0"/>
    <pivotField showAll="0"/>
    <pivotField numFmtId="164" showAll="0"/>
    <pivotField showAll="0"/>
    <pivotField axis="axisRow" showAll="0">
      <items count="121">
        <item x="31"/>
        <item x="77"/>
        <item x="11"/>
        <item x="109"/>
        <item x="113"/>
        <item x="47"/>
        <item x="68"/>
        <item x="58"/>
        <item x="76"/>
        <item x="2"/>
        <item x="22"/>
        <item x="40"/>
        <item x="82"/>
        <item x="66"/>
        <item x="65"/>
        <item x="107"/>
        <item x="50"/>
        <item x="7"/>
        <item x="117"/>
        <item x="79"/>
        <item x="25"/>
        <item x="1"/>
        <item x="97"/>
        <item x="52"/>
        <item x="100"/>
        <item x="71"/>
        <item x="4"/>
        <item x="10"/>
        <item x="108"/>
        <item x="26"/>
        <item x="18"/>
        <item x="111"/>
        <item x="24"/>
        <item x="67"/>
        <item x="80"/>
        <item x="94"/>
        <item x="27"/>
        <item x="91"/>
        <item x="114"/>
        <item x="44"/>
        <item x="41"/>
        <item x="105"/>
        <item x="35"/>
        <item x="57"/>
        <item x="59"/>
        <item x="19"/>
        <item x="85"/>
        <item x="115"/>
        <item x="14"/>
        <item x="73"/>
        <item x="75"/>
        <item x="42"/>
        <item x="23"/>
        <item x="30"/>
        <item x="87"/>
        <item x="89"/>
        <item x="0"/>
        <item x="86"/>
        <item x="21"/>
        <item x="106"/>
        <item x="63"/>
        <item x="33"/>
        <item x="51"/>
        <item x="96"/>
        <item x="74"/>
        <item x="16"/>
        <item x="49"/>
        <item x="101"/>
        <item x="112"/>
        <item x="88"/>
        <item x="84"/>
        <item x="61"/>
        <item x="29"/>
        <item x="92"/>
        <item x="20"/>
        <item x="81"/>
        <item x="28"/>
        <item x="53"/>
        <item x="69"/>
        <item x="6"/>
        <item x="39"/>
        <item x="110"/>
        <item x="54"/>
        <item x="98"/>
        <item x="93"/>
        <item x="5"/>
        <item x="46"/>
        <item x="32"/>
        <item x="64"/>
        <item x="48"/>
        <item x="70"/>
        <item x="34"/>
        <item x="99"/>
        <item x="60"/>
        <item x="13"/>
        <item x="95"/>
        <item x="37"/>
        <item x="104"/>
        <item x="72"/>
        <item x="15"/>
        <item x="62"/>
        <item x="102"/>
        <item x="43"/>
        <item x="12"/>
        <item x="78"/>
        <item x="38"/>
        <item x="56"/>
        <item x="83"/>
        <item x="90"/>
        <item x="8"/>
        <item x="119"/>
        <item x="118"/>
        <item x="36"/>
        <item x="55"/>
        <item x="9"/>
        <item x="103"/>
        <item x="17"/>
        <item x="3"/>
        <item x="45"/>
        <item x="116"/>
        <item t="default"/>
      </items>
    </pivotField>
    <pivotField showAll="0">
      <items count="14">
        <item x="5"/>
        <item x="1"/>
        <item x="11"/>
        <item x="7"/>
        <item x="0"/>
        <item x="3"/>
        <item x="9"/>
        <item x="4"/>
        <item x="2"/>
        <item x="10"/>
        <item x="8"/>
        <item x="6"/>
        <item x="12"/>
        <item t="default"/>
      </items>
    </pivotField>
    <pivotField showAll="0"/>
    <pivotField showAll="0"/>
    <pivotField showAll="0"/>
    <pivotField numFmtId="165" showAll="0"/>
    <pivotField numFmtId="165" showAll="0"/>
    <pivotField showAll="0"/>
    <pivotField showAll="0"/>
    <pivotField showAll="0"/>
    <pivotField showAll="0"/>
    <pivotField showAll="0"/>
    <pivotField showAll="0"/>
    <pivotField dataField="1" showAll="0"/>
    <pivotField numFmtId="9" showAll="0"/>
    <pivotField numFmtId="9" showAll="0"/>
    <pivotField numFmtId="165" showAll="0"/>
    <pivotField showAll="0"/>
    <pivotField showAll="0"/>
    <pivotField showAll="0"/>
    <pivotField showAll="0"/>
    <pivotField showAll="0"/>
    <pivotField showAll="0"/>
    <pivotField showAll="0"/>
    <pivotField numFmtId="165" showAll="0"/>
    <pivotField numFmtId="165" showAll="0"/>
    <pivotField numFmtId="165" showAll="0"/>
    <pivotField numFmtId="165" showAll="0"/>
    <pivotField numFmtId="165" showAll="0"/>
    <pivotField numFmtId="165" showAll="0"/>
    <pivotField numFmtId="165" showAll="0"/>
    <pivotField dataField="1" numFmtId="165"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6"/>
  </rowFields>
  <rowItems count="12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t="grand">
      <x/>
    </i>
  </rowItems>
  <colFields count="1">
    <field x="-2"/>
  </colFields>
  <colItems count="2">
    <i>
      <x/>
    </i>
    <i i="1">
      <x v="1"/>
    </i>
  </colItems>
  <dataFields count="2">
    <dataField name="Sum of TotalRevenue" fld="47" baseField="0" baseItem="0" numFmtId="165"/>
    <dataField name="Sum of Quantity" fld="29"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B29820C-F859-4479-862D-6EB074E56121}" name="PivotTable3"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Store Names">
  <location ref="A39:C50" firstHeaderRow="0" firstDataRow="1" firstDataCol="1"/>
  <pivotFields count="60">
    <pivotField showAll="0"/>
    <pivotField numFmtId="164" showAl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numFmtId="164" showAll="0"/>
    <pivotField showAll="0"/>
    <pivotField showAll="0"/>
    <pivotField showAll="0"/>
    <pivotField axis="axisRow" showAll="0">
      <items count="12">
        <item x="1"/>
        <item x="4"/>
        <item x="5"/>
        <item x="9"/>
        <item x="10"/>
        <item x="8"/>
        <item x="6"/>
        <item x="2"/>
        <item x="0"/>
        <item x="7"/>
        <item x="3"/>
        <item t="default"/>
      </items>
    </pivotField>
    <pivotField showAll="0">
      <items count="5">
        <item x="3"/>
        <item x="2"/>
        <item x="1"/>
        <item x="0"/>
        <item t="default"/>
      </items>
    </pivotField>
    <pivotField showAll="0"/>
    <pivotField showAll="0"/>
    <pivotField showAll="0"/>
    <pivotField showAll="0">
      <items count="3">
        <item x="0"/>
        <item x="1"/>
        <item t="default"/>
      </items>
    </pivotField>
    <pivotField showAll="0"/>
    <pivotField showAll="0"/>
    <pivotField numFmtId="164" showAll="0"/>
    <pivotField showAll="0"/>
    <pivotField showAll="0"/>
    <pivotField showAll="0">
      <items count="14">
        <item x="5"/>
        <item x="1"/>
        <item x="11"/>
        <item x="7"/>
        <item x="0"/>
        <item x="3"/>
        <item x="9"/>
        <item x="4"/>
        <item x="2"/>
        <item x="10"/>
        <item x="8"/>
        <item x="6"/>
        <item x="12"/>
        <item t="default"/>
      </items>
    </pivotField>
    <pivotField showAll="0"/>
    <pivotField showAll="0"/>
    <pivotField showAll="0"/>
    <pivotField numFmtId="165" showAll="0"/>
    <pivotField numFmtId="165" showAll="0"/>
    <pivotField showAll="0"/>
    <pivotField showAll="0"/>
    <pivotField showAll="0"/>
    <pivotField showAll="0"/>
    <pivotField showAll="0"/>
    <pivotField showAll="0"/>
    <pivotField showAll="0"/>
    <pivotField numFmtId="9" showAll="0"/>
    <pivotField numFmtId="9" showAll="0"/>
    <pivotField numFmtId="165" showAll="0"/>
    <pivotField showAll="0"/>
    <pivotField showAll="0"/>
    <pivotField showAll="0"/>
    <pivotField showAll="0"/>
    <pivotField showAll="0"/>
    <pivotField showAll="0"/>
    <pivotField dataField="1" showAll="0"/>
    <pivotField numFmtId="165" showAll="0"/>
    <pivotField dataField="1" numFmtId="165" showAll="0"/>
    <pivotField numFmtId="165" showAll="0"/>
    <pivotField numFmtId="165" showAll="0"/>
    <pivotField numFmtId="165" showAll="0"/>
    <pivotField numFmtId="165" showAll="0"/>
    <pivotField numFmtId="165" showAll="0"/>
    <pivotField numFmtId="165"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11">
    <i>
      <x/>
    </i>
    <i>
      <x v="1"/>
    </i>
    <i>
      <x v="2"/>
    </i>
    <i>
      <x v="3"/>
    </i>
    <i>
      <x v="4"/>
    </i>
    <i>
      <x v="5"/>
    </i>
    <i>
      <x v="6"/>
    </i>
    <i>
      <x v="7"/>
    </i>
    <i>
      <x v="8"/>
    </i>
    <i>
      <x v="9"/>
    </i>
    <i>
      <x v="10"/>
    </i>
  </rowItems>
  <colFields count="1">
    <field x="-2"/>
  </colFields>
  <colItems count="2">
    <i>
      <x/>
    </i>
    <i i="1">
      <x v="1"/>
    </i>
  </colItems>
  <dataFields count="2">
    <dataField name="Count of ReturnReason" fld="39" subtotal="count" baseField="0" baseItem="0"/>
    <dataField name="Sum of ProfitMargin" fld="41" baseField="0" baseItem="0" numFmtId="165"/>
  </dataFields>
  <formats count="14">
    <format dxfId="73">
      <pivotArea outline="0" collapsedLevelsAreSubtotals="1" fieldPosition="0"/>
    </format>
    <format dxfId="72">
      <pivotArea outline="0" collapsedLevelsAreSubtotals="1" fieldPosition="0"/>
    </format>
    <format dxfId="71">
      <pivotArea type="all" dataOnly="0" outline="0" fieldPosition="0"/>
    </format>
    <format dxfId="70">
      <pivotArea outline="0" collapsedLevelsAreSubtotals="1" fieldPosition="0"/>
    </format>
    <format dxfId="69">
      <pivotArea field="6" type="button" dataOnly="0" labelOnly="1" outline="0" axis="axisRow" fieldPosition="0"/>
    </format>
    <format dxfId="68">
      <pivotArea dataOnly="0" labelOnly="1" fieldPosition="0">
        <references count="1">
          <reference field="6" count="0"/>
        </references>
      </pivotArea>
    </format>
    <format dxfId="67">
      <pivotArea dataOnly="0" labelOnly="1" grandRow="1" outline="0" fieldPosition="0"/>
    </format>
    <format dxfId="66">
      <pivotArea dataOnly="0" labelOnly="1" outline="0" fieldPosition="0">
        <references count="1">
          <reference field="4294967294" count="2">
            <x v="0"/>
            <x v="1"/>
          </reference>
        </references>
      </pivotArea>
    </format>
    <format dxfId="65">
      <pivotArea type="all" dataOnly="0" outline="0" fieldPosition="0"/>
    </format>
    <format dxfId="64">
      <pivotArea outline="0" collapsedLevelsAreSubtotals="1" fieldPosition="0"/>
    </format>
    <format dxfId="63">
      <pivotArea field="6" type="button" dataOnly="0" labelOnly="1" outline="0" axis="axisRow" fieldPosition="0"/>
    </format>
    <format dxfId="62">
      <pivotArea dataOnly="0" labelOnly="1" fieldPosition="0">
        <references count="1">
          <reference field="6" count="0"/>
        </references>
      </pivotArea>
    </format>
    <format dxfId="61">
      <pivotArea dataOnly="0" labelOnly="1" grandRow="1" outline="0" fieldPosition="0"/>
    </format>
    <format dxfId="60">
      <pivotArea dataOnly="0" labelOnly="1" outline="0" fieldPosition="0">
        <references count="1">
          <reference field="4294967294" count="2">
            <x v="0"/>
            <x v="1"/>
          </reference>
        </references>
      </pivotArea>
    </format>
  </formats>
  <chartFormats count="5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26" series="1">
      <pivotArea type="data" outline="0" fieldPosition="0">
        <references count="1">
          <reference field="4294967294" count="1" selected="0">
            <x v="0"/>
          </reference>
        </references>
      </pivotArea>
    </chartFormat>
    <chartFormat chart="4" format="27">
      <pivotArea type="data" outline="0" fieldPosition="0">
        <references count="2">
          <reference field="4294967294" count="1" selected="0">
            <x v="0"/>
          </reference>
          <reference field="6" count="1" selected="0">
            <x v="0"/>
          </reference>
        </references>
      </pivotArea>
    </chartFormat>
    <chartFormat chart="4" format="28">
      <pivotArea type="data" outline="0" fieldPosition="0">
        <references count="2">
          <reference field="4294967294" count="1" selected="0">
            <x v="0"/>
          </reference>
          <reference field="6" count="1" selected="0">
            <x v="1"/>
          </reference>
        </references>
      </pivotArea>
    </chartFormat>
    <chartFormat chart="4" format="29">
      <pivotArea type="data" outline="0" fieldPosition="0">
        <references count="2">
          <reference field="4294967294" count="1" selected="0">
            <x v="0"/>
          </reference>
          <reference field="6" count="1" selected="0">
            <x v="2"/>
          </reference>
        </references>
      </pivotArea>
    </chartFormat>
    <chartFormat chart="4" format="30">
      <pivotArea type="data" outline="0" fieldPosition="0">
        <references count="2">
          <reference field="4294967294" count="1" selected="0">
            <x v="0"/>
          </reference>
          <reference field="6" count="1" selected="0">
            <x v="3"/>
          </reference>
        </references>
      </pivotArea>
    </chartFormat>
    <chartFormat chart="4" format="31">
      <pivotArea type="data" outline="0" fieldPosition="0">
        <references count="2">
          <reference field="4294967294" count="1" selected="0">
            <x v="0"/>
          </reference>
          <reference field="6" count="1" selected="0">
            <x v="4"/>
          </reference>
        </references>
      </pivotArea>
    </chartFormat>
    <chartFormat chart="4" format="32">
      <pivotArea type="data" outline="0" fieldPosition="0">
        <references count="2">
          <reference field="4294967294" count="1" selected="0">
            <x v="0"/>
          </reference>
          <reference field="6" count="1" selected="0">
            <x v="5"/>
          </reference>
        </references>
      </pivotArea>
    </chartFormat>
    <chartFormat chart="4" format="33">
      <pivotArea type="data" outline="0" fieldPosition="0">
        <references count="2">
          <reference field="4294967294" count="1" selected="0">
            <x v="0"/>
          </reference>
          <reference field="6" count="1" selected="0">
            <x v="6"/>
          </reference>
        </references>
      </pivotArea>
    </chartFormat>
    <chartFormat chart="4" format="34">
      <pivotArea type="data" outline="0" fieldPosition="0">
        <references count="2">
          <reference field="4294967294" count="1" selected="0">
            <x v="0"/>
          </reference>
          <reference field="6" count="1" selected="0">
            <x v="7"/>
          </reference>
        </references>
      </pivotArea>
    </chartFormat>
    <chartFormat chart="4" format="35">
      <pivotArea type="data" outline="0" fieldPosition="0">
        <references count="2">
          <reference field="4294967294" count="1" selected="0">
            <x v="0"/>
          </reference>
          <reference field="6" count="1" selected="0">
            <x v="8"/>
          </reference>
        </references>
      </pivotArea>
    </chartFormat>
    <chartFormat chart="4" format="36">
      <pivotArea type="data" outline="0" fieldPosition="0">
        <references count="2">
          <reference field="4294967294" count="1" selected="0">
            <x v="0"/>
          </reference>
          <reference field="6" count="1" selected="0">
            <x v="9"/>
          </reference>
        </references>
      </pivotArea>
    </chartFormat>
    <chartFormat chart="4" format="37">
      <pivotArea type="data" outline="0" fieldPosition="0">
        <references count="2">
          <reference field="4294967294" count="1" selected="0">
            <x v="0"/>
          </reference>
          <reference field="6" count="1" selected="0">
            <x v="10"/>
          </reference>
        </references>
      </pivotArea>
    </chartFormat>
    <chartFormat chart="4" format="38" series="1">
      <pivotArea type="data" outline="0" fieldPosition="0">
        <references count="1">
          <reference field="4294967294" count="1" selected="0">
            <x v="1"/>
          </reference>
        </references>
      </pivotArea>
    </chartFormat>
    <chartFormat chart="4" format="39">
      <pivotArea type="data" outline="0" fieldPosition="0">
        <references count="2">
          <reference field="4294967294" count="1" selected="0">
            <x v="1"/>
          </reference>
          <reference field="6" count="1" selected="0">
            <x v="0"/>
          </reference>
        </references>
      </pivotArea>
    </chartFormat>
    <chartFormat chart="4" format="40">
      <pivotArea type="data" outline="0" fieldPosition="0">
        <references count="2">
          <reference field="4294967294" count="1" selected="0">
            <x v="1"/>
          </reference>
          <reference field="6" count="1" selected="0">
            <x v="1"/>
          </reference>
        </references>
      </pivotArea>
    </chartFormat>
    <chartFormat chart="4" format="41">
      <pivotArea type="data" outline="0" fieldPosition="0">
        <references count="2">
          <reference field="4294967294" count="1" selected="0">
            <x v="1"/>
          </reference>
          <reference field="6" count="1" selected="0">
            <x v="2"/>
          </reference>
        </references>
      </pivotArea>
    </chartFormat>
    <chartFormat chart="4" format="42">
      <pivotArea type="data" outline="0" fieldPosition="0">
        <references count="2">
          <reference field="4294967294" count="1" selected="0">
            <x v="1"/>
          </reference>
          <reference field="6" count="1" selected="0">
            <x v="3"/>
          </reference>
        </references>
      </pivotArea>
    </chartFormat>
    <chartFormat chart="4" format="43">
      <pivotArea type="data" outline="0" fieldPosition="0">
        <references count="2">
          <reference field="4294967294" count="1" selected="0">
            <x v="1"/>
          </reference>
          <reference field="6" count="1" selected="0">
            <x v="4"/>
          </reference>
        </references>
      </pivotArea>
    </chartFormat>
    <chartFormat chart="4" format="44">
      <pivotArea type="data" outline="0" fieldPosition="0">
        <references count="2">
          <reference field="4294967294" count="1" selected="0">
            <x v="1"/>
          </reference>
          <reference field="6" count="1" selected="0">
            <x v="5"/>
          </reference>
        </references>
      </pivotArea>
    </chartFormat>
    <chartFormat chart="4" format="45">
      <pivotArea type="data" outline="0" fieldPosition="0">
        <references count="2">
          <reference field="4294967294" count="1" selected="0">
            <x v="1"/>
          </reference>
          <reference field="6" count="1" selected="0">
            <x v="6"/>
          </reference>
        </references>
      </pivotArea>
    </chartFormat>
    <chartFormat chart="4" format="46">
      <pivotArea type="data" outline="0" fieldPosition="0">
        <references count="2">
          <reference field="4294967294" count="1" selected="0">
            <x v="1"/>
          </reference>
          <reference field="6" count="1" selected="0">
            <x v="7"/>
          </reference>
        </references>
      </pivotArea>
    </chartFormat>
    <chartFormat chart="4" format="47">
      <pivotArea type="data" outline="0" fieldPosition="0">
        <references count="2">
          <reference field="4294967294" count="1" selected="0">
            <x v="1"/>
          </reference>
          <reference field="6" count="1" selected="0">
            <x v="8"/>
          </reference>
        </references>
      </pivotArea>
    </chartFormat>
    <chartFormat chart="4" format="48">
      <pivotArea type="data" outline="0" fieldPosition="0">
        <references count="2">
          <reference field="4294967294" count="1" selected="0">
            <x v="1"/>
          </reference>
          <reference field="6" count="1" selected="0">
            <x v="9"/>
          </reference>
        </references>
      </pivotArea>
    </chartFormat>
    <chartFormat chart="4" format="49">
      <pivotArea type="data" outline="0" fieldPosition="0">
        <references count="2">
          <reference field="4294967294" count="1" selected="0">
            <x v="1"/>
          </reference>
          <reference field="6" count="1" selected="0">
            <x v="10"/>
          </reference>
        </references>
      </pivotArea>
    </chartFormat>
    <chartFormat chart="0" format="2">
      <pivotArea type="data" outline="0" fieldPosition="0">
        <references count="2">
          <reference field="4294967294" count="1" selected="0">
            <x v="0"/>
          </reference>
          <reference field="6" count="1" selected="0">
            <x v="0"/>
          </reference>
        </references>
      </pivotArea>
    </chartFormat>
    <chartFormat chart="0" format="3">
      <pivotArea type="data" outline="0" fieldPosition="0">
        <references count="2">
          <reference field="4294967294" count="1" selected="0">
            <x v="0"/>
          </reference>
          <reference field="6" count="1" selected="0">
            <x v="1"/>
          </reference>
        </references>
      </pivotArea>
    </chartFormat>
    <chartFormat chart="0" format="4">
      <pivotArea type="data" outline="0" fieldPosition="0">
        <references count="2">
          <reference field="4294967294" count="1" selected="0">
            <x v="0"/>
          </reference>
          <reference field="6" count="1" selected="0">
            <x v="2"/>
          </reference>
        </references>
      </pivotArea>
    </chartFormat>
    <chartFormat chart="0" format="5">
      <pivotArea type="data" outline="0" fieldPosition="0">
        <references count="2">
          <reference field="4294967294" count="1" selected="0">
            <x v="0"/>
          </reference>
          <reference field="6" count="1" selected="0">
            <x v="3"/>
          </reference>
        </references>
      </pivotArea>
    </chartFormat>
    <chartFormat chart="0" format="6">
      <pivotArea type="data" outline="0" fieldPosition="0">
        <references count="2">
          <reference field="4294967294" count="1" selected="0">
            <x v="0"/>
          </reference>
          <reference field="6" count="1" selected="0">
            <x v="4"/>
          </reference>
        </references>
      </pivotArea>
    </chartFormat>
    <chartFormat chart="0" format="7">
      <pivotArea type="data" outline="0" fieldPosition="0">
        <references count="2">
          <reference field="4294967294" count="1" selected="0">
            <x v="0"/>
          </reference>
          <reference field="6" count="1" selected="0">
            <x v="5"/>
          </reference>
        </references>
      </pivotArea>
    </chartFormat>
    <chartFormat chart="0" format="8">
      <pivotArea type="data" outline="0" fieldPosition="0">
        <references count="2">
          <reference field="4294967294" count="1" selected="0">
            <x v="0"/>
          </reference>
          <reference field="6" count="1" selected="0">
            <x v="6"/>
          </reference>
        </references>
      </pivotArea>
    </chartFormat>
    <chartFormat chart="0" format="9">
      <pivotArea type="data" outline="0" fieldPosition="0">
        <references count="2">
          <reference field="4294967294" count="1" selected="0">
            <x v="0"/>
          </reference>
          <reference field="6" count="1" selected="0">
            <x v="7"/>
          </reference>
        </references>
      </pivotArea>
    </chartFormat>
    <chartFormat chart="0" format="10">
      <pivotArea type="data" outline="0" fieldPosition="0">
        <references count="2">
          <reference field="4294967294" count="1" selected="0">
            <x v="0"/>
          </reference>
          <reference field="6" count="1" selected="0">
            <x v="8"/>
          </reference>
        </references>
      </pivotArea>
    </chartFormat>
    <chartFormat chart="0" format="11">
      <pivotArea type="data" outline="0" fieldPosition="0">
        <references count="2">
          <reference field="4294967294" count="1" selected="0">
            <x v="0"/>
          </reference>
          <reference field="6" count="1" selected="0">
            <x v="9"/>
          </reference>
        </references>
      </pivotArea>
    </chartFormat>
    <chartFormat chart="0" format="12">
      <pivotArea type="data" outline="0" fieldPosition="0">
        <references count="2">
          <reference field="4294967294" count="1" selected="0">
            <x v="0"/>
          </reference>
          <reference field="6" count="1" selected="0">
            <x v="10"/>
          </reference>
        </references>
      </pivotArea>
    </chartFormat>
    <chartFormat chart="0" format="13">
      <pivotArea type="data" outline="0" fieldPosition="0">
        <references count="2">
          <reference field="4294967294" count="1" selected="0">
            <x v="1"/>
          </reference>
          <reference field="6" count="1" selected="0">
            <x v="0"/>
          </reference>
        </references>
      </pivotArea>
    </chartFormat>
    <chartFormat chart="0" format="14">
      <pivotArea type="data" outline="0" fieldPosition="0">
        <references count="2">
          <reference field="4294967294" count="1" selected="0">
            <x v="1"/>
          </reference>
          <reference field="6" count="1" selected="0">
            <x v="1"/>
          </reference>
        </references>
      </pivotArea>
    </chartFormat>
    <chartFormat chart="0" format="15">
      <pivotArea type="data" outline="0" fieldPosition="0">
        <references count="2">
          <reference field="4294967294" count="1" selected="0">
            <x v="1"/>
          </reference>
          <reference field="6" count="1" selected="0">
            <x v="2"/>
          </reference>
        </references>
      </pivotArea>
    </chartFormat>
    <chartFormat chart="0" format="16">
      <pivotArea type="data" outline="0" fieldPosition="0">
        <references count="2">
          <reference field="4294967294" count="1" selected="0">
            <x v="1"/>
          </reference>
          <reference field="6" count="1" selected="0">
            <x v="3"/>
          </reference>
        </references>
      </pivotArea>
    </chartFormat>
    <chartFormat chart="0" format="17">
      <pivotArea type="data" outline="0" fieldPosition="0">
        <references count="2">
          <reference field="4294967294" count="1" selected="0">
            <x v="1"/>
          </reference>
          <reference field="6" count="1" selected="0">
            <x v="4"/>
          </reference>
        </references>
      </pivotArea>
    </chartFormat>
    <chartFormat chart="0" format="18">
      <pivotArea type="data" outline="0" fieldPosition="0">
        <references count="2">
          <reference field="4294967294" count="1" selected="0">
            <x v="1"/>
          </reference>
          <reference field="6" count="1" selected="0">
            <x v="5"/>
          </reference>
        </references>
      </pivotArea>
    </chartFormat>
    <chartFormat chart="0" format="19">
      <pivotArea type="data" outline="0" fieldPosition="0">
        <references count="2">
          <reference field="4294967294" count="1" selected="0">
            <x v="1"/>
          </reference>
          <reference field="6" count="1" selected="0">
            <x v="6"/>
          </reference>
        </references>
      </pivotArea>
    </chartFormat>
    <chartFormat chart="0" format="20">
      <pivotArea type="data" outline="0" fieldPosition="0">
        <references count="2">
          <reference field="4294967294" count="1" selected="0">
            <x v="1"/>
          </reference>
          <reference field="6" count="1" selected="0">
            <x v="7"/>
          </reference>
        </references>
      </pivotArea>
    </chartFormat>
    <chartFormat chart="0" format="21">
      <pivotArea type="data" outline="0" fieldPosition="0">
        <references count="2">
          <reference field="4294967294" count="1" selected="0">
            <x v="1"/>
          </reference>
          <reference field="6" count="1" selected="0">
            <x v="8"/>
          </reference>
        </references>
      </pivotArea>
    </chartFormat>
    <chartFormat chart="0" format="22">
      <pivotArea type="data" outline="0" fieldPosition="0">
        <references count="2">
          <reference field="4294967294" count="1" selected="0">
            <x v="1"/>
          </reference>
          <reference field="6" count="1" selected="0">
            <x v="9"/>
          </reference>
        </references>
      </pivotArea>
    </chartFormat>
    <chartFormat chart="0" format="23">
      <pivotArea type="data" outline="0" fieldPosition="0">
        <references count="2">
          <reference field="4294967294" count="1" selected="0">
            <x v="1"/>
          </reference>
          <reference field="6" count="1" selected="0">
            <x v="10"/>
          </reference>
        </references>
      </pivotArea>
    </chartFormat>
    <chartFormat chart="4" format="50">
      <pivotArea type="data" outline="0" fieldPosition="0">
        <references count="1">
          <reference field="4294967294" count="1" selected="0">
            <x v="0"/>
          </reference>
        </references>
      </pivotArea>
    </chartFormat>
    <chartFormat chart="4" format="5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Type" xr10:uid="{3C16F4D7-01B6-4C86-9CBF-93251E7640AD}" sourceName="StoreType">
  <pivotTables>
    <pivotTable tabId="5" name="PivotTable1"/>
    <pivotTable tabId="5" name="PivotTable2"/>
    <pivotTable tabId="5" name="PivotTable3"/>
    <pivotTable tabId="5" name="PivotTable6"/>
  </pivotTables>
  <data>
    <tabular pivotCacheId="140606479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E52ED6B-BE26-4925-8A5C-9F3D8CF96CA8}" sourceName="Category">
  <pivotTables>
    <pivotTable tabId="5" name="PivotTable1"/>
    <pivotTable tabId="5" name="PivotTable2"/>
    <pivotTable tabId="5" name="PivotTable3"/>
    <pivotTable tabId="5" name="PivotTable6"/>
  </pivotTables>
  <data>
    <tabular pivotCacheId="1406064795">
      <items count="13">
        <i x="5" s="1"/>
        <i x="1" s="1"/>
        <i x="11" s="1"/>
        <i x="7" s="1"/>
        <i x="0" s="1"/>
        <i x="3" s="1"/>
        <i x="9" s="1"/>
        <i x="4" s="1"/>
        <i x="2" s="1"/>
        <i x="10" s="1"/>
        <i x="8" s="1"/>
        <i x="6" s="1"/>
        <i x="1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54FD39-13BC-4194-9BAE-802C3DB25D09}" sourceName="Region">
  <pivotTables>
    <pivotTable tabId="5" name="PivotTable1"/>
    <pivotTable tabId="5" name="PivotTable2"/>
    <pivotTable tabId="5" name="PivotTable3"/>
    <pivotTable tabId="5" name="PivotTable6"/>
  </pivotTables>
  <data>
    <tabular pivotCacheId="1406064795">
      <items count="4">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Type" xr10:uid="{6D3CF9E4-A212-46E9-9B96-8DFB7FF69B2A}" cache="Slicer_StoreType" caption="StoreType" showCaption="0" style="Slicer Style 2" rowHeight="396000"/>
  <slicer name="Category" xr10:uid="{3B894F1B-1D7C-49EB-A5EE-B337C6F18ECF}" cache="Slicer_Category" caption="Category" showCaption="0" style="Slicer Style 2" rowHeight="396000"/>
  <slicer name="Region" xr10:uid="{0965134E-DF40-4556-9E8D-46C8D156897A}" cache="Slicer_Region" caption="Region" showCaption="0" style="Slicer Style 2" rowHeight="39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3DCAFF3-EFEF-4739-8FDD-AC0C3907A188}" name="Table1" displayName="Table1" ref="A1:BS121" totalsRowShown="0" headerRowDxfId="249" dataDxfId="247" headerRowBorderDxfId="248" tableBorderDxfId="246" totalsRowBorderDxfId="245">
  <tableColumns count="71">
    <tableColumn id="1" xr3:uid="{CD12A32D-2BBB-4E8D-BD5A-A911119FA055}" name="OrderID" dataDxfId="244"/>
    <tableColumn id="2" xr3:uid="{A2BD386F-791A-4F97-BC5F-9133EB0AB92A}" name="OrderDate" dataDxfId="243"/>
    <tableColumn id="3" xr3:uid="{4940A38A-877D-41D1-B9A5-EA5591DF1080}" name="DeliveryDate" dataDxfId="242"/>
    <tableColumn id="4" xr3:uid="{ED2A24C8-E60D-49A7-83A3-00A4146446E8}" name="OrderStatus" dataDxfId="241"/>
    <tableColumn id="5" xr3:uid="{17F37076-632D-4F55-A64F-95047757940A}" name="Channel" dataDxfId="240"/>
    <tableColumn id="6" xr3:uid="{9ACB57BC-C1E7-4820-A6CB-6DAA7A7776DF}" name="StoreCode" dataDxfId="239"/>
    <tableColumn id="7" xr3:uid="{A6150039-24FB-4D85-AAD7-CBA848A16E71}" name="StoreName" dataDxfId="238"/>
    <tableColumn id="8" xr3:uid="{16D17383-D18F-4231-B512-C3D212373619}" name="Region" dataDxfId="237"/>
    <tableColumn id="9" xr3:uid="{EB49D668-AF87-4FB0-AF1A-483DA41D0186}" name="City" dataDxfId="236"/>
    <tableColumn id="10" xr3:uid="{AFA27064-11BE-4B73-B3E2-EADF20138D44}" name="State" dataDxfId="235"/>
    <tableColumn id="11" xr3:uid="{6F7F8582-74EF-4B6E-953B-F10762759A8F}" name="Zone" dataDxfId="234"/>
    <tableColumn id="12" xr3:uid="{9DAB2F60-F201-418E-90E6-6D0714BADD4F}" name="StoreType" dataDxfId="233"/>
    <tableColumn id="13" xr3:uid="{7893C1CD-1937-4E2C-9911-FF86B3ED0207}" name="Manager" dataDxfId="232"/>
    <tableColumn id="14" xr3:uid="{8A7F4330-CF34-444D-91CE-92B6AB5A54BD}" name="Contact" dataDxfId="231"/>
    <tableColumn id="15" xr3:uid="{71F82957-45EC-4092-939B-83586DF9FA90}" name="OpeningDate" dataDxfId="230"/>
    <tableColumn id="16" xr3:uid="{4EC12621-7E83-48F7-9665-F39FB1577E15}" name="ProductID" dataDxfId="229"/>
    <tableColumn id="17" xr3:uid="{8A9586C9-97B4-4F4A-BC7F-9641032365A8}" name="ProductName" dataDxfId="228"/>
    <tableColumn id="18" xr3:uid="{CFB1599A-DE4F-489B-9326-4A7EC1EDCD19}" name="Category" dataDxfId="227"/>
    <tableColumn id="19" xr3:uid="{980DEDF5-F231-4391-AB53-BDFD41E1AA97}" name="SubCategory" dataDxfId="226"/>
    <tableColumn id="20" xr3:uid="{9780C70C-6F0C-4909-8786-93D1A2E17C83}" name="Brand" dataDxfId="225"/>
    <tableColumn id="21" xr3:uid="{6FB2BED1-9903-46D4-8A77-AD7A808F4BD0}" name="Supplier" dataDxfId="224"/>
    <tableColumn id="22" xr3:uid="{9BB82F2A-9BA7-44D1-AD31-5A4F34E21021}" name="UnitPrice" dataDxfId="223"/>
    <tableColumn id="23" xr3:uid="{2AC2EB2C-F5C2-4C04-BCFD-97C308A24C4F}" name="CostPrice" dataDxfId="222"/>
    <tableColumn id="24" xr3:uid="{F282F326-FD1A-4789-BEC2-1066BA9CFF04}" name="Weight" dataDxfId="221"/>
    <tableColumn id="25" xr3:uid="{B902EBC4-99A9-4DC4-9BF3-7AF0912A8BD2}" name="Color" dataDxfId="220"/>
    <tableColumn id="26" xr3:uid="{206CA063-B6D5-4EE3-8ECE-24E90CAFEA93}" name="Size" dataDxfId="219"/>
    <tableColumn id="27" xr3:uid="{CDC03EC4-D9BF-4735-9642-261AEC406BE5}" name="StockLevel" dataDxfId="218"/>
    <tableColumn id="28" xr3:uid="{55439604-5465-463C-ADB3-147A4B1672DD}" name="ReorderLevel" dataDxfId="217"/>
    <tableColumn id="29" xr3:uid="{1BBE957A-5AAC-4017-810B-1C80D26784B2}" name="LeadTime" dataDxfId="216"/>
    <tableColumn id="30" xr3:uid="{239C7D7E-F89E-411E-B07F-B6B171209A25}" name="Quantity" dataDxfId="215"/>
    <tableColumn id="59" xr3:uid="{D4B60CCA-64A7-47D3-B171-A848F793A6BE}" name="Column1" dataDxfId="214">
      <calculatedColumnFormula>Table1[[#This Row],[Discount%]]/100</calculatedColumnFormula>
    </tableColumn>
    <tableColumn id="31" xr3:uid="{D2407798-62D6-47F1-B1AC-195AD94C7034}" name="Discount%" dataDxfId="213"/>
    <tableColumn id="60" xr3:uid="{DAFFD551-E122-4F76-A2A4-CD2BF291E4B6}" name="Column2" dataDxfId="212">
      <calculatedColumnFormula>Table1[[#This Row],[Tax%]]/100</calculatedColumnFormula>
    </tableColumn>
    <tableColumn id="32" xr3:uid="{9A34D0CF-4377-4A2E-A0A6-D318F5F7909B}" name="Tax%" dataDxfId="211"/>
    <tableColumn id="33" xr3:uid="{BB7D4200-0097-408B-8A95-04C8A21F2349}" name="ShippingCost" dataDxfId="210"/>
    <tableColumn id="34" xr3:uid="{0459EC83-79B4-405F-9EC9-E058FFDB1B13}" name="PaymentMethod" dataDxfId="209"/>
    <tableColumn id="35" xr3:uid="{B495A00E-D485-450D-ACDB-7B7291BB4719}" name="CustomerType" dataDxfId="208"/>
    <tableColumn id="36" xr3:uid="{54653569-BC29-46B0-9565-A6AA80A9C49A}" name="CustomerID" dataDxfId="207"/>
    <tableColumn id="37" xr3:uid="{58875DAD-4F93-4930-A122-241339956472}" name="CustomerTier" dataDxfId="206"/>
    <tableColumn id="38" xr3:uid="{F277F318-E631-4294-AA78-A4110D36BD72}" name="SalesRep" dataDxfId="205"/>
    <tableColumn id="39" xr3:uid="{8D6568D4-7FCF-431C-A593-5C7EBAC4C218}" name="ReturnStatus" dataDxfId="204"/>
    <tableColumn id="40" xr3:uid="{317E4F0D-88B1-41CB-9812-F8C60874DDD4}" name="ReturnReason" dataDxfId="203"/>
    <tableColumn id="41" xr3:uid="{662F54BA-0A57-4E58-9EC0-1EB84F27E8DD}" name="RefundAmount" dataDxfId="202"/>
    <tableColumn id="68" xr3:uid="{051F2C39-2057-4A0D-A08F-BF67613184C1}" name="Column9" dataDxfId="201">
      <calculatedColumnFormula>IFERROR((Table1[[#This Row],[Column7]]-Table1[[#This Row],[Column8]])/Table1[[#This Row],[Column7]], 0)</calculatedColumnFormula>
    </tableColumn>
    <tableColumn id="42" xr3:uid="{7958B3C1-7158-45B2-A3AF-A11C6B16A15D}" name="ProfitMargin" dataDxfId="200"/>
    <tableColumn id="67" xr3:uid="{2D96714B-4333-4A08-973C-9BD4605245B0}" name="Column8" dataDxfId="199">
      <calculatedColumnFormula>Table1[[#This Row],[Quantity]] * Table1[[#This Row],[CostPrice]]</calculatedColumnFormula>
    </tableColumn>
    <tableColumn id="43" xr3:uid="{1EEF0C96-6BD2-4785-B6FE-65A3FEAD77EF}" name="COGS" dataDxfId="198"/>
    <tableColumn id="62" xr3:uid="{8759FE09-2E6C-413C-932B-A827AD7F844F}" name="Column3" dataDxfId="197">
      <calculatedColumnFormula>Table1[[#This Row],[Quantity]] * Table1[[#This Row],[UnitPrice]]</calculatedColumnFormula>
    </tableColumn>
    <tableColumn id="44" xr3:uid="{F46269BC-D793-4A4A-9039-FBDA71F5CDF7}" name="GrossSales" dataDxfId="196"/>
    <tableColumn id="63" xr3:uid="{2E1707C3-610F-484F-9FF4-E3D9552654B7}" name="Column4" dataDxfId="195">
      <calculatedColumnFormula>Table1[[#This Row],[Column3]] * (Table1[[#This Row],[Column1]]/100)</calculatedColumnFormula>
    </tableColumn>
    <tableColumn id="45" xr3:uid="{CE2032D0-396F-4DFA-8F0C-F921307AD0C0}" name="DiscountAmount" dataDxfId="194"/>
    <tableColumn id="64" xr3:uid="{D7316141-6294-40C1-9AF7-12B18282AFE0}" name="Column5" dataDxfId="193">
      <calculatedColumnFormula>Table1[[#This Row],[Column3]] * Table1[[#This Row],[Column4]]</calculatedColumnFormula>
    </tableColumn>
    <tableColumn id="46" xr3:uid="{13E923F6-C472-4DAB-8E4D-4F223DDD1F07}" name="NetSales" dataDxfId="192"/>
    <tableColumn id="65" xr3:uid="{859CDB81-A957-4EFC-8651-D8C683802C1C}" name="Column6" dataDxfId="191">
      <calculatedColumnFormula>Table1[[#This Row],[Column5]] * (Table1[[#This Row],[Column2]]/100)</calculatedColumnFormula>
    </tableColumn>
    <tableColumn id="47" xr3:uid="{499C3DCF-F638-486A-BA12-2091EA14F505}" name="TaxAmount" dataDxfId="190"/>
    <tableColumn id="66" xr3:uid="{189A2B42-DBB9-445C-88BB-2D8C23353F76}" name="Column7" dataDxfId="189">
      <calculatedColumnFormula>Table1[[#This Row],[Column5]] + Table1[[#This Row],[Column6]] + Table1[[#This Row],[ShippingCost]]</calculatedColumnFormula>
    </tableColumn>
    <tableColumn id="48" xr3:uid="{38261B5C-FF82-4CEF-8B89-9EDD7A892354}" name="TotalRevenue" dataDxfId="188"/>
    <tableColumn id="49" xr3:uid="{7E640ED9-DDD5-47E9-BF1A-A6FE279FC532}" name="ShippingStatus" dataDxfId="187"/>
    <tableColumn id="69" xr3:uid="{274C31E6-CB58-47F3-8224-9025F532B3A2}" name="Column10" dataDxfId="186">
      <calculatedColumnFormula>Table1[[#This Row],[DeliveryDate]]-Table1[[#This Row],[OrderDate]]</calculatedColumnFormula>
    </tableColumn>
    <tableColumn id="50" xr3:uid="{A589B7DF-3EA6-44F2-A933-04DD7928E3A9}" name="DeliveryDays" dataDxfId="185"/>
    <tableColumn id="70" xr3:uid="{74D04F60-1E61-432E-A110-1CF3B3BE0CB1}" name="Column11" dataDxfId="184">
      <calculatedColumnFormula>IF(OR(Table1[[#This Row],[CustomerTier]]="Platinum", Table1[[#This Row],[Column7]]&gt;1000), "Yes", "No")</calculatedColumnFormula>
    </tableColumn>
    <tableColumn id="51" xr3:uid="{3BAE68DB-86E1-43CB-B977-88C264D34A2E}" name="IsPriority" dataDxfId="183"/>
    <tableColumn id="71" xr3:uid="{F7C4DDA4-7DA5-4256-B2BB-BE7C8934BAB8}" name="Column12" dataDxfId="182">
      <calculatedColumnFormula>IF(Table1[[#This Row],[Quantity]]&gt;=10, "Yes", "No")</calculatedColumnFormula>
    </tableColumn>
    <tableColumn id="52" xr3:uid="{5CB46BDA-89B6-415C-A34D-3A51F6E23377}" name="IsBulkOrder" dataDxfId="181"/>
    <tableColumn id="72" xr3:uid="{460ABFC6-9C38-4096-A458-989560E384AE}" name="Column13" dataDxfId="180">
      <calculatedColumnFormula>IF(Table1[[#This Row],[Column12]]="Yes", 5%, 0)</calculatedColumnFormula>
    </tableColumn>
    <tableColumn id="53" xr3:uid="{A632D912-E551-48A1-8EA6-17A36EC08D39}" name="BulkDiscount" dataDxfId="179"/>
    <tableColumn id="54" xr3:uid="{DF849F4C-B38B-4DEE-9C34-22A2586152CE}" name="PromoCode" dataDxfId="178"/>
    <tableColumn id="55" xr3:uid="{A524FC11-7CA3-4A95-87F1-7E61398F5C7A}" name="Campaign" dataDxfId="177"/>
    <tableColumn id="56" xr3:uid="{F24DA4C8-B6D0-4D40-A2D1-67FB14A9A3B9}" name="WarehouseCode" dataDxfId="176"/>
    <tableColumn id="57" xr3:uid="{124D9145-0549-4228-A441-665B9619FD13}" name="InventoryStatus" dataDxfId="175"/>
    <tableColumn id="58" xr3:uid="{80283F5B-C533-4F2F-BB89-17E2B3B5C073}" name="DataQualityFlag" dataDxfId="17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C609F7-BB2E-4C69-8418-91857F8DF465}" name="Table13" displayName="Table13" ref="A1:BF121" totalsRowShown="0" headerRowDxfId="173" dataDxfId="171" headerRowBorderDxfId="172" tableBorderDxfId="170" totalsRowBorderDxfId="169">
  <tableColumns count="58">
    <tableColumn id="1" xr3:uid="{347083A5-50BD-4BE1-BC1C-569CFA64CAA5}" name="OrderID" dataDxfId="168"/>
    <tableColumn id="2" xr3:uid="{6FDABFD6-C360-4207-967E-A8F6B281FFD8}" name="OrderDate" dataDxfId="167"/>
    <tableColumn id="3" xr3:uid="{4285AB14-FDFA-4A9F-B98C-1D424195BE6D}" name="DeliveryDate" dataDxfId="166"/>
    <tableColumn id="4" xr3:uid="{C15E96A3-B376-4AE3-8779-442E4E4122AD}" name="OrderStatus" dataDxfId="165"/>
    <tableColumn id="5" xr3:uid="{E5D9A3BA-6E1B-4FD2-9C58-7FC9C210F37E}" name="Channel" dataDxfId="164"/>
    <tableColumn id="6" xr3:uid="{8E413304-A553-4873-B7D9-C4450B8C4CBC}" name="StoreCode" dataDxfId="163"/>
    <tableColumn id="7" xr3:uid="{72EA703A-C44A-4CE0-8358-7F8FF3EBA564}" name="StoreName" dataDxfId="162"/>
    <tableColumn id="8" xr3:uid="{E4BB33D5-CA77-419B-9F89-CC6A4357AF21}" name="Region" dataDxfId="161"/>
    <tableColumn id="9" xr3:uid="{1D5EB9D9-733C-46B4-9AA6-696AEEADD475}" name="City" dataDxfId="160"/>
    <tableColumn id="10" xr3:uid="{A12B4D9F-4DC7-4A38-A6E3-DF582C08DDAF}" name="State" dataDxfId="159"/>
    <tableColumn id="11" xr3:uid="{35E18FF4-76EC-4634-912E-33086D7A600D}" name="Zone" dataDxfId="158"/>
    <tableColumn id="12" xr3:uid="{593B478B-AEFD-4197-BBAE-46F0534ADB93}" name="StoreType" dataDxfId="157"/>
    <tableColumn id="13" xr3:uid="{E464E430-EC91-4944-8B87-0D96418F1615}" name="Manager" dataDxfId="156"/>
    <tableColumn id="14" xr3:uid="{A2C36BE8-B2A9-4564-87FC-6E65A3125F9D}" name="Contact" dataDxfId="155"/>
    <tableColumn id="15" xr3:uid="{4BBCB754-B286-4009-9DA1-4913228DB125}" name="OpeningDate" dataDxfId="154"/>
    <tableColumn id="16" xr3:uid="{92DFFDB3-72B9-4B81-BCC6-B31B4CCE9217}" name="ProductID" dataDxfId="153"/>
    <tableColumn id="17" xr3:uid="{7A906456-CE2D-4F73-89EA-2BB61C534F13}" name="ProductName" dataDxfId="152"/>
    <tableColumn id="18" xr3:uid="{115ACF3A-84D7-4559-BC93-568B05473D35}" name="Category" dataDxfId="151"/>
    <tableColumn id="19" xr3:uid="{4083EFC4-97C9-4256-BE32-45B228369593}" name="SubCategory" dataDxfId="150"/>
    <tableColumn id="20" xr3:uid="{EC4025F0-2839-407F-8EF5-34CFA14F7584}" name="Brand" dataDxfId="149"/>
    <tableColumn id="21" xr3:uid="{7729C906-D16B-47CA-977A-06B309573C44}" name="Supplier" dataDxfId="148"/>
    <tableColumn id="22" xr3:uid="{6BAC00E9-64A6-460D-9713-0B1A6FE062D1}" name="UnitPrice" dataDxfId="147"/>
    <tableColumn id="23" xr3:uid="{CB36E105-BB27-4D45-9C43-5403B8620ABE}" name="CostPrice" dataDxfId="146"/>
    <tableColumn id="24" xr3:uid="{48C82ED7-C5F8-4EE6-84D7-0B53738C1548}" name="Weight" dataDxfId="145"/>
    <tableColumn id="25" xr3:uid="{5954297C-0CDD-4BD6-922D-4777B733ACDD}" name="Color" dataDxfId="144"/>
    <tableColumn id="26" xr3:uid="{76DD181B-9AEA-47F0-BF29-AA9C393BA454}" name="Size" dataDxfId="143"/>
    <tableColumn id="27" xr3:uid="{1C3C6B9D-9A61-4424-B7CC-5BFD59DC6E1F}" name="StockLevel" dataDxfId="142"/>
    <tableColumn id="28" xr3:uid="{49E63E64-9EE6-43C3-8832-8FFD680BE7F9}" name="ReorderLevel" dataDxfId="141"/>
    <tableColumn id="29" xr3:uid="{2CB0416C-DF63-43EA-BD70-AC6DEABF9365}" name="LeadTime" dataDxfId="140"/>
    <tableColumn id="30" xr3:uid="{8022477C-11B0-4DAC-8515-03193CD31C07}" name="Quantity" dataDxfId="139"/>
    <tableColumn id="59" xr3:uid="{EF28D687-CE22-4CF6-879C-ABCA035F8F2A}" name="Discount%" dataDxfId="138"/>
    <tableColumn id="60" xr3:uid="{F9E97EB2-7120-47F8-B15B-B4CD8CB25FC4}" name="Tax%" dataDxfId="137"/>
    <tableColumn id="33" xr3:uid="{B1F5A3E4-08FE-40AD-A561-24469ED87379}" name="ShippingCost" dataDxfId="136"/>
    <tableColumn id="34" xr3:uid="{3AA5D78C-8DDE-4BA1-A457-F2526DD23339}" name="PaymentMethod" dataDxfId="135"/>
    <tableColumn id="35" xr3:uid="{632309A7-8A36-42AB-BDE8-AA2A3CC383F3}" name="CustomerType" dataDxfId="134"/>
    <tableColumn id="36" xr3:uid="{1982538D-B757-4E05-B0AE-D0500C7BD21F}" name="CustomerID" dataDxfId="133"/>
    <tableColumn id="37" xr3:uid="{DA0E656C-A57B-47C8-BB6C-B9237FB81225}" name="CustomerTier" dataDxfId="132"/>
    <tableColumn id="38" xr3:uid="{A0982BF1-CFA2-40FF-96E4-3F30894F8D99}" name="SalesRep" dataDxfId="131"/>
    <tableColumn id="39" xr3:uid="{63DD25E4-884F-40CA-9444-8205D03499E0}" name="ReturnStatus" dataDxfId="130"/>
    <tableColumn id="40" xr3:uid="{FFCA909F-3511-4496-A60C-B90FA0DAA6F0}" name="ReturnReason" dataDxfId="129"/>
    <tableColumn id="41" xr3:uid="{E35531EE-2688-47ED-A490-E54F49685D73}" name="RefundAmount" dataDxfId="128"/>
    <tableColumn id="68" xr3:uid="{033C6E00-5D65-4F8E-9BF9-CCE47C9BB7A3}" name="ProfitMargin" dataDxfId="127"/>
    <tableColumn id="67" xr3:uid="{9B96D554-7830-4B9C-9308-6B6921519338}" name="COGS" dataDxfId="126"/>
    <tableColumn id="62" xr3:uid="{C7450E6D-6549-4019-B4CA-DA1B9C521081}" name="GrossSales" dataDxfId="125"/>
    <tableColumn id="63" xr3:uid="{9F0226FC-DF21-4A8C-89E8-BC2EC3C2AA64}" name="DiscountAmount" dataDxfId="124"/>
    <tableColumn id="64" xr3:uid="{FC0D687C-C640-4AFC-A4D8-D70DC814716C}" name="NetSales" dataDxfId="123"/>
    <tableColumn id="65" xr3:uid="{49575EE7-4538-49C5-BC75-72480C4248A5}" name="TaxAmount" dataDxfId="122"/>
    <tableColumn id="66" xr3:uid="{FA037765-1CE3-45BB-A92E-36B052903A28}" name="TotalRevenue" dataDxfId="121"/>
    <tableColumn id="49" xr3:uid="{2EA22DE5-E2C4-464A-BAE5-40E4FCA23BA4}" name="ShippingStatus" dataDxfId="120"/>
    <tableColumn id="69" xr3:uid="{B25EA5B4-8D3F-461F-B882-464A5FA75F37}" name="DeliveryDays" dataDxfId="119"/>
    <tableColumn id="70" xr3:uid="{C6DB3C80-A297-4D7F-87CB-4D037828842A}" name="IsPriority" dataDxfId="118"/>
    <tableColumn id="71" xr3:uid="{667BB493-7362-406B-A362-B06DA397067A}" name="IsBulkOrder" dataDxfId="117"/>
    <tableColumn id="72" xr3:uid="{AB81A695-2A2A-405D-9199-E27838D6261F}" name="BulkDiscount" dataDxfId="116"/>
    <tableColumn id="54" xr3:uid="{1547021A-73E4-40BB-8785-0120212BE164}" name="PromoCode" dataDxfId="115"/>
    <tableColumn id="55" xr3:uid="{626F1306-FDBC-4175-9352-EAFEB2711E9C}" name="Campaign" dataDxfId="114"/>
    <tableColumn id="56" xr3:uid="{6A932D47-F4D9-40D2-8389-D95333430574}" name="WarehouseCode" dataDxfId="113"/>
    <tableColumn id="57" xr3:uid="{C4EEDD90-F6CD-41FE-A323-AFA40C944EE1}" name="InventoryStatus" dataDxfId="112"/>
    <tableColumn id="58" xr3:uid="{B6DC5444-3D34-4A21-A5AC-C31609BC91E5}" name="DataQualityFlag" dataDxfId="11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EB59D99-4FA9-47C0-B932-53C7F0BDE4EE}" name="Table3" displayName="Table3" ref="E7:H8" totalsRowShown="0" headerRowDxfId="110" dataDxfId="108" headerRowBorderDxfId="109" tableBorderDxfId="107" totalsRowBorderDxfId="106">
  <tableColumns count="4">
    <tableColumn id="1" xr3:uid="{C010308E-64EE-433E-BBBB-9C338C217753}" name="ProductID" dataDxfId="105"/>
    <tableColumn id="2" xr3:uid="{45B8B559-62DD-457D-ADE9-0CD5BEC60471}" name="ProductName" dataDxfId="104">
      <calculatedColumnFormula>VLOOKUP(Table3[[#This Row],[ProductID]],Cleaned_data!P1:BF121,2,FALSE)</calculatedColumnFormula>
    </tableColumn>
    <tableColumn id="3" xr3:uid="{FA8F30CB-60BB-4D40-BA45-416DE14040DD}" name="Category" dataDxfId="103">
      <calculatedColumnFormula>VLOOKUP(Table3[[#This Row],[ProductID]],Table13[[#All],[ProductID]:[DataQualityFlag]],3,FALSE)</calculatedColumnFormula>
    </tableColumn>
    <tableColumn id="4" xr3:uid="{B7DFD330-A27F-4936-8679-5F75D65CBEB5}" name="UnitPrice" dataDxfId="102">
      <calculatedColumnFormula>VLOOKUP(Table3[[#This Row],[ProductID]],Table13[[#All],[ProductID]:[DataQualityFlag]],7,FALSE)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253888-CCB5-4C90-93C1-B581D5286683}" name="Table4" displayName="Table4" ref="E14:H15" totalsRowShown="0" headerRowDxfId="101" dataDxfId="99" headerRowBorderDxfId="100" tableBorderDxfId="98" totalsRowBorderDxfId="97">
  <tableColumns count="4">
    <tableColumn id="1" xr3:uid="{F2C06876-B101-471B-BB74-1276A2121B73}" name="StoreCode" dataDxfId="96"/>
    <tableColumn id="2" xr3:uid="{0CC9EA83-5D38-4271-9BE5-2609B84AAEF0}" name="StoreName" dataDxfId="95">
      <calculatedColumnFormula>VLOOKUP(Table4[[#This Row],[StoreCode]],Table13[[#All],[StoreCode]:[DataQualityFlag]],2,FALSE)</calculatedColumnFormula>
    </tableColumn>
    <tableColumn id="3" xr3:uid="{0B9A2E87-4462-454E-8552-4D06BED24877}" name="Region" dataDxfId="94">
      <calculatedColumnFormula>VLOOKUP(Table4[[#This Row],[StoreCode]],Table13[[#All],[StoreCode]:[DataQualityFlag]],3,FALSE)</calculatedColumnFormula>
    </tableColumn>
    <tableColumn id="4" xr3:uid="{02B71A1E-E4D2-4B36-8B48-3384813CF9BC}" name="City" dataDxfId="93">
      <calculatedColumnFormula>VLOOKUP(Table4[[#This Row],[StoreCode]],Table13[[#All],[StoreCode]:[DataQualityFlag]],4,FALSE)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EBAA5-6404-4191-8667-A3C23546BDF0}" name="Table5" displayName="Table5" ref="E21:F22" totalsRowShown="0" headerRowDxfId="92" headerRowBorderDxfId="91" tableBorderDxfId="90" totalsRowBorderDxfId="89">
  <tableColumns count="2">
    <tableColumn id="1" xr3:uid="{FCDE14F3-4D55-498F-AB3F-9B1B8865A899}" name="Region" dataDxfId="88"/>
    <tableColumn id="2" xr3:uid="{CAA6EBEA-F0BE-418E-ABCE-0A7588C4B2B0}" name="TaxRate" dataDxfId="87">
      <calculatedColumnFormula>VLOOKUP(Table5[[#This Row],[Region]],Table13[[#All],[Region]:[DataQualityFlag]],25,FALSE)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17AA6A-8D94-4246-9288-2344BB262B33}" name="Table7" displayName="Table7" ref="E25:L26" totalsRowShown="0" headerRowDxfId="86" dataDxfId="84" headerRowBorderDxfId="85" tableBorderDxfId="83" totalsRowBorderDxfId="82">
  <tableColumns count="8">
    <tableColumn id="2" xr3:uid="{5AD34327-53E0-4A34-883B-F9451AB660A6}" name="Total Revenue" dataDxfId="81">
      <calculatedColumnFormula>SUM(Table13[TotalRevenue])</calculatedColumnFormula>
    </tableColumn>
    <tableColumn id="3" xr3:uid="{8181AD1F-ABD4-401C-9DA0-A44159071FEC}" name="Total Orders" dataDxfId="80">
      <calculatedColumnFormula>ROWS(Table13[OrderID])</calculatedColumnFormula>
    </tableColumn>
    <tableColumn id="4" xr3:uid="{8796C22D-4298-49FF-96CE-1CA61228D04C}" name="Average Order Value" dataDxfId="79">
      <calculatedColumnFormula>Table7[[#This Row],[Total Revenue]]/COUNTA(Table13[OrderID])</calculatedColumnFormula>
    </tableColumn>
    <tableColumn id="6" xr3:uid="{97A3A40B-7717-4DB8-AF75-ED5B8DAACD64}" name="Return Rate %" dataDxfId="78">
      <calculatedColumnFormula>COUNTIF(Table13[ReturnStatus],"Returned")/COUNTA(Table13[OrderID])</calculatedColumnFormula>
    </tableColumn>
    <tableColumn id="7" xr3:uid="{9B7F692D-3615-4D41-BF08-93AEA69B5FBB}" name="Total Items Sold" dataDxfId="77">
      <calculatedColumnFormula>SUM(Table13[Quantity])</calculatedColumnFormula>
    </tableColumn>
    <tableColumn id="8" xr3:uid="{68B868C3-DA73-4819-9A16-94898969B29C}" name="Unique Customers" dataDxfId="76">
      <calculatedColumnFormula>COUNTA(Table13[CustomerID])</calculatedColumnFormula>
    </tableColumn>
    <tableColumn id="9" xr3:uid="{DBA4E811-E175-4828-ABDA-EE5F0E8444F6}" name="Top Region" dataDxfId="75">
      <calculatedColumnFormula>IF(MAX(F31:F34),"East","")</calculatedColumnFormula>
    </tableColumn>
    <tableColumn id="10" xr3:uid="{9F5D36F8-07F7-4C8A-9F7C-22AD33983049}" name="Lowest Region" dataDxfId="74">
      <calculatedColumnFormula>IF(MIN(F31:F34),"Central","")</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121"/>
  <sheetViews>
    <sheetView workbookViewId="0">
      <selection activeCell="BM20" sqref="BM20"/>
    </sheetView>
  </sheetViews>
  <sheetFormatPr defaultRowHeight="15" x14ac:dyDescent="0.25"/>
  <sheetData>
    <row r="1" spans="1:1" x14ac:dyDescent="0.25">
      <c r="A1" t="s">
        <v>0</v>
      </c>
    </row>
    <row r="2" spans="1:1" x14ac:dyDescent="0.25">
      <c r="A2" t="s">
        <v>1</v>
      </c>
    </row>
    <row r="3" spans="1:1" x14ac:dyDescent="0.25">
      <c r="A3" t="s">
        <v>2</v>
      </c>
    </row>
    <row r="4" spans="1:1" x14ac:dyDescent="0.25">
      <c r="A4" t="s">
        <v>3</v>
      </c>
    </row>
    <row r="5" spans="1:1" x14ac:dyDescent="0.25">
      <c r="A5" t="s">
        <v>4</v>
      </c>
    </row>
    <row r="6" spans="1:1" x14ac:dyDescent="0.25">
      <c r="A6" t="s">
        <v>5</v>
      </c>
    </row>
    <row r="7" spans="1:1" x14ac:dyDescent="0.25">
      <c r="A7" t="s">
        <v>6</v>
      </c>
    </row>
    <row r="8" spans="1:1" x14ac:dyDescent="0.25">
      <c r="A8" t="s">
        <v>7</v>
      </c>
    </row>
    <row r="9" spans="1:1" x14ac:dyDescent="0.25">
      <c r="A9" t="s">
        <v>8</v>
      </c>
    </row>
    <row r="10" spans="1:1" x14ac:dyDescent="0.25">
      <c r="A10" t="s">
        <v>9</v>
      </c>
    </row>
    <row r="11" spans="1:1" x14ac:dyDescent="0.25">
      <c r="A11" t="s">
        <v>10</v>
      </c>
    </row>
    <row r="12" spans="1:1" x14ac:dyDescent="0.25">
      <c r="A12" t="s">
        <v>11</v>
      </c>
    </row>
    <row r="13" spans="1:1" x14ac:dyDescent="0.25">
      <c r="A13" t="s">
        <v>12</v>
      </c>
    </row>
    <row r="14" spans="1:1" x14ac:dyDescent="0.25">
      <c r="A14" t="s">
        <v>13</v>
      </c>
    </row>
    <row r="15" spans="1:1" x14ac:dyDescent="0.25">
      <c r="A15" t="s">
        <v>14</v>
      </c>
    </row>
    <row r="16" spans="1: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row r="29" spans="1:1" x14ac:dyDescent="0.25">
      <c r="A29" t="s">
        <v>28</v>
      </c>
    </row>
    <row r="30" spans="1:1" x14ac:dyDescent="0.25">
      <c r="A30" t="s">
        <v>29</v>
      </c>
    </row>
    <row r="31" spans="1:1" x14ac:dyDescent="0.25">
      <c r="A31" t="s">
        <v>30</v>
      </c>
    </row>
    <row r="32" spans="1:1" x14ac:dyDescent="0.25">
      <c r="A32" t="s">
        <v>31</v>
      </c>
    </row>
    <row r="33" spans="1:1" x14ac:dyDescent="0.25">
      <c r="A33" t="s">
        <v>32</v>
      </c>
    </row>
    <row r="34" spans="1:1" x14ac:dyDescent="0.25">
      <c r="A34" t="s">
        <v>33</v>
      </c>
    </row>
    <row r="35" spans="1:1" x14ac:dyDescent="0.25">
      <c r="A35" t="s">
        <v>34</v>
      </c>
    </row>
    <row r="36" spans="1:1" x14ac:dyDescent="0.25">
      <c r="A36" t="s">
        <v>35</v>
      </c>
    </row>
    <row r="37" spans="1:1" x14ac:dyDescent="0.25">
      <c r="A37" t="s">
        <v>36</v>
      </c>
    </row>
    <row r="38" spans="1:1" x14ac:dyDescent="0.25">
      <c r="A38" t="s">
        <v>37</v>
      </c>
    </row>
    <row r="39" spans="1:1" x14ac:dyDescent="0.25">
      <c r="A39" t="s">
        <v>38</v>
      </c>
    </row>
    <row r="40" spans="1:1" x14ac:dyDescent="0.25">
      <c r="A40" t="s">
        <v>39</v>
      </c>
    </row>
    <row r="41" spans="1:1" x14ac:dyDescent="0.25">
      <c r="A41" t="s">
        <v>40</v>
      </c>
    </row>
    <row r="42" spans="1:1" x14ac:dyDescent="0.25">
      <c r="A42" t="s">
        <v>41</v>
      </c>
    </row>
    <row r="43" spans="1:1" x14ac:dyDescent="0.25">
      <c r="A43" t="s">
        <v>42</v>
      </c>
    </row>
    <row r="44" spans="1:1" x14ac:dyDescent="0.25">
      <c r="A44" t="s">
        <v>43</v>
      </c>
    </row>
    <row r="45" spans="1:1" x14ac:dyDescent="0.25">
      <c r="A45" t="s">
        <v>44</v>
      </c>
    </row>
    <row r="46" spans="1:1" x14ac:dyDescent="0.25">
      <c r="A46" t="s">
        <v>45</v>
      </c>
    </row>
    <row r="47" spans="1:1" x14ac:dyDescent="0.25">
      <c r="A47" t="s">
        <v>46</v>
      </c>
    </row>
    <row r="48" spans="1:1" x14ac:dyDescent="0.25">
      <c r="A48" t="s">
        <v>47</v>
      </c>
    </row>
    <row r="49" spans="1:1" x14ac:dyDescent="0.25">
      <c r="A49" t="s">
        <v>48</v>
      </c>
    </row>
    <row r="50" spans="1:1" x14ac:dyDescent="0.25">
      <c r="A50" t="s">
        <v>49</v>
      </c>
    </row>
    <row r="51" spans="1:1" x14ac:dyDescent="0.25">
      <c r="A51" t="s">
        <v>50</v>
      </c>
    </row>
    <row r="52" spans="1:1" x14ac:dyDescent="0.25">
      <c r="A52" t="s">
        <v>51</v>
      </c>
    </row>
    <row r="53" spans="1:1" x14ac:dyDescent="0.25">
      <c r="A53" t="s">
        <v>52</v>
      </c>
    </row>
    <row r="54" spans="1:1" x14ac:dyDescent="0.25">
      <c r="A54" t="s">
        <v>53</v>
      </c>
    </row>
    <row r="55" spans="1:1" x14ac:dyDescent="0.25">
      <c r="A55" t="s">
        <v>54</v>
      </c>
    </row>
    <row r="56" spans="1:1" x14ac:dyDescent="0.25">
      <c r="A56" t="s">
        <v>55</v>
      </c>
    </row>
    <row r="57" spans="1:1" x14ac:dyDescent="0.25">
      <c r="A57" t="s">
        <v>56</v>
      </c>
    </row>
    <row r="58" spans="1:1" x14ac:dyDescent="0.25">
      <c r="A58" t="s">
        <v>57</v>
      </c>
    </row>
    <row r="59" spans="1:1" x14ac:dyDescent="0.25">
      <c r="A59" t="s">
        <v>58</v>
      </c>
    </row>
    <row r="60" spans="1:1" x14ac:dyDescent="0.25">
      <c r="A60" t="s">
        <v>59</v>
      </c>
    </row>
    <row r="61" spans="1:1" x14ac:dyDescent="0.25">
      <c r="A61" t="s">
        <v>60</v>
      </c>
    </row>
    <row r="62" spans="1:1" x14ac:dyDescent="0.25">
      <c r="A62" t="s">
        <v>61</v>
      </c>
    </row>
    <row r="63" spans="1:1" x14ac:dyDescent="0.25">
      <c r="A63" t="s">
        <v>62</v>
      </c>
    </row>
    <row r="64" spans="1:1" x14ac:dyDescent="0.25">
      <c r="A64" t="s">
        <v>63</v>
      </c>
    </row>
    <row r="65" spans="1:1" x14ac:dyDescent="0.25">
      <c r="A65" t="s">
        <v>64</v>
      </c>
    </row>
    <row r="66" spans="1:1" x14ac:dyDescent="0.25">
      <c r="A66" t="s">
        <v>65</v>
      </c>
    </row>
    <row r="67" spans="1:1" x14ac:dyDescent="0.25">
      <c r="A67" t="s">
        <v>66</v>
      </c>
    </row>
    <row r="68" spans="1:1" x14ac:dyDescent="0.25">
      <c r="A68" t="s">
        <v>67</v>
      </c>
    </row>
    <row r="69" spans="1:1" x14ac:dyDescent="0.25">
      <c r="A69" t="s">
        <v>68</v>
      </c>
    </row>
    <row r="70" spans="1:1" x14ac:dyDescent="0.25">
      <c r="A70" t="s">
        <v>69</v>
      </c>
    </row>
    <row r="71" spans="1:1" x14ac:dyDescent="0.25">
      <c r="A71" t="s">
        <v>70</v>
      </c>
    </row>
    <row r="72" spans="1:1" x14ac:dyDescent="0.25">
      <c r="A72" t="s">
        <v>71</v>
      </c>
    </row>
    <row r="73" spans="1:1" x14ac:dyDescent="0.25">
      <c r="A73" t="s">
        <v>72</v>
      </c>
    </row>
    <row r="74" spans="1:1" x14ac:dyDescent="0.25">
      <c r="A74" t="s">
        <v>73</v>
      </c>
    </row>
    <row r="75" spans="1:1" x14ac:dyDescent="0.25">
      <c r="A75" t="s">
        <v>74</v>
      </c>
    </row>
    <row r="76" spans="1:1" x14ac:dyDescent="0.25">
      <c r="A76" t="s">
        <v>75</v>
      </c>
    </row>
    <row r="77" spans="1:1" x14ac:dyDescent="0.25">
      <c r="A77" t="s">
        <v>76</v>
      </c>
    </row>
    <row r="78" spans="1:1" x14ac:dyDescent="0.25">
      <c r="A78" t="s">
        <v>77</v>
      </c>
    </row>
    <row r="79" spans="1:1" x14ac:dyDescent="0.25">
      <c r="A79" t="s">
        <v>78</v>
      </c>
    </row>
    <row r="80" spans="1:1" x14ac:dyDescent="0.25">
      <c r="A80" t="s">
        <v>79</v>
      </c>
    </row>
    <row r="81" spans="1:1" x14ac:dyDescent="0.25">
      <c r="A81" t="s">
        <v>80</v>
      </c>
    </row>
    <row r="82" spans="1:1" x14ac:dyDescent="0.25">
      <c r="A82" t="s">
        <v>81</v>
      </c>
    </row>
    <row r="83" spans="1:1" x14ac:dyDescent="0.25">
      <c r="A83" t="s">
        <v>82</v>
      </c>
    </row>
    <row r="84" spans="1:1" x14ac:dyDescent="0.25">
      <c r="A84" t="s">
        <v>83</v>
      </c>
    </row>
    <row r="85" spans="1:1" x14ac:dyDescent="0.25">
      <c r="A85" t="s">
        <v>84</v>
      </c>
    </row>
    <row r="86" spans="1:1" x14ac:dyDescent="0.25">
      <c r="A86" t="s">
        <v>85</v>
      </c>
    </row>
    <row r="87" spans="1:1" x14ac:dyDescent="0.25">
      <c r="A87" t="s">
        <v>86</v>
      </c>
    </row>
    <row r="88" spans="1:1" x14ac:dyDescent="0.25">
      <c r="A88" t="s">
        <v>87</v>
      </c>
    </row>
    <row r="89" spans="1:1" x14ac:dyDescent="0.25">
      <c r="A89" t="s">
        <v>88</v>
      </c>
    </row>
    <row r="90" spans="1:1" x14ac:dyDescent="0.25">
      <c r="A90" t="s">
        <v>89</v>
      </c>
    </row>
    <row r="91" spans="1:1" x14ac:dyDescent="0.25">
      <c r="A91" t="s">
        <v>90</v>
      </c>
    </row>
    <row r="92" spans="1:1" x14ac:dyDescent="0.25">
      <c r="A92" t="s">
        <v>91</v>
      </c>
    </row>
    <row r="93" spans="1:1" x14ac:dyDescent="0.25">
      <c r="A93" t="s">
        <v>92</v>
      </c>
    </row>
    <row r="94" spans="1:1" x14ac:dyDescent="0.25">
      <c r="A94" t="s">
        <v>93</v>
      </c>
    </row>
    <row r="95" spans="1:1" x14ac:dyDescent="0.25">
      <c r="A95" t="s">
        <v>94</v>
      </c>
    </row>
    <row r="96" spans="1:1" x14ac:dyDescent="0.25">
      <c r="A96" t="s">
        <v>95</v>
      </c>
    </row>
    <row r="97" spans="1:1" x14ac:dyDescent="0.25">
      <c r="A97" t="s">
        <v>96</v>
      </c>
    </row>
    <row r="98" spans="1:1" x14ac:dyDescent="0.25">
      <c r="A98" t="s">
        <v>97</v>
      </c>
    </row>
    <row r="99" spans="1:1" x14ac:dyDescent="0.25">
      <c r="A99" t="s">
        <v>98</v>
      </c>
    </row>
    <row r="100" spans="1:1" x14ac:dyDescent="0.25">
      <c r="A100" t="s">
        <v>99</v>
      </c>
    </row>
    <row r="101" spans="1:1" x14ac:dyDescent="0.25">
      <c r="A101" t="s">
        <v>100</v>
      </c>
    </row>
    <row r="102" spans="1:1" x14ac:dyDescent="0.25">
      <c r="A102" t="s">
        <v>101</v>
      </c>
    </row>
    <row r="103" spans="1:1" x14ac:dyDescent="0.25">
      <c r="A103" t="s">
        <v>102</v>
      </c>
    </row>
    <row r="104" spans="1:1" x14ac:dyDescent="0.25">
      <c r="A104" t="s">
        <v>103</v>
      </c>
    </row>
    <row r="105" spans="1:1" x14ac:dyDescent="0.25">
      <c r="A105" t="s">
        <v>104</v>
      </c>
    </row>
    <row r="106" spans="1:1" x14ac:dyDescent="0.25">
      <c r="A106" t="s">
        <v>105</v>
      </c>
    </row>
    <row r="107" spans="1:1" x14ac:dyDescent="0.25">
      <c r="A107" t="s">
        <v>106</v>
      </c>
    </row>
    <row r="108" spans="1:1" x14ac:dyDescent="0.25">
      <c r="A108" t="s">
        <v>107</v>
      </c>
    </row>
    <row r="109" spans="1:1" x14ac:dyDescent="0.25">
      <c r="A109" t="s">
        <v>108</v>
      </c>
    </row>
    <row r="110" spans="1:1" x14ac:dyDescent="0.25">
      <c r="A110" t="s">
        <v>109</v>
      </c>
    </row>
    <row r="111" spans="1:1" x14ac:dyDescent="0.25">
      <c r="A111" t="s">
        <v>110</v>
      </c>
    </row>
    <row r="112" spans="1:1" x14ac:dyDescent="0.25">
      <c r="A112" t="s">
        <v>111</v>
      </c>
    </row>
    <row r="113" spans="1:1" x14ac:dyDescent="0.25">
      <c r="A113" t="s">
        <v>112</v>
      </c>
    </row>
    <row r="114" spans="1:1" x14ac:dyDescent="0.25">
      <c r="A114" t="s">
        <v>113</v>
      </c>
    </row>
    <row r="115" spans="1:1" x14ac:dyDescent="0.25">
      <c r="A115" t="s">
        <v>114</v>
      </c>
    </row>
    <row r="116" spans="1:1" x14ac:dyDescent="0.25">
      <c r="A116" t="s">
        <v>115</v>
      </c>
    </row>
    <row r="117" spans="1:1" x14ac:dyDescent="0.25">
      <c r="A117" t="s">
        <v>116</v>
      </c>
    </row>
    <row r="118" spans="1:1" x14ac:dyDescent="0.25">
      <c r="A118" t="s">
        <v>117</v>
      </c>
    </row>
    <row r="119" spans="1:1" x14ac:dyDescent="0.25">
      <c r="A119" t="s">
        <v>118</v>
      </c>
    </row>
    <row r="120" spans="1:1" x14ac:dyDescent="0.25">
      <c r="A120" t="s">
        <v>119</v>
      </c>
    </row>
    <row r="121" spans="1:1" x14ac:dyDescent="0.25">
      <c r="A121" t="s">
        <v>120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10BFB-94A9-4705-891D-0337040F6369}">
  <sheetPr codeName="Sheet3"/>
  <dimension ref="A1:BS121"/>
  <sheetViews>
    <sheetView topLeftCell="BG103" workbookViewId="0">
      <selection sqref="A1:BS121"/>
    </sheetView>
  </sheetViews>
  <sheetFormatPr defaultRowHeight="15" x14ac:dyDescent="0.25"/>
  <cols>
    <col min="1" max="1" width="9.42578125" bestFit="1" customWidth="1"/>
    <col min="2" max="2" width="12" bestFit="1" customWidth="1"/>
    <col min="3" max="3" width="14.5703125" bestFit="1" customWidth="1"/>
    <col min="4" max="4" width="13.28515625" bestFit="1" customWidth="1"/>
    <col min="5" max="5" width="9.28515625" bestFit="1" customWidth="1"/>
    <col min="6" max="6" width="11.42578125" bestFit="1" customWidth="1"/>
    <col min="7" max="7" width="19.42578125" bestFit="1" customWidth="1"/>
    <col min="8" max="8" width="8.28515625" bestFit="1" customWidth="1"/>
    <col min="9" max="9" width="9.85546875" bestFit="1" customWidth="1"/>
    <col min="10" max="10" width="6.85546875" bestFit="1" customWidth="1"/>
    <col min="11" max="11" width="7.42578125" bestFit="1" customWidth="1"/>
    <col min="12" max="12" width="11.42578125" bestFit="1" customWidth="1"/>
    <col min="13" max="13" width="16.7109375" bestFit="1" customWidth="1"/>
    <col min="14" max="14" width="31.7109375" bestFit="1" customWidth="1"/>
    <col min="15" max="15" width="14.42578125" bestFit="1" customWidth="1"/>
    <col min="16" max="16" width="11.28515625" bestFit="1" customWidth="1"/>
    <col min="17" max="17" width="20" bestFit="1" customWidth="1"/>
    <col min="18" max="18" width="13.28515625" bestFit="1" customWidth="1"/>
    <col min="19" max="19" width="13.85546875" bestFit="1" customWidth="1"/>
    <col min="20" max="20" width="13.7109375" bestFit="1" customWidth="1"/>
    <col min="21" max="21" width="12.42578125" bestFit="1" customWidth="1"/>
    <col min="22" max="23" width="10.7109375" bestFit="1" customWidth="1"/>
    <col min="24" max="24" width="8.85546875" bestFit="1" customWidth="1"/>
    <col min="25" max="25" width="10.5703125" bestFit="1" customWidth="1"/>
    <col min="26" max="26" width="8.85546875" bestFit="1" customWidth="1"/>
    <col min="27" max="27" width="12" bestFit="1" customWidth="1"/>
    <col min="28" max="28" width="14.5703125" bestFit="1" customWidth="1"/>
    <col min="29" max="29" width="11" bestFit="1" customWidth="1"/>
    <col min="30" max="30" width="10.28515625" bestFit="1" customWidth="1"/>
    <col min="31" max="31" width="10.28515625" customWidth="1"/>
    <col min="32" max="32" width="11.7109375" bestFit="1" customWidth="1"/>
    <col min="33" max="33" width="11.7109375" customWidth="1"/>
    <col min="34" max="34" width="6.85546875" bestFit="1" customWidth="1"/>
    <col min="35" max="35" width="13.85546875" bestFit="1" customWidth="1"/>
    <col min="36" max="36" width="18.140625" bestFit="1" customWidth="1"/>
    <col min="37" max="37" width="15.5703125" bestFit="1" customWidth="1"/>
    <col min="38" max="38" width="12.85546875" bestFit="1" customWidth="1"/>
    <col min="39" max="39" width="14.7109375" bestFit="1" customWidth="1"/>
    <col min="40" max="40" width="13.140625" bestFit="1" customWidth="1"/>
    <col min="41" max="41" width="14.28515625" bestFit="1" customWidth="1"/>
    <col min="42" max="42" width="17.5703125" bestFit="1" customWidth="1"/>
    <col min="43" max="43" width="16.140625" bestFit="1" customWidth="1"/>
    <col min="44" max="44" width="16.140625" customWidth="1"/>
    <col min="45" max="45" width="14.28515625" bestFit="1" customWidth="1"/>
    <col min="46" max="46" width="14.28515625" customWidth="1"/>
    <col min="47" max="47" width="7" bestFit="1" customWidth="1"/>
    <col min="48" max="48" width="10.28515625" bestFit="1" customWidth="1"/>
    <col min="49" max="49" width="11.7109375" bestFit="1" customWidth="1"/>
    <col min="50" max="50" width="11.7109375" customWidth="1"/>
    <col min="51" max="51" width="17.85546875" bestFit="1" customWidth="1"/>
    <col min="52" max="52" width="17.85546875" customWidth="1"/>
    <col min="53" max="53" width="10.140625" bestFit="1" customWidth="1"/>
    <col min="54" max="54" width="10.140625" customWidth="1"/>
    <col min="55" max="55" width="12.7109375" bestFit="1" customWidth="1"/>
    <col min="56" max="56" width="12.7109375" customWidth="1"/>
    <col min="57" max="57" width="15" bestFit="1" customWidth="1"/>
    <col min="58" max="58" width="15.7109375" bestFit="1" customWidth="1"/>
    <col min="59" max="59" width="15.7109375" customWidth="1"/>
    <col min="60" max="60" width="14.5703125" bestFit="1" customWidth="1"/>
    <col min="61" max="61" width="14.5703125" customWidth="1"/>
    <col min="62" max="62" width="10.5703125" bestFit="1" customWidth="1"/>
    <col min="63" max="63" width="10.5703125" customWidth="1"/>
    <col min="64" max="64" width="13" bestFit="1" customWidth="1"/>
    <col min="65" max="65" width="13" customWidth="1"/>
    <col min="66" max="66" width="14.28515625" bestFit="1" customWidth="1"/>
    <col min="67" max="67" width="12.7109375" bestFit="1" customWidth="1"/>
    <col min="68" max="68" width="13.140625" bestFit="1" customWidth="1"/>
    <col min="69" max="69" width="17.28515625" bestFit="1" customWidth="1"/>
    <col min="70" max="70" width="17" bestFit="1" customWidth="1"/>
    <col min="71" max="71" width="17.42578125" bestFit="1" customWidth="1"/>
  </cols>
  <sheetData>
    <row r="1" spans="1:71" s="7" customFormat="1" ht="15.75" x14ac:dyDescent="0.25">
      <c r="A1" s="8" t="s">
        <v>121</v>
      </c>
      <c r="B1" s="9" t="s">
        <v>122</v>
      </c>
      <c r="C1" s="9" t="s">
        <v>123</v>
      </c>
      <c r="D1" s="9" t="s">
        <v>124</v>
      </c>
      <c r="E1" s="9" t="s">
        <v>125</v>
      </c>
      <c r="F1" s="9" t="s">
        <v>126</v>
      </c>
      <c r="G1" s="9" t="s">
        <v>127</v>
      </c>
      <c r="H1" s="9" t="s">
        <v>128</v>
      </c>
      <c r="I1" s="9" t="s">
        <v>129</v>
      </c>
      <c r="J1" s="9" t="s">
        <v>130</v>
      </c>
      <c r="K1" s="9" t="s">
        <v>131</v>
      </c>
      <c r="L1" s="9" t="s">
        <v>132</v>
      </c>
      <c r="M1" s="9" t="s">
        <v>133</v>
      </c>
      <c r="N1" s="9" t="s">
        <v>134</v>
      </c>
      <c r="O1" s="9" t="s">
        <v>135</v>
      </c>
      <c r="P1" s="9" t="s">
        <v>136</v>
      </c>
      <c r="Q1" s="9" t="s">
        <v>137</v>
      </c>
      <c r="R1" s="9" t="s">
        <v>138</v>
      </c>
      <c r="S1" s="9" t="s">
        <v>139</v>
      </c>
      <c r="T1" s="9" t="s">
        <v>140</v>
      </c>
      <c r="U1" s="9" t="s">
        <v>141</v>
      </c>
      <c r="V1" s="9" t="s">
        <v>142</v>
      </c>
      <c r="W1" s="9" t="s">
        <v>143</v>
      </c>
      <c r="X1" s="9" t="s">
        <v>144</v>
      </c>
      <c r="Y1" s="9" t="s">
        <v>145</v>
      </c>
      <c r="Z1" s="9" t="s">
        <v>146</v>
      </c>
      <c r="AA1" s="9" t="s">
        <v>147</v>
      </c>
      <c r="AB1" s="9" t="s">
        <v>148</v>
      </c>
      <c r="AC1" s="9" t="s">
        <v>149</v>
      </c>
      <c r="AD1" s="9" t="s">
        <v>150</v>
      </c>
      <c r="AE1" s="9" t="s">
        <v>881</v>
      </c>
      <c r="AF1" s="9" t="s">
        <v>151</v>
      </c>
      <c r="AG1" s="9" t="s">
        <v>882</v>
      </c>
      <c r="AH1" s="9" t="s">
        <v>152</v>
      </c>
      <c r="AI1" s="9" t="s">
        <v>153</v>
      </c>
      <c r="AJ1" s="9" t="s">
        <v>154</v>
      </c>
      <c r="AK1" s="9" t="s">
        <v>155</v>
      </c>
      <c r="AL1" s="9" t="s">
        <v>156</v>
      </c>
      <c r="AM1" s="9" t="s">
        <v>157</v>
      </c>
      <c r="AN1" s="9" t="s">
        <v>158</v>
      </c>
      <c r="AO1" s="9" t="s">
        <v>159</v>
      </c>
      <c r="AP1" s="9" t="s">
        <v>160</v>
      </c>
      <c r="AQ1" s="9" t="s">
        <v>161</v>
      </c>
      <c r="AR1" s="9" t="s">
        <v>1001</v>
      </c>
      <c r="AS1" s="9" t="s">
        <v>162</v>
      </c>
      <c r="AT1" s="9" t="s">
        <v>1000</v>
      </c>
      <c r="AU1" s="9" t="s">
        <v>163</v>
      </c>
      <c r="AV1" s="9" t="s">
        <v>995</v>
      </c>
      <c r="AW1" s="9" t="s">
        <v>164</v>
      </c>
      <c r="AX1" s="9" t="s">
        <v>996</v>
      </c>
      <c r="AY1" s="9" t="s">
        <v>165</v>
      </c>
      <c r="AZ1" s="9" t="s">
        <v>997</v>
      </c>
      <c r="BA1" s="9" t="s">
        <v>166</v>
      </c>
      <c r="BB1" s="9" t="s">
        <v>998</v>
      </c>
      <c r="BC1" s="9" t="s">
        <v>167</v>
      </c>
      <c r="BD1" s="9" t="s">
        <v>999</v>
      </c>
      <c r="BE1" s="9" t="s">
        <v>168</v>
      </c>
      <c r="BF1" s="9" t="s">
        <v>169</v>
      </c>
      <c r="BG1" s="9" t="s">
        <v>1002</v>
      </c>
      <c r="BH1" s="9" t="s">
        <v>170</v>
      </c>
      <c r="BI1" s="9" t="s">
        <v>1003</v>
      </c>
      <c r="BJ1" s="9" t="s">
        <v>171</v>
      </c>
      <c r="BK1" s="9" t="s">
        <v>1004</v>
      </c>
      <c r="BL1" s="9" t="s">
        <v>172</v>
      </c>
      <c r="BM1" s="9" t="s">
        <v>1005</v>
      </c>
      <c r="BN1" s="9" t="s">
        <v>173</v>
      </c>
      <c r="BO1" s="9" t="s">
        <v>174</v>
      </c>
      <c r="BP1" s="9" t="s">
        <v>175</v>
      </c>
      <c r="BQ1" s="9" t="s">
        <v>176</v>
      </c>
      <c r="BR1" s="9" t="s">
        <v>177</v>
      </c>
      <c r="BS1" s="10" t="s">
        <v>178</v>
      </c>
    </row>
    <row r="2" spans="1:71" x14ac:dyDescent="0.25">
      <c r="A2" s="1" t="s">
        <v>179</v>
      </c>
      <c r="B2" s="11">
        <v>45672</v>
      </c>
      <c r="C2" s="11">
        <v>45675</v>
      </c>
      <c r="D2" s="2" t="s">
        <v>180</v>
      </c>
      <c r="E2" s="2" t="s">
        <v>181</v>
      </c>
      <c r="F2" s="2" t="s">
        <v>182</v>
      </c>
      <c r="G2" s="2" t="s">
        <v>183</v>
      </c>
      <c r="H2" s="2" t="s">
        <v>184</v>
      </c>
      <c r="I2" s="2" t="s">
        <v>185</v>
      </c>
      <c r="J2" s="2" t="s">
        <v>186</v>
      </c>
      <c r="K2" s="2" t="s">
        <v>184</v>
      </c>
      <c r="L2" s="2" t="s">
        <v>187</v>
      </c>
      <c r="M2" s="2" t="s">
        <v>188</v>
      </c>
      <c r="N2" s="2" t="s">
        <v>189</v>
      </c>
      <c r="O2" s="11">
        <v>43891</v>
      </c>
      <c r="P2" s="2" t="s">
        <v>190</v>
      </c>
      <c r="Q2" s="2" t="s">
        <v>191</v>
      </c>
      <c r="R2" s="2" t="s">
        <v>192</v>
      </c>
      <c r="S2" s="2" t="s">
        <v>193</v>
      </c>
      <c r="T2" s="2" t="s">
        <v>194</v>
      </c>
      <c r="U2" s="2" t="s">
        <v>195</v>
      </c>
      <c r="V2" s="13">
        <v>1200</v>
      </c>
      <c r="W2" s="13">
        <v>780</v>
      </c>
      <c r="X2" s="2">
        <v>2.5</v>
      </c>
      <c r="Y2" s="2" t="s">
        <v>196</v>
      </c>
      <c r="Z2" s="2" t="s">
        <v>197</v>
      </c>
      <c r="AA2" s="2">
        <v>45</v>
      </c>
      <c r="AB2" s="2">
        <v>10</v>
      </c>
      <c r="AC2" s="2">
        <v>3</v>
      </c>
      <c r="AD2" s="2">
        <v>2</v>
      </c>
      <c r="AE2" s="17">
        <f>Table1[[#This Row],[Discount%]]/100</f>
        <v>0.05</v>
      </c>
      <c r="AF2" s="2">
        <v>5</v>
      </c>
      <c r="AG2" s="17">
        <f>Table1[[#This Row],[Tax%]]/100</f>
        <v>0.08</v>
      </c>
      <c r="AH2" s="2">
        <v>8</v>
      </c>
      <c r="AI2" s="23">
        <v>25</v>
      </c>
      <c r="AJ2" s="2" t="s">
        <v>198</v>
      </c>
      <c r="AK2" s="2" t="s">
        <v>199</v>
      </c>
      <c r="AL2" s="2" t="s">
        <v>200</v>
      </c>
      <c r="AM2" s="2" t="s">
        <v>201</v>
      </c>
      <c r="AN2" s="2" t="s">
        <v>202</v>
      </c>
      <c r="AO2" s="2" t="s">
        <v>203</v>
      </c>
      <c r="AP2" s="2" t="s">
        <v>880</v>
      </c>
      <c r="AQ2" s="25">
        <v>0</v>
      </c>
      <c r="AR2" s="25">
        <f>IFERROR((Table1[[#This Row],[Column7]]-Table1[[#This Row],[Column8]])/Table1[[#This Row],[Column7]], 0)</f>
        <v>0.46342040598437589</v>
      </c>
      <c r="AS2" s="2">
        <v>35</v>
      </c>
      <c r="AT2" s="21">
        <f>Table1[[#This Row],[Quantity]] * Table1[[#This Row],[CostPrice]]</f>
        <v>1560</v>
      </c>
      <c r="AU2" s="2">
        <v>936</v>
      </c>
      <c r="AV2" s="13">
        <f>Table1[[#This Row],[Quantity]] * Table1[[#This Row],[UnitPrice]]</f>
        <v>2400</v>
      </c>
      <c r="AW2" s="2">
        <v>2400</v>
      </c>
      <c r="AX2" s="21">
        <f>Table1[[#This Row],[Column3]] * (Table1[[#This Row],[Column1]]/100)</f>
        <v>1.2</v>
      </c>
      <c r="AY2" s="2">
        <v>120</v>
      </c>
      <c r="AZ2" s="27">
        <f>Table1[[#This Row],[Column3]] * Table1[[#This Row],[Column4]]</f>
        <v>2880</v>
      </c>
      <c r="BA2" s="2">
        <v>2280</v>
      </c>
      <c r="BB2" s="15">
        <f>Table1[[#This Row],[Column5]] * (Table1[[#This Row],[Column2]]/100)</f>
        <v>2.3040000000000003</v>
      </c>
      <c r="BC2" s="2">
        <v>182.4</v>
      </c>
      <c r="BD2" s="19">
        <f>Table1[[#This Row],[Column5]] + Table1[[#This Row],[Column6]] + Table1[[#This Row],[ShippingCost]]</f>
        <v>2907.3040000000001</v>
      </c>
      <c r="BE2" s="2">
        <v>2462.4</v>
      </c>
      <c r="BF2" s="2" t="s">
        <v>180</v>
      </c>
      <c r="BG2" s="2">
        <f>Table1[[#This Row],[DeliveryDate]]-Table1[[#This Row],[OrderDate]]</f>
        <v>3</v>
      </c>
      <c r="BH2" s="2">
        <v>3</v>
      </c>
      <c r="BI2" s="2" t="str">
        <f>IF(OR(Table1[[#This Row],[CustomerTier]]="Platinum", Table1[[#This Row],[Column7]]&gt;1000), "Yes", "No")</f>
        <v>Yes</v>
      </c>
      <c r="BJ2" s="2" t="s">
        <v>204</v>
      </c>
      <c r="BK2" s="2" t="str">
        <f>IF(Table1[[#This Row],[Quantity]]&gt;=10, "Yes", "No")</f>
        <v>No</v>
      </c>
      <c r="BL2" s="2" t="s">
        <v>205</v>
      </c>
      <c r="BM2" s="2">
        <f>IF(Table1[[#This Row],[Column12]]="Yes", 5%, 0)</f>
        <v>0</v>
      </c>
      <c r="BN2" s="2">
        <v>0</v>
      </c>
      <c r="BO2" s="2" t="s">
        <v>206</v>
      </c>
      <c r="BP2" s="2" t="s">
        <v>207</v>
      </c>
      <c r="BQ2" s="2" t="s">
        <v>208</v>
      </c>
      <c r="BR2" s="2" t="s">
        <v>209</v>
      </c>
      <c r="BS2" s="3" t="s">
        <v>210</v>
      </c>
    </row>
    <row r="3" spans="1:71" x14ac:dyDescent="0.25">
      <c r="A3" s="1" t="s">
        <v>211</v>
      </c>
      <c r="B3" s="11">
        <v>45672</v>
      </c>
      <c r="C3" s="11">
        <v>45674</v>
      </c>
      <c r="D3" s="2" t="s">
        <v>180</v>
      </c>
      <c r="E3" s="2" t="s">
        <v>212</v>
      </c>
      <c r="F3" s="2" t="s">
        <v>213</v>
      </c>
      <c r="G3" s="2" t="s">
        <v>214</v>
      </c>
      <c r="H3" s="2" t="s">
        <v>215</v>
      </c>
      <c r="I3" s="2" t="s">
        <v>216</v>
      </c>
      <c r="J3" s="2" t="s">
        <v>217</v>
      </c>
      <c r="K3" s="2" t="s">
        <v>215</v>
      </c>
      <c r="L3" s="2" t="s">
        <v>218</v>
      </c>
      <c r="M3" s="2" t="s">
        <v>219</v>
      </c>
      <c r="N3" s="2" t="s">
        <v>220</v>
      </c>
      <c r="O3" s="11">
        <v>44362</v>
      </c>
      <c r="P3" s="2" t="s">
        <v>221</v>
      </c>
      <c r="Q3" s="2" t="s">
        <v>222</v>
      </c>
      <c r="R3" s="2" t="s">
        <v>223</v>
      </c>
      <c r="S3" s="2" t="s">
        <v>224</v>
      </c>
      <c r="T3" s="2" t="s">
        <v>225</v>
      </c>
      <c r="U3" s="2" t="s">
        <v>226</v>
      </c>
      <c r="V3" s="13">
        <v>25</v>
      </c>
      <c r="W3" s="13">
        <v>12</v>
      </c>
      <c r="X3" s="2">
        <v>0.2</v>
      </c>
      <c r="Y3" s="2" t="s">
        <v>227</v>
      </c>
      <c r="Z3" s="2" t="s">
        <v>228</v>
      </c>
      <c r="AA3" s="2">
        <v>120</v>
      </c>
      <c r="AB3" s="2">
        <v>30</v>
      </c>
      <c r="AC3" s="2">
        <v>2</v>
      </c>
      <c r="AD3" s="2">
        <v>5</v>
      </c>
      <c r="AE3" s="17">
        <f>Table1[[#This Row],[Discount%]]/100</f>
        <v>0</v>
      </c>
      <c r="AF3" s="2">
        <v>0</v>
      </c>
      <c r="AG3" s="17">
        <f>Table1[[#This Row],[Tax%]]/100</f>
        <v>0.05</v>
      </c>
      <c r="AH3" s="2">
        <v>5</v>
      </c>
      <c r="AI3" s="23">
        <v>8</v>
      </c>
      <c r="AJ3" s="2" t="s">
        <v>229</v>
      </c>
      <c r="AK3" s="2" t="s">
        <v>230</v>
      </c>
      <c r="AL3" s="2" t="s">
        <v>231</v>
      </c>
      <c r="AM3" s="2" t="s">
        <v>232</v>
      </c>
      <c r="AN3" s="2" t="s">
        <v>884</v>
      </c>
      <c r="AO3" s="2" t="s">
        <v>203</v>
      </c>
      <c r="AP3" s="2" t="s">
        <v>880</v>
      </c>
      <c r="AQ3" s="25">
        <v>0</v>
      </c>
      <c r="AR3" s="25">
        <f>IFERROR((Table1[[#This Row],[Column7]]-Table1[[#This Row],[Column8]])/Table1[[#This Row],[Column7]], 0)</f>
        <v>-6.5</v>
      </c>
      <c r="AS3" s="2">
        <v>52</v>
      </c>
      <c r="AT3" s="21">
        <f>Table1[[#This Row],[Quantity]] * Table1[[#This Row],[CostPrice]]</f>
        <v>60</v>
      </c>
      <c r="AU3" s="2">
        <v>60</v>
      </c>
      <c r="AV3" s="13">
        <f>Table1[[#This Row],[Quantity]] * Table1[[#This Row],[UnitPrice]]</f>
        <v>125</v>
      </c>
      <c r="AW3" s="2">
        <v>125</v>
      </c>
      <c r="AX3" s="21">
        <f>Table1[[#This Row],[Column3]] * (Table1[[#This Row],[Column1]]/100)</f>
        <v>0</v>
      </c>
      <c r="AY3" s="2">
        <v>0</v>
      </c>
      <c r="AZ3" s="27">
        <f>Table1[[#This Row],[Column3]] * Table1[[#This Row],[Column4]]</f>
        <v>0</v>
      </c>
      <c r="BA3" s="2">
        <v>125</v>
      </c>
      <c r="BB3" s="15">
        <f>Table1[[#This Row],[Column5]] * (Table1[[#This Row],[Column2]]/100)</f>
        <v>0</v>
      </c>
      <c r="BC3" s="2">
        <v>6.25</v>
      </c>
      <c r="BD3" s="19">
        <f>Table1[[#This Row],[Column5]] + Table1[[#This Row],[Column6]] + Table1[[#This Row],[ShippingCost]]</f>
        <v>8</v>
      </c>
      <c r="BE3" s="2">
        <v>131.25</v>
      </c>
      <c r="BF3" s="2" t="s">
        <v>180</v>
      </c>
      <c r="BG3" s="2">
        <f>Table1[[#This Row],[DeliveryDate]]-Table1[[#This Row],[OrderDate]]</f>
        <v>2</v>
      </c>
      <c r="BH3" s="2">
        <v>2</v>
      </c>
      <c r="BI3" s="2" t="str">
        <f>IF(OR(Table1[[#This Row],[CustomerTier]]="Platinum", Table1[[#This Row],[Column7]]&gt;1000), "Yes", "No")</f>
        <v>No</v>
      </c>
      <c r="BJ3" s="2" t="s">
        <v>205</v>
      </c>
      <c r="BK3" s="2" t="str">
        <f>IF(Table1[[#This Row],[Quantity]]&gt;=10, "Yes", "No")</f>
        <v>No</v>
      </c>
      <c r="BL3" s="2" t="s">
        <v>205</v>
      </c>
      <c r="BM3" s="2">
        <f>IF(Table1[[#This Row],[Column12]]="Yes", 5%, 0)</f>
        <v>0</v>
      </c>
      <c r="BN3" s="2">
        <v>0</v>
      </c>
      <c r="BO3" s="2"/>
      <c r="BP3" s="2"/>
      <c r="BQ3" s="2" t="s">
        <v>234</v>
      </c>
      <c r="BR3" s="2" t="s">
        <v>209</v>
      </c>
      <c r="BS3" s="3" t="s">
        <v>210</v>
      </c>
    </row>
    <row r="4" spans="1:71" x14ac:dyDescent="0.25">
      <c r="A4" s="1" t="s">
        <v>235</v>
      </c>
      <c r="B4" s="11">
        <v>45673</v>
      </c>
      <c r="C4" s="11">
        <v>45677</v>
      </c>
      <c r="D4" s="2" t="s">
        <v>180</v>
      </c>
      <c r="E4" s="2" t="s">
        <v>181</v>
      </c>
      <c r="F4" s="2" t="s">
        <v>236</v>
      </c>
      <c r="G4" s="2" t="s">
        <v>237</v>
      </c>
      <c r="H4" s="2" t="s">
        <v>215</v>
      </c>
      <c r="I4" s="2" t="s">
        <v>238</v>
      </c>
      <c r="J4" s="2" t="s">
        <v>239</v>
      </c>
      <c r="K4" s="2" t="s">
        <v>215</v>
      </c>
      <c r="L4" s="2" t="s">
        <v>218</v>
      </c>
      <c r="M4" s="2" t="s">
        <v>240</v>
      </c>
      <c r="N4" s="2" t="s">
        <v>241</v>
      </c>
      <c r="O4" s="11">
        <v>44814</v>
      </c>
      <c r="P4" s="2" t="s">
        <v>242</v>
      </c>
      <c r="Q4" s="2" t="s">
        <v>243</v>
      </c>
      <c r="R4" s="2" t="s">
        <v>244</v>
      </c>
      <c r="S4" s="2" t="s">
        <v>245</v>
      </c>
      <c r="T4" s="2" t="s">
        <v>246</v>
      </c>
      <c r="U4" s="2" t="s">
        <v>247</v>
      </c>
      <c r="V4" s="13">
        <v>85</v>
      </c>
      <c r="W4" s="13">
        <v>48</v>
      </c>
      <c r="X4" s="2">
        <v>3.2</v>
      </c>
      <c r="Y4" s="2" t="s">
        <v>248</v>
      </c>
      <c r="Z4" s="2" t="s">
        <v>880</v>
      </c>
      <c r="AA4" s="2">
        <v>45</v>
      </c>
      <c r="AB4" s="2">
        <v>10</v>
      </c>
      <c r="AC4" s="2">
        <v>4</v>
      </c>
      <c r="AD4" s="2">
        <v>1</v>
      </c>
      <c r="AE4" s="17">
        <f>Table1[[#This Row],[Discount%]]/100</f>
        <v>0.1</v>
      </c>
      <c r="AF4" s="2">
        <v>10</v>
      </c>
      <c r="AG4" s="17">
        <f>Table1[[#This Row],[Tax%]]/100</f>
        <v>0.06</v>
      </c>
      <c r="AH4" s="2">
        <v>6</v>
      </c>
      <c r="AI4" s="23">
        <v>12</v>
      </c>
      <c r="AJ4" s="2" t="s">
        <v>249</v>
      </c>
      <c r="AK4" s="2" t="s">
        <v>230</v>
      </c>
      <c r="AL4" s="2" t="s">
        <v>250</v>
      </c>
      <c r="AM4" s="2" t="s">
        <v>196</v>
      </c>
      <c r="AN4" s="2" t="s">
        <v>323</v>
      </c>
      <c r="AO4" s="2" t="s">
        <v>203</v>
      </c>
      <c r="AP4" s="2" t="s">
        <v>880</v>
      </c>
      <c r="AQ4" s="25">
        <v>0</v>
      </c>
      <c r="AR4" s="25">
        <f>IFERROR((Table1[[#This Row],[Column7]]-Table1[[#This Row],[Column8]])/Table1[[#This Row],[Column7]], 0)</f>
        <v>-1.4961861655642279</v>
      </c>
      <c r="AS4" s="2">
        <v>43.53</v>
      </c>
      <c r="AT4" s="21">
        <f>Table1[[#This Row],[Quantity]] * Table1[[#This Row],[CostPrice]]</f>
        <v>48</v>
      </c>
      <c r="AU4" s="2">
        <v>48</v>
      </c>
      <c r="AV4" s="13">
        <f>Table1[[#This Row],[Quantity]] * Table1[[#This Row],[UnitPrice]]</f>
        <v>85</v>
      </c>
      <c r="AW4" s="2">
        <v>85</v>
      </c>
      <c r="AX4" s="21">
        <f>Table1[[#This Row],[Column3]] * (Table1[[#This Row],[Column1]]/100)</f>
        <v>8.5000000000000006E-2</v>
      </c>
      <c r="AY4" s="2">
        <v>8.5</v>
      </c>
      <c r="AZ4" s="27">
        <f>Table1[[#This Row],[Column3]] * Table1[[#This Row],[Column4]]</f>
        <v>7.2250000000000005</v>
      </c>
      <c r="BA4" s="2">
        <v>76.5</v>
      </c>
      <c r="BB4" s="15">
        <f>Table1[[#This Row],[Column5]] * (Table1[[#This Row],[Column2]]/100)</f>
        <v>4.3350000000000003E-3</v>
      </c>
      <c r="BC4" s="2">
        <v>4.59</v>
      </c>
      <c r="BD4" s="19">
        <f>Table1[[#This Row],[Column5]] + Table1[[#This Row],[Column6]] + Table1[[#This Row],[ShippingCost]]</f>
        <v>19.229334999999999</v>
      </c>
      <c r="BE4" s="2">
        <v>81.09</v>
      </c>
      <c r="BF4" s="2" t="s">
        <v>180</v>
      </c>
      <c r="BG4" s="2">
        <f>Table1[[#This Row],[DeliveryDate]]-Table1[[#This Row],[OrderDate]]</f>
        <v>4</v>
      </c>
      <c r="BH4" s="2">
        <v>4</v>
      </c>
      <c r="BI4" s="2" t="str">
        <f>IF(OR(Table1[[#This Row],[CustomerTier]]="Platinum", Table1[[#This Row],[Column7]]&gt;1000), "Yes", "No")</f>
        <v>No</v>
      </c>
      <c r="BJ4" s="2" t="s">
        <v>205</v>
      </c>
      <c r="BK4" s="2" t="str">
        <f>IF(Table1[[#This Row],[Quantity]]&gt;=10, "Yes", "No")</f>
        <v>No</v>
      </c>
      <c r="BL4" s="2" t="s">
        <v>205</v>
      </c>
      <c r="BM4" s="2">
        <f>IF(Table1[[#This Row],[Column12]]="Yes", 5%, 0)</f>
        <v>0</v>
      </c>
      <c r="BN4" s="2">
        <v>0</v>
      </c>
      <c r="BO4" s="2" t="s">
        <v>252</v>
      </c>
      <c r="BP4" s="2" t="s">
        <v>253</v>
      </c>
      <c r="BQ4" s="2" t="s">
        <v>254</v>
      </c>
      <c r="BR4" s="2" t="s">
        <v>255</v>
      </c>
      <c r="BS4" s="3" t="s">
        <v>210</v>
      </c>
    </row>
    <row r="5" spans="1:71" x14ac:dyDescent="0.25">
      <c r="A5" s="1" t="s">
        <v>256</v>
      </c>
      <c r="B5" s="11">
        <v>45673</v>
      </c>
      <c r="C5" s="11">
        <v>45676</v>
      </c>
      <c r="D5" s="2" t="s">
        <v>180</v>
      </c>
      <c r="E5" s="2" t="s">
        <v>212</v>
      </c>
      <c r="F5" s="2" t="s">
        <v>257</v>
      </c>
      <c r="G5" s="2" t="s">
        <v>258</v>
      </c>
      <c r="H5" s="2" t="s">
        <v>184</v>
      </c>
      <c r="I5" s="2" t="s">
        <v>259</v>
      </c>
      <c r="J5" s="2" t="s">
        <v>260</v>
      </c>
      <c r="K5" s="2" t="s">
        <v>184</v>
      </c>
      <c r="L5" s="2" t="s">
        <v>218</v>
      </c>
      <c r="M5" s="2" t="s">
        <v>261</v>
      </c>
      <c r="N5" s="2" t="s">
        <v>262</v>
      </c>
      <c r="O5" s="11">
        <v>44140</v>
      </c>
      <c r="P5" s="2" t="s">
        <v>263</v>
      </c>
      <c r="Q5" s="2" t="s">
        <v>264</v>
      </c>
      <c r="R5" s="2" t="s">
        <v>265</v>
      </c>
      <c r="S5" s="2" t="s">
        <v>266</v>
      </c>
      <c r="T5" s="2" t="s">
        <v>267</v>
      </c>
      <c r="U5" s="2" t="s">
        <v>268</v>
      </c>
      <c r="V5" s="13">
        <v>35</v>
      </c>
      <c r="W5" s="13">
        <v>18</v>
      </c>
      <c r="X5" s="2">
        <v>1.1000000000000001</v>
      </c>
      <c r="Y5" s="2" t="s">
        <v>269</v>
      </c>
      <c r="Z5" s="2" t="s">
        <v>218</v>
      </c>
      <c r="AA5" s="2">
        <v>75</v>
      </c>
      <c r="AB5" s="2">
        <v>15</v>
      </c>
      <c r="AC5" s="2">
        <v>2</v>
      </c>
      <c r="AD5" s="2">
        <v>3</v>
      </c>
      <c r="AE5" s="17">
        <f>Table1[[#This Row],[Discount%]]/100</f>
        <v>0</v>
      </c>
      <c r="AF5" s="2">
        <v>0</v>
      </c>
      <c r="AG5" s="17">
        <f>Table1[[#This Row],[Tax%]]/100</f>
        <v>7.0000000000000007E-2</v>
      </c>
      <c r="AH5" s="2">
        <v>7</v>
      </c>
      <c r="AI5" s="23">
        <v>10</v>
      </c>
      <c r="AJ5" s="2" t="s">
        <v>198</v>
      </c>
      <c r="AK5" s="2" t="s">
        <v>199</v>
      </c>
      <c r="AL5" s="2" t="s">
        <v>270</v>
      </c>
      <c r="AM5" s="2" t="s">
        <v>271</v>
      </c>
      <c r="AN5" s="2" t="s">
        <v>251</v>
      </c>
      <c r="AO5" s="2" t="s">
        <v>203</v>
      </c>
      <c r="AP5" s="2" t="s">
        <v>880</v>
      </c>
      <c r="AQ5" s="25">
        <v>0</v>
      </c>
      <c r="AR5" s="25">
        <f>IFERROR((Table1[[#This Row],[Column7]]-Table1[[#This Row],[Column8]])/Table1[[#This Row],[Column7]], 0)</f>
        <v>-4.4000000000000004</v>
      </c>
      <c r="AS5" s="2">
        <v>48.57</v>
      </c>
      <c r="AT5" s="21">
        <f>Table1[[#This Row],[Quantity]] * Table1[[#This Row],[CostPrice]]</f>
        <v>54</v>
      </c>
      <c r="AU5" s="2">
        <v>54</v>
      </c>
      <c r="AV5" s="13">
        <f>Table1[[#This Row],[Quantity]] * Table1[[#This Row],[UnitPrice]]</f>
        <v>105</v>
      </c>
      <c r="AW5" s="2">
        <v>105</v>
      </c>
      <c r="AX5" s="21">
        <f>Table1[[#This Row],[Column3]] * (Table1[[#This Row],[Column1]]/100)</f>
        <v>0</v>
      </c>
      <c r="AY5" s="2">
        <v>0</v>
      </c>
      <c r="AZ5" s="27">
        <f>Table1[[#This Row],[Column3]] * Table1[[#This Row],[Column4]]</f>
        <v>0</v>
      </c>
      <c r="BA5" s="2">
        <v>105</v>
      </c>
      <c r="BB5" s="15">
        <f>Table1[[#This Row],[Column5]] * (Table1[[#This Row],[Column2]]/100)</f>
        <v>0</v>
      </c>
      <c r="BC5" s="2">
        <v>7.35</v>
      </c>
      <c r="BD5" s="19">
        <f>Table1[[#This Row],[Column5]] + Table1[[#This Row],[Column6]] + Table1[[#This Row],[ShippingCost]]</f>
        <v>10</v>
      </c>
      <c r="BE5" s="2">
        <v>112.35</v>
      </c>
      <c r="BF5" s="2" t="s">
        <v>180</v>
      </c>
      <c r="BG5" s="2">
        <f>Table1[[#This Row],[DeliveryDate]]-Table1[[#This Row],[OrderDate]]</f>
        <v>3</v>
      </c>
      <c r="BH5" s="2">
        <v>3</v>
      </c>
      <c r="BI5" s="2" t="str">
        <f>IF(OR(Table1[[#This Row],[CustomerTier]]="Platinum", Table1[[#This Row],[Column7]]&gt;1000), "Yes", "No")</f>
        <v>No</v>
      </c>
      <c r="BJ5" s="2" t="s">
        <v>205</v>
      </c>
      <c r="BK5" s="2" t="str">
        <f>IF(Table1[[#This Row],[Quantity]]&gt;=10, "Yes", "No")</f>
        <v>No</v>
      </c>
      <c r="BL5" s="2" t="s">
        <v>205</v>
      </c>
      <c r="BM5" s="2">
        <f>IF(Table1[[#This Row],[Column12]]="Yes", 5%, 0)</f>
        <v>0</v>
      </c>
      <c r="BN5" s="2">
        <v>0</v>
      </c>
      <c r="BO5" s="2"/>
      <c r="BP5" s="2"/>
      <c r="BQ5" s="2" t="s">
        <v>273</v>
      </c>
      <c r="BR5" s="2" t="s">
        <v>209</v>
      </c>
      <c r="BS5" s="3" t="s">
        <v>210</v>
      </c>
    </row>
    <row r="6" spans="1:71" x14ac:dyDescent="0.25">
      <c r="A6" s="1" t="s">
        <v>274</v>
      </c>
      <c r="B6" s="11">
        <v>45674</v>
      </c>
      <c r="C6" s="11">
        <v>45679</v>
      </c>
      <c r="D6" s="2" t="s">
        <v>180</v>
      </c>
      <c r="E6" s="2" t="s">
        <v>181</v>
      </c>
      <c r="F6" s="2" t="s">
        <v>275</v>
      </c>
      <c r="G6" s="2" t="s">
        <v>276</v>
      </c>
      <c r="H6" s="2" t="s">
        <v>277</v>
      </c>
      <c r="I6" s="2" t="s">
        <v>278</v>
      </c>
      <c r="J6" s="2" t="s">
        <v>279</v>
      </c>
      <c r="K6" s="2" t="s">
        <v>277</v>
      </c>
      <c r="L6" s="2" t="s">
        <v>187</v>
      </c>
      <c r="M6" s="2" t="s">
        <v>280</v>
      </c>
      <c r="N6" s="2" t="s">
        <v>281</v>
      </c>
      <c r="O6" s="11">
        <v>43508</v>
      </c>
      <c r="P6" s="2" t="s">
        <v>282</v>
      </c>
      <c r="Q6" s="2" t="s">
        <v>283</v>
      </c>
      <c r="R6" s="2" t="s">
        <v>284</v>
      </c>
      <c r="S6" s="2" t="s">
        <v>285</v>
      </c>
      <c r="T6" s="2" t="s">
        <v>286</v>
      </c>
      <c r="U6" s="2" t="s">
        <v>287</v>
      </c>
      <c r="V6" s="13">
        <v>250</v>
      </c>
      <c r="W6" s="13">
        <v>145</v>
      </c>
      <c r="X6" s="2">
        <v>12.5</v>
      </c>
      <c r="Y6" s="2" t="s">
        <v>288</v>
      </c>
      <c r="Z6" s="2" t="s">
        <v>880</v>
      </c>
      <c r="AA6" s="2">
        <v>20</v>
      </c>
      <c r="AB6" s="2">
        <v>5</v>
      </c>
      <c r="AC6" s="2">
        <v>5</v>
      </c>
      <c r="AD6" s="2">
        <v>1</v>
      </c>
      <c r="AE6" s="17">
        <f>Table1[[#This Row],[Discount%]]/100</f>
        <v>0.15</v>
      </c>
      <c r="AF6" s="2">
        <v>15</v>
      </c>
      <c r="AG6" s="17">
        <f>Table1[[#This Row],[Tax%]]/100</f>
        <v>0.08</v>
      </c>
      <c r="AH6" s="2">
        <v>8</v>
      </c>
      <c r="AI6" s="23">
        <v>30</v>
      </c>
      <c r="AJ6" s="2" t="s">
        <v>289</v>
      </c>
      <c r="AK6" s="2" t="s">
        <v>199</v>
      </c>
      <c r="AL6" s="2" t="s">
        <v>290</v>
      </c>
      <c r="AM6" s="2" t="s">
        <v>201</v>
      </c>
      <c r="AN6" s="2" t="s">
        <v>335</v>
      </c>
      <c r="AO6" s="2" t="s">
        <v>203</v>
      </c>
      <c r="AP6" s="2" t="s">
        <v>880</v>
      </c>
      <c r="AQ6" s="25">
        <v>0</v>
      </c>
      <c r="AR6" s="25">
        <f>IFERROR((Table1[[#This Row],[Column7]]-Table1[[#This Row],[Column8]])/Table1[[#This Row],[Column7]], 0)</f>
        <v>-0.17100747022006862</v>
      </c>
      <c r="AS6" s="2">
        <v>42</v>
      </c>
      <c r="AT6" s="21">
        <f>Table1[[#This Row],[Quantity]] * Table1[[#This Row],[CostPrice]]</f>
        <v>145</v>
      </c>
      <c r="AU6" s="2">
        <v>145</v>
      </c>
      <c r="AV6" s="13">
        <f>Table1[[#This Row],[Quantity]] * Table1[[#This Row],[UnitPrice]]</f>
        <v>250</v>
      </c>
      <c r="AW6" s="2">
        <v>250</v>
      </c>
      <c r="AX6" s="21">
        <f>Table1[[#This Row],[Column3]] * (Table1[[#This Row],[Column1]]/100)</f>
        <v>0.375</v>
      </c>
      <c r="AY6" s="2">
        <v>37.5</v>
      </c>
      <c r="AZ6" s="27">
        <f>Table1[[#This Row],[Column3]] * Table1[[#This Row],[Column4]]</f>
        <v>93.75</v>
      </c>
      <c r="BA6" s="2">
        <v>212.5</v>
      </c>
      <c r="BB6" s="15">
        <f>Table1[[#This Row],[Column5]] * (Table1[[#This Row],[Column2]]/100)</f>
        <v>7.4999999999999997E-2</v>
      </c>
      <c r="BC6" s="2">
        <v>17</v>
      </c>
      <c r="BD6" s="19">
        <f>Table1[[#This Row],[Column5]] + Table1[[#This Row],[Column6]] + Table1[[#This Row],[ShippingCost]]</f>
        <v>123.825</v>
      </c>
      <c r="BE6" s="2">
        <v>229.5</v>
      </c>
      <c r="BF6" s="2" t="s">
        <v>180</v>
      </c>
      <c r="BG6" s="2">
        <f>Table1[[#This Row],[DeliveryDate]]-Table1[[#This Row],[OrderDate]]</f>
        <v>5</v>
      </c>
      <c r="BH6" s="2">
        <v>5</v>
      </c>
      <c r="BI6" s="2" t="str">
        <f>IF(OR(Table1[[#This Row],[CustomerTier]]="Platinum", Table1[[#This Row],[Column7]]&gt;1000), "Yes", "No")</f>
        <v>Yes</v>
      </c>
      <c r="BJ6" s="2" t="s">
        <v>204</v>
      </c>
      <c r="BK6" s="2" t="str">
        <f>IF(Table1[[#This Row],[Quantity]]&gt;=10, "Yes", "No")</f>
        <v>No</v>
      </c>
      <c r="BL6" s="2" t="s">
        <v>205</v>
      </c>
      <c r="BM6" s="2">
        <f>IF(Table1[[#This Row],[Column12]]="Yes", 5%, 0)</f>
        <v>0</v>
      </c>
      <c r="BN6" s="2">
        <v>0</v>
      </c>
      <c r="BO6" s="2" t="s">
        <v>291</v>
      </c>
      <c r="BP6" s="2" t="s">
        <v>292</v>
      </c>
      <c r="BQ6" s="2" t="s">
        <v>293</v>
      </c>
      <c r="BR6" s="2" t="s">
        <v>209</v>
      </c>
      <c r="BS6" s="3" t="s">
        <v>210</v>
      </c>
    </row>
    <row r="7" spans="1:71" x14ac:dyDescent="0.25">
      <c r="A7" s="1" t="s">
        <v>294</v>
      </c>
      <c r="B7" s="11">
        <v>45675</v>
      </c>
      <c r="C7" s="11">
        <v>45678</v>
      </c>
      <c r="D7" s="2" t="s">
        <v>180</v>
      </c>
      <c r="E7" s="2" t="s">
        <v>212</v>
      </c>
      <c r="F7" s="2" t="s">
        <v>295</v>
      </c>
      <c r="G7" s="2" t="s">
        <v>296</v>
      </c>
      <c r="H7" s="2" t="s">
        <v>297</v>
      </c>
      <c r="I7" s="2" t="s">
        <v>298</v>
      </c>
      <c r="J7" s="2" t="s">
        <v>299</v>
      </c>
      <c r="K7" s="2" t="s">
        <v>297</v>
      </c>
      <c r="L7" s="2" t="s">
        <v>187</v>
      </c>
      <c r="M7" s="2" t="s">
        <v>300</v>
      </c>
      <c r="N7" s="2" t="s">
        <v>301</v>
      </c>
      <c r="O7" s="11">
        <v>43332</v>
      </c>
      <c r="P7" s="2" t="s">
        <v>302</v>
      </c>
      <c r="Q7" s="2" t="s">
        <v>303</v>
      </c>
      <c r="R7" s="2" t="s">
        <v>192</v>
      </c>
      <c r="S7" s="2" t="s">
        <v>304</v>
      </c>
      <c r="T7" s="2" t="s">
        <v>194</v>
      </c>
      <c r="U7" s="2" t="s">
        <v>305</v>
      </c>
      <c r="V7" s="13">
        <v>350</v>
      </c>
      <c r="W7" s="13">
        <v>210</v>
      </c>
      <c r="X7" s="2">
        <v>0.25</v>
      </c>
      <c r="Y7" s="2" t="s">
        <v>288</v>
      </c>
      <c r="Z7" s="2" t="s">
        <v>306</v>
      </c>
      <c r="AA7" s="2">
        <v>30</v>
      </c>
      <c r="AB7" s="2">
        <v>8</v>
      </c>
      <c r="AC7" s="2">
        <v>2</v>
      </c>
      <c r="AD7" s="2">
        <v>2</v>
      </c>
      <c r="AE7" s="17">
        <f>Table1[[#This Row],[Discount%]]/100</f>
        <v>0.05</v>
      </c>
      <c r="AF7" s="2">
        <v>5</v>
      </c>
      <c r="AG7" s="17">
        <f>Table1[[#This Row],[Tax%]]/100</f>
        <v>0.06</v>
      </c>
      <c r="AH7" s="2">
        <v>6</v>
      </c>
      <c r="AI7" s="23">
        <v>15</v>
      </c>
      <c r="AJ7" s="2" t="s">
        <v>198</v>
      </c>
      <c r="AK7" s="2" t="s">
        <v>230</v>
      </c>
      <c r="AL7" s="2" t="s">
        <v>307</v>
      </c>
      <c r="AM7" s="2" t="s">
        <v>196</v>
      </c>
      <c r="AN7" s="2" t="s">
        <v>308</v>
      </c>
      <c r="AO7" s="2" t="s">
        <v>203</v>
      </c>
      <c r="AP7" s="2" t="s">
        <v>880</v>
      </c>
      <c r="AQ7" s="25">
        <v>0</v>
      </c>
      <c r="AR7" s="25">
        <f>IFERROR((Table1[[#This Row],[Column7]]-Table1[[#This Row],[Column8]])/Table1[[#This Row],[Column7]], 0)</f>
        <v>-0.61447181785682681</v>
      </c>
      <c r="AS7" s="2">
        <v>40</v>
      </c>
      <c r="AT7" s="21">
        <f>Table1[[#This Row],[Quantity]] * Table1[[#This Row],[CostPrice]]</f>
        <v>420</v>
      </c>
      <c r="AU7" s="2">
        <v>420</v>
      </c>
      <c r="AV7" s="13">
        <f>Table1[[#This Row],[Quantity]] * Table1[[#This Row],[UnitPrice]]</f>
        <v>700</v>
      </c>
      <c r="AW7" s="2">
        <v>700</v>
      </c>
      <c r="AX7" s="21">
        <f>Table1[[#This Row],[Column3]] * (Table1[[#This Row],[Column1]]/100)</f>
        <v>0.35000000000000003</v>
      </c>
      <c r="AY7" s="2">
        <v>35</v>
      </c>
      <c r="AZ7" s="27">
        <f>Table1[[#This Row],[Column3]] * Table1[[#This Row],[Column4]]</f>
        <v>245.00000000000003</v>
      </c>
      <c r="BA7" s="2">
        <v>665</v>
      </c>
      <c r="BB7" s="15">
        <f>Table1[[#This Row],[Column5]] * (Table1[[#This Row],[Column2]]/100)</f>
        <v>0.14699999999999999</v>
      </c>
      <c r="BC7" s="2">
        <v>39.9</v>
      </c>
      <c r="BD7" s="19">
        <f>Table1[[#This Row],[Column5]] + Table1[[#This Row],[Column6]] + Table1[[#This Row],[ShippingCost]]</f>
        <v>260.14700000000005</v>
      </c>
      <c r="BE7" s="2">
        <v>704.9</v>
      </c>
      <c r="BF7" s="2" t="s">
        <v>180</v>
      </c>
      <c r="BG7" s="2">
        <f>Table1[[#This Row],[DeliveryDate]]-Table1[[#This Row],[OrderDate]]</f>
        <v>3</v>
      </c>
      <c r="BH7" s="2">
        <v>3</v>
      </c>
      <c r="BI7" s="2" t="str">
        <f>IF(OR(Table1[[#This Row],[CustomerTier]]="Platinum", Table1[[#This Row],[Column7]]&gt;1000), "Yes", "No")</f>
        <v>No</v>
      </c>
      <c r="BJ7" s="2" t="s">
        <v>205</v>
      </c>
      <c r="BK7" s="2" t="str">
        <f>IF(Table1[[#This Row],[Quantity]]&gt;=10, "Yes", "No")</f>
        <v>No</v>
      </c>
      <c r="BL7" s="2" t="s">
        <v>205</v>
      </c>
      <c r="BM7" s="2">
        <f>IF(Table1[[#This Row],[Column12]]="Yes", 5%, 0)</f>
        <v>0</v>
      </c>
      <c r="BN7" s="2">
        <v>0</v>
      </c>
      <c r="BO7" s="2" t="s">
        <v>206</v>
      </c>
      <c r="BP7" s="2" t="s">
        <v>207</v>
      </c>
      <c r="BQ7" s="2" t="s">
        <v>208</v>
      </c>
      <c r="BR7" s="2" t="s">
        <v>209</v>
      </c>
      <c r="BS7" s="3" t="s">
        <v>210</v>
      </c>
    </row>
    <row r="8" spans="1:71" x14ac:dyDescent="0.25">
      <c r="A8" s="1" t="s">
        <v>309</v>
      </c>
      <c r="B8" s="11">
        <v>45675</v>
      </c>
      <c r="C8" s="11">
        <v>45680</v>
      </c>
      <c r="D8" s="2" t="s">
        <v>310</v>
      </c>
      <c r="E8" s="2" t="s">
        <v>181</v>
      </c>
      <c r="F8" s="2" t="s">
        <v>311</v>
      </c>
      <c r="G8" s="2" t="s">
        <v>312</v>
      </c>
      <c r="H8" s="2" t="s">
        <v>184</v>
      </c>
      <c r="I8" s="2" t="s">
        <v>313</v>
      </c>
      <c r="J8" s="2" t="s">
        <v>314</v>
      </c>
      <c r="K8" s="2" t="s">
        <v>184</v>
      </c>
      <c r="L8" s="2" t="s">
        <v>218</v>
      </c>
      <c r="M8" s="2" t="s">
        <v>315</v>
      </c>
      <c r="N8" s="2" t="s">
        <v>316</v>
      </c>
      <c r="O8" s="11">
        <v>44745</v>
      </c>
      <c r="P8" s="2" t="s">
        <v>317</v>
      </c>
      <c r="Q8" s="2" t="s">
        <v>318</v>
      </c>
      <c r="R8" s="2" t="s">
        <v>265</v>
      </c>
      <c r="S8" s="2" t="s">
        <v>319</v>
      </c>
      <c r="T8" s="2" t="s">
        <v>320</v>
      </c>
      <c r="U8" s="2" t="s">
        <v>321</v>
      </c>
      <c r="V8" s="13">
        <v>120</v>
      </c>
      <c r="W8" s="13">
        <v>65</v>
      </c>
      <c r="X8" s="2">
        <v>1.8</v>
      </c>
      <c r="Y8" s="2" t="s">
        <v>248</v>
      </c>
      <c r="Z8" s="2">
        <v>10</v>
      </c>
      <c r="AA8" s="2">
        <v>55</v>
      </c>
      <c r="AB8" s="2">
        <v>12</v>
      </c>
      <c r="AC8" s="2">
        <v>3</v>
      </c>
      <c r="AD8" s="2">
        <v>1</v>
      </c>
      <c r="AE8" s="17">
        <f>Table1[[#This Row],[Discount%]]/100</f>
        <v>0.05</v>
      </c>
      <c r="AF8" s="2">
        <v>5</v>
      </c>
      <c r="AG8" s="17">
        <f>Table1[[#This Row],[Tax%]]/100</f>
        <v>0.05</v>
      </c>
      <c r="AH8" s="2">
        <v>5</v>
      </c>
      <c r="AI8" s="23">
        <v>8</v>
      </c>
      <c r="AJ8" s="2" t="s">
        <v>229</v>
      </c>
      <c r="AK8" s="2" t="s">
        <v>230</v>
      </c>
      <c r="AL8" s="2" t="s">
        <v>322</v>
      </c>
      <c r="AM8" s="2" t="s">
        <v>232</v>
      </c>
      <c r="AN8" s="2" t="s">
        <v>368</v>
      </c>
      <c r="AO8" s="2" t="s">
        <v>203</v>
      </c>
      <c r="AP8" s="2" t="s">
        <v>880</v>
      </c>
      <c r="AQ8" s="25">
        <v>0</v>
      </c>
      <c r="AR8" s="25">
        <f>IFERROR((Table1[[#This Row],[Column7]]-Table1[[#This Row],[Column8]])/Table1[[#This Row],[Column7]], 0)</f>
        <v>-3.2753032176589763</v>
      </c>
      <c r="AS8" s="2">
        <v>45.83</v>
      </c>
      <c r="AT8" s="21">
        <f>Table1[[#This Row],[Quantity]] * Table1[[#This Row],[CostPrice]]</f>
        <v>65</v>
      </c>
      <c r="AU8" s="2">
        <v>65</v>
      </c>
      <c r="AV8" s="13">
        <f>Table1[[#This Row],[Quantity]] * Table1[[#This Row],[UnitPrice]]</f>
        <v>120</v>
      </c>
      <c r="AW8" s="2">
        <v>120</v>
      </c>
      <c r="AX8" s="21">
        <f>Table1[[#This Row],[Column3]] * (Table1[[#This Row],[Column1]]/100)</f>
        <v>0.06</v>
      </c>
      <c r="AY8" s="2">
        <v>6</v>
      </c>
      <c r="AZ8" s="27">
        <f>Table1[[#This Row],[Column3]] * Table1[[#This Row],[Column4]]</f>
        <v>7.1999999999999993</v>
      </c>
      <c r="BA8" s="2">
        <v>114</v>
      </c>
      <c r="BB8" s="15">
        <f>Table1[[#This Row],[Column5]] * (Table1[[#This Row],[Column2]]/100)</f>
        <v>3.5999999999999999E-3</v>
      </c>
      <c r="BC8" s="2">
        <v>5.7</v>
      </c>
      <c r="BD8" s="19">
        <f>Table1[[#This Row],[Column5]] + Table1[[#This Row],[Column6]] + Table1[[#This Row],[ShippingCost]]</f>
        <v>15.203599999999998</v>
      </c>
      <c r="BE8" s="2">
        <v>119.7</v>
      </c>
      <c r="BF8" s="2" t="s">
        <v>310</v>
      </c>
      <c r="BG8" s="2">
        <f>Table1[[#This Row],[DeliveryDate]]-Table1[[#This Row],[OrderDate]]</f>
        <v>5</v>
      </c>
      <c r="BH8" s="2">
        <v>5</v>
      </c>
      <c r="BI8" s="2" t="str">
        <f>IF(OR(Table1[[#This Row],[CustomerTier]]="Platinum", Table1[[#This Row],[Column7]]&gt;1000), "Yes", "No")</f>
        <v>No</v>
      </c>
      <c r="BJ8" s="2" t="s">
        <v>205</v>
      </c>
      <c r="BK8" s="2" t="str">
        <f>IF(Table1[[#This Row],[Quantity]]&gt;=10, "Yes", "No")</f>
        <v>No</v>
      </c>
      <c r="BL8" s="2" t="s">
        <v>205</v>
      </c>
      <c r="BM8" s="2">
        <f>IF(Table1[[#This Row],[Column12]]="Yes", 5%, 0)</f>
        <v>0</v>
      </c>
      <c r="BN8" s="2">
        <v>0</v>
      </c>
      <c r="BO8" s="2"/>
      <c r="BP8" s="2"/>
      <c r="BQ8" s="2" t="s">
        <v>273</v>
      </c>
      <c r="BR8" s="2" t="s">
        <v>209</v>
      </c>
      <c r="BS8" s="3" t="s">
        <v>210</v>
      </c>
    </row>
    <row r="9" spans="1:71" x14ac:dyDescent="0.25">
      <c r="A9" s="1" t="s">
        <v>324</v>
      </c>
      <c r="B9" s="11">
        <v>45676</v>
      </c>
      <c r="C9" s="11">
        <v>45679</v>
      </c>
      <c r="D9" s="2" t="s">
        <v>180</v>
      </c>
      <c r="E9" s="2" t="s">
        <v>212</v>
      </c>
      <c r="F9" s="2" t="s">
        <v>325</v>
      </c>
      <c r="G9" s="2" t="s">
        <v>326</v>
      </c>
      <c r="H9" s="2" t="s">
        <v>215</v>
      </c>
      <c r="I9" s="2" t="s">
        <v>327</v>
      </c>
      <c r="J9" s="2" t="s">
        <v>217</v>
      </c>
      <c r="K9" s="2" t="s">
        <v>215</v>
      </c>
      <c r="L9" s="2" t="s">
        <v>218</v>
      </c>
      <c r="M9" s="2" t="s">
        <v>328</v>
      </c>
      <c r="N9" s="2" t="s">
        <v>329</v>
      </c>
      <c r="O9" s="11">
        <v>44300</v>
      </c>
      <c r="P9" s="2" t="s">
        <v>330</v>
      </c>
      <c r="Q9" s="2" t="s">
        <v>331</v>
      </c>
      <c r="R9" s="2" t="s">
        <v>244</v>
      </c>
      <c r="S9" s="2" t="s">
        <v>332</v>
      </c>
      <c r="T9" s="2" t="s">
        <v>333</v>
      </c>
      <c r="U9" s="2" t="s">
        <v>247</v>
      </c>
      <c r="V9" s="13">
        <v>95</v>
      </c>
      <c r="W9" s="13">
        <v>52</v>
      </c>
      <c r="X9" s="2">
        <v>2.8</v>
      </c>
      <c r="Y9" s="2" t="s">
        <v>288</v>
      </c>
      <c r="Z9" s="2" t="s">
        <v>880</v>
      </c>
      <c r="AA9" s="2">
        <v>40</v>
      </c>
      <c r="AB9" s="2">
        <v>8</v>
      </c>
      <c r="AC9" s="2">
        <v>3</v>
      </c>
      <c r="AD9" s="2">
        <v>2</v>
      </c>
      <c r="AE9" s="17">
        <f>Table1[[#This Row],[Discount%]]/100</f>
        <v>0</v>
      </c>
      <c r="AF9" s="2">
        <v>0</v>
      </c>
      <c r="AG9" s="17">
        <f>Table1[[#This Row],[Tax%]]/100</f>
        <v>0.05</v>
      </c>
      <c r="AH9" s="2">
        <v>5</v>
      </c>
      <c r="AI9" s="23">
        <v>10</v>
      </c>
      <c r="AJ9" s="2" t="s">
        <v>249</v>
      </c>
      <c r="AK9" s="2" t="s">
        <v>230</v>
      </c>
      <c r="AL9" s="2" t="s">
        <v>334</v>
      </c>
      <c r="AM9" s="2" t="s">
        <v>196</v>
      </c>
      <c r="AN9" s="2" t="s">
        <v>233</v>
      </c>
      <c r="AO9" s="2" t="s">
        <v>203</v>
      </c>
      <c r="AP9" s="2" t="s">
        <v>880</v>
      </c>
      <c r="AQ9" s="25">
        <v>0</v>
      </c>
      <c r="AR9" s="25">
        <f>IFERROR((Table1[[#This Row],[Column7]]-Table1[[#This Row],[Column8]])/Table1[[#This Row],[Column7]], 0)</f>
        <v>-9.4</v>
      </c>
      <c r="AS9" s="2">
        <v>45.26</v>
      </c>
      <c r="AT9" s="21">
        <f>Table1[[#This Row],[Quantity]] * Table1[[#This Row],[CostPrice]]</f>
        <v>104</v>
      </c>
      <c r="AU9" s="2">
        <v>104</v>
      </c>
      <c r="AV9" s="13">
        <f>Table1[[#This Row],[Quantity]] * Table1[[#This Row],[UnitPrice]]</f>
        <v>190</v>
      </c>
      <c r="AW9" s="2">
        <v>190</v>
      </c>
      <c r="AX9" s="21">
        <f>Table1[[#This Row],[Column3]] * (Table1[[#This Row],[Column1]]/100)</f>
        <v>0</v>
      </c>
      <c r="AY9" s="2">
        <v>0</v>
      </c>
      <c r="AZ9" s="27">
        <f>Table1[[#This Row],[Column3]] * Table1[[#This Row],[Column4]]</f>
        <v>0</v>
      </c>
      <c r="BA9" s="2">
        <v>190</v>
      </c>
      <c r="BB9" s="15">
        <f>Table1[[#This Row],[Column5]] * (Table1[[#This Row],[Column2]]/100)</f>
        <v>0</v>
      </c>
      <c r="BC9" s="2">
        <v>9.5</v>
      </c>
      <c r="BD9" s="19">
        <f>Table1[[#This Row],[Column5]] + Table1[[#This Row],[Column6]] + Table1[[#This Row],[ShippingCost]]</f>
        <v>10</v>
      </c>
      <c r="BE9" s="2">
        <v>199.5</v>
      </c>
      <c r="BF9" s="2" t="s">
        <v>180</v>
      </c>
      <c r="BG9" s="2">
        <f>Table1[[#This Row],[DeliveryDate]]-Table1[[#This Row],[OrderDate]]</f>
        <v>3</v>
      </c>
      <c r="BH9" s="2">
        <v>3</v>
      </c>
      <c r="BI9" s="2" t="str">
        <f>IF(OR(Table1[[#This Row],[CustomerTier]]="Platinum", Table1[[#This Row],[Column7]]&gt;1000), "Yes", "No")</f>
        <v>No</v>
      </c>
      <c r="BJ9" s="2" t="s">
        <v>205</v>
      </c>
      <c r="BK9" s="2" t="str">
        <f>IF(Table1[[#This Row],[Quantity]]&gt;=10, "Yes", "No")</f>
        <v>No</v>
      </c>
      <c r="BL9" s="2" t="s">
        <v>205</v>
      </c>
      <c r="BM9" s="2">
        <f>IF(Table1[[#This Row],[Column12]]="Yes", 5%, 0)</f>
        <v>0</v>
      </c>
      <c r="BN9" s="2">
        <v>0</v>
      </c>
      <c r="BO9" s="2"/>
      <c r="BP9" s="2"/>
      <c r="BQ9" s="2" t="s">
        <v>254</v>
      </c>
      <c r="BR9" s="2" t="s">
        <v>209</v>
      </c>
      <c r="BS9" s="3" t="s">
        <v>210</v>
      </c>
    </row>
    <row r="10" spans="1:71" x14ac:dyDescent="0.25">
      <c r="A10" s="1" t="s">
        <v>336</v>
      </c>
      <c r="B10" s="11">
        <v>45676</v>
      </c>
      <c r="C10" s="11">
        <v>45681</v>
      </c>
      <c r="D10" s="2" t="s">
        <v>180</v>
      </c>
      <c r="E10" s="2" t="s">
        <v>181</v>
      </c>
      <c r="F10" s="2" t="s">
        <v>337</v>
      </c>
      <c r="G10" s="2" t="s">
        <v>338</v>
      </c>
      <c r="H10" s="2" t="s">
        <v>184</v>
      </c>
      <c r="I10" s="2" t="s">
        <v>339</v>
      </c>
      <c r="J10" s="2" t="s">
        <v>340</v>
      </c>
      <c r="K10" s="2" t="s">
        <v>184</v>
      </c>
      <c r="L10" s="2" t="s">
        <v>218</v>
      </c>
      <c r="M10" s="2" t="s">
        <v>341</v>
      </c>
      <c r="N10" s="2" t="s">
        <v>342</v>
      </c>
      <c r="O10" s="11">
        <v>44982</v>
      </c>
      <c r="P10" s="2" t="s">
        <v>343</v>
      </c>
      <c r="Q10" s="2" t="s">
        <v>344</v>
      </c>
      <c r="R10" s="2" t="s">
        <v>223</v>
      </c>
      <c r="S10" s="2" t="s">
        <v>345</v>
      </c>
      <c r="T10" s="2" t="s">
        <v>225</v>
      </c>
      <c r="U10" s="2" t="s">
        <v>346</v>
      </c>
      <c r="V10" s="13">
        <v>180</v>
      </c>
      <c r="W10" s="13">
        <v>95</v>
      </c>
      <c r="X10" s="2">
        <v>1.5</v>
      </c>
      <c r="Y10" s="2" t="s">
        <v>288</v>
      </c>
      <c r="Z10" s="2" t="s">
        <v>347</v>
      </c>
      <c r="AA10" s="2">
        <v>25</v>
      </c>
      <c r="AB10" s="2">
        <v>5</v>
      </c>
      <c r="AC10" s="2">
        <v>4</v>
      </c>
      <c r="AD10" s="2">
        <v>1</v>
      </c>
      <c r="AE10" s="17">
        <f>Table1[[#This Row],[Discount%]]/100</f>
        <v>0.2</v>
      </c>
      <c r="AF10" s="2">
        <v>20</v>
      </c>
      <c r="AG10" s="17">
        <f>Table1[[#This Row],[Tax%]]/100</f>
        <v>0.06</v>
      </c>
      <c r="AH10" s="2">
        <v>6</v>
      </c>
      <c r="AI10" s="23">
        <v>15</v>
      </c>
      <c r="AJ10" s="2" t="s">
        <v>198</v>
      </c>
      <c r="AK10" s="2" t="s">
        <v>230</v>
      </c>
      <c r="AL10" s="2" t="s">
        <v>348</v>
      </c>
      <c r="AM10" s="2" t="s">
        <v>232</v>
      </c>
      <c r="AN10" s="2" t="s">
        <v>885</v>
      </c>
      <c r="AO10" s="2" t="s">
        <v>203</v>
      </c>
      <c r="AP10" s="2" t="s">
        <v>351</v>
      </c>
      <c r="AQ10" s="25">
        <v>36</v>
      </c>
      <c r="AR10" s="25">
        <f>IFERROR((Table1[[#This Row],[Column7]]-Table1[[#This Row],[Column8]])/Table1[[#This Row],[Column7]], 0)</f>
        <v>-0.18989645145322676</v>
      </c>
      <c r="AS10" s="2">
        <v>47.22</v>
      </c>
      <c r="AT10" s="21">
        <f>Table1[[#This Row],[Quantity]] * Table1[[#This Row],[CostPrice]]</f>
        <v>95</v>
      </c>
      <c r="AU10" s="2">
        <v>95</v>
      </c>
      <c r="AV10" s="13">
        <f>Table1[[#This Row],[Quantity]] * Table1[[#This Row],[UnitPrice]]</f>
        <v>180</v>
      </c>
      <c r="AW10" s="2">
        <v>180</v>
      </c>
      <c r="AX10" s="21">
        <f>Table1[[#This Row],[Column3]] * (Table1[[#This Row],[Column1]]/100)</f>
        <v>0.36</v>
      </c>
      <c r="AY10" s="2">
        <v>36</v>
      </c>
      <c r="AZ10" s="27">
        <f>Table1[[#This Row],[Column3]] * Table1[[#This Row],[Column4]]</f>
        <v>64.8</v>
      </c>
      <c r="BA10" s="2">
        <v>144</v>
      </c>
      <c r="BB10" s="15">
        <f>Table1[[#This Row],[Column5]] * (Table1[[#This Row],[Column2]]/100)</f>
        <v>3.8879999999999998E-2</v>
      </c>
      <c r="BC10" s="2">
        <v>8.64</v>
      </c>
      <c r="BD10" s="19">
        <f>Table1[[#This Row],[Column5]] + Table1[[#This Row],[Column6]] + Table1[[#This Row],[ShippingCost]]</f>
        <v>79.838880000000003</v>
      </c>
      <c r="BE10" s="2">
        <v>152.63999999999999</v>
      </c>
      <c r="BF10" s="2" t="s">
        <v>180</v>
      </c>
      <c r="BG10" s="2">
        <f>Table1[[#This Row],[DeliveryDate]]-Table1[[#This Row],[OrderDate]]</f>
        <v>5</v>
      </c>
      <c r="BH10" s="2">
        <v>5</v>
      </c>
      <c r="BI10" s="2" t="str">
        <f>IF(OR(Table1[[#This Row],[CustomerTier]]="Platinum", Table1[[#This Row],[Column7]]&gt;1000), "Yes", "No")</f>
        <v>No</v>
      </c>
      <c r="BJ10" s="2" t="s">
        <v>205</v>
      </c>
      <c r="BK10" s="2" t="str">
        <f>IF(Table1[[#This Row],[Quantity]]&gt;=10, "Yes", "No")</f>
        <v>No</v>
      </c>
      <c r="BL10" s="2" t="s">
        <v>205</v>
      </c>
      <c r="BM10" s="2">
        <f>IF(Table1[[#This Row],[Column12]]="Yes", 5%, 0)</f>
        <v>0</v>
      </c>
      <c r="BN10" s="2">
        <v>0</v>
      </c>
      <c r="BO10" s="2" t="s">
        <v>352</v>
      </c>
      <c r="BP10" s="2" t="s">
        <v>353</v>
      </c>
      <c r="BQ10" s="2" t="s">
        <v>234</v>
      </c>
      <c r="BR10" s="2" t="s">
        <v>209</v>
      </c>
      <c r="BS10" s="3" t="s">
        <v>210</v>
      </c>
    </row>
    <row r="11" spans="1:71" x14ac:dyDescent="0.25">
      <c r="A11" s="1" t="s">
        <v>354</v>
      </c>
      <c r="B11" s="11">
        <v>45677</v>
      </c>
      <c r="C11" s="11">
        <v>45680</v>
      </c>
      <c r="D11" s="2" t="s">
        <v>180</v>
      </c>
      <c r="E11" s="2" t="s">
        <v>212</v>
      </c>
      <c r="F11" s="2" t="s">
        <v>355</v>
      </c>
      <c r="G11" s="2" t="s">
        <v>356</v>
      </c>
      <c r="H11" s="2" t="s">
        <v>297</v>
      </c>
      <c r="I11" s="2" t="s">
        <v>357</v>
      </c>
      <c r="J11" s="2" t="s">
        <v>358</v>
      </c>
      <c r="K11" s="2" t="s">
        <v>297</v>
      </c>
      <c r="L11" s="2" t="s">
        <v>218</v>
      </c>
      <c r="M11" s="2" t="s">
        <v>359</v>
      </c>
      <c r="N11" s="2" t="s">
        <v>360</v>
      </c>
      <c r="O11" s="11">
        <v>44895</v>
      </c>
      <c r="P11" s="2" t="s">
        <v>361</v>
      </c>
      <c r="Q11" s="2" t="s">
        <v>362</v>
      </c>
      <c r="R11" s="2" t="s">
        <v>192</v>
      </c>
      <c r="S11" s="2" t="s">
        <v>363</v>
      </c>
      <c r="T11" s="2" t="s">
        <v>364</v>
      </c>
      <c r="U11" s="2" t="s">
        <v>365</v>
      </c>
      <c r="V11" s="13">
        <v>45</v>
      </c>
      <c r="W11" s="13">
        <v>23</v>
      </c>
      <c r="X11" s="2">
        <v>0.15</v>
      </c>
      <c r="Y11" s="2" t="s">
        <v>288</v>
      </c>
      <c r="Z11" s="2" t="s">
        <v>880</v>
      </c>
      <c r="AA11" s="2">
        <v>150</v>
      </c>
      <c r="AB11" s="2">
        <v>30</v>
      </c>
      <c r="AC11" s="2">
        <v>1</v>
      </c>
      <c r="AD11" s="2">
        <v>4</v>
      </c>
      <c r="AE11" s="17">
        <f>Table1[[#This Row],[Discount%]]/100</f>
        <v>0</v>
      </c>
      <c r="AF11" s="2">
        <v>0</v>
      </c>
      <c r="AG11" s="17">
        <f>Table1[[#This Row],[Tax%]]/100</f>
        <v>0.05</v>
      </c>
      <c r="AH11" s="2">
        <v>5</v>
      </c>
      <c r="AI11" s="23">
        <v>5</v>
      </c>
      <c r="AJ11" s="2" t="s">
        <v>366</v>
      </c>
      <c r="AK11" s="2" t="s">
        <v>199</v>
      </c>
      <c r="AL11" s="2" t="s">
        <v>367</v>
      </c>
      <c r="AM11" s="2" t="s">
        <v>271</v>
      </c>
      <c r="AN11" s="2" t="s">
        <v>349</v>
      </c>
      <c r="AO11" s="2" t="s">
        <v>203</v>
      </c>
      <c r="AP11" s="2" t="s">
        <v>880</v>
      </c>
      <c r="AQ11" s="25">
        <v>0</v>
      </c>
      <c r="AR11" s="25">
        <f>IFERROR((Table1[[#This Row],[Column7]]-Table1[[#This Row],[Column8]])/Table1[[#This Row],[Column7]], 0)</f>
        <v>-17.399999999999999</v>
      </c>
      <c r="AS11" s="2">
        <v>48.89</v>
      </c>
      <c r="AT11" s="21">
        <f>Table1[[#This Row],[Quantity]] * Table1[[#This Row],[CostPrice]]</f>
        <v>92</v>
      </c>
      <c r="AU11" s="2">
        <v>92</v>
      </c>
      <c r="AV11" s="13">
        <f>Table1[[#This Row],[Quantity]] * Table1[[#This Row],[UnitPrice]]</f>
        <v>180</v>
      </c>
      <c r="AW11" s="2">
        <v>180</v>
      </c>
      <c r="AX11" s="21">
        <f>Table1[[#This Row],[Column3]] * (Table1[[#This Row],[Column1]]/100)</f>
        <v>0</v>
      </c>
      <c r="AY11" s="2">
        <v>0</v>
      </c>
      <c r="AZ11" s="27">
        <f>Table1[[#This Row],[Column3]] * Table1[[#This Row],[Column4]]</f>
        <v>0</v>
      </c>
      <c r="BA11" s="2">
        <v>180</v>
      </c>
      <c r="BB11" s="15">
        <f>Table1[[#This Row],[Column5]] * (Table1[[#This Row],[Column2]]/100)</f>
        <v>0</v>
      </c>
      <c r="BC11" s="2">
        <v>9</v>
      </c>
      <c r="BD11" s="19">
        <f>Table1[[#This Row],[Column5]] + Table1[[#This Row],[Column6]] + Table1[[#This Row],[ShippingCost]]</f>
        <v>5</v>
      </c>
      <c r="BE11" s="2">
        <v>189</v>
      </c>
      <c r="BF11" s="2" t="s">
        <v>180</v>
      </c>
      <c r="BG11" s="2">
        <f>Table1[[#This Row],[DeliveryDate]]-Table1[[#This Row],[OrderDate]]</f>
        <v>3</v>
      </c>
      <c r="BH11" s="2">
        <v>3</v>
      </c>
      <c r="BI11" s="2" t="str">
        <f>IF(OR(Table1[[#This Row],[CustomerTier]]="Platinum", Table1[[#This Row],[Column7]]&gt;1000), "Yes", "No")</f>
        <v>No</v>
      </c>
      <c r="BJ11" s="2" t="s">
        <v>204</v>
      </c>
      <c r="BK11" s="2" t="str">
        <f>IF(Table1[[#This Row],[Quantity]]&gt;=10, "Yes", "No")</f>
        <v>No</v>
      </c>
      <c r="BL11" s="2" t="s">
        <v>204</v>
      </c>
      <c r="BM11" s="2">
        <f>IF(Table1[[#This Row],[Column12]]="Yes", 5%, 0)</f>
        <v>0</v>
      </c>
      <c r="BN11" s="2">
        <v>5</v>
      </c>
      <c r="BO11" s="2" t="s">
        <v>369</v>
      </c>
      <c r="BP11" s="2" t="s">
        <v>173</v>
      </c>
      <c r="BQ11" s="2" t="s">
        <v>208</v>
      </c>
      <c r="BR11" s="2" t="s">
        <v>209</v>
      </c>
      <c r="BS11" s="3" t="s">
        <v>210</v>
      </c>
    </row>
    <row r="12" spans="1:71" x14ac:dyDescent="0.25">
      <c r="A12" s="1" t="s">
        <v>370</v>
      </c>
      <c r="B12" s="11">
        <v>45677</v>
      </c>
      <c r="C12" s="11">
        <v>45682</v>
      </c>
      <c r="D12" s="2" t="s">
        <v>371</v>
      </c>
      <c r="E12" s="2" t="s">
        <v>181</v>
      </c>
      <c r="F12" s="2" t="s">
        <v>372</v>
      </c>
      <c r="G12" s="2" t="s">
        <v>373</v>
      </c>
      <c r="H12" s="2" t="s">
        <v>297</v>
      </c>
      <c r="I12" s="2" t="s">
        <v>374</v>
      </c>
      <c r="J12" s="2" t="s">
        <v>375</v>
      </c>
      <c r="K12" s="2" t="s">
        <v>297</v>
      </c>
      <c r="L12" s="2" t="s">
        <v>218</v>
      </c>
      <c r="M12" s="2" t="s">
        <v>376</v>
      </c>
      <c r="N12" s="2" t="s">
        <v>377</v>
      </c>
      <c r="O12" s="11">
        <v>45033</v>
      </c>
      <c r="P12" s="2" t="s">
        <v>378</v>
      </c>
      <c r="Q12" s="2" t="s">
        <v>379</v>
      </c>
      <c r="R12" s="2" t="s">
        <v>244</v>
      </c>
      <c r="S12" s="2" t="s">
        <v>380</v>
      </c>
      <c r="T12" s="2" t="s">
        <v>381</v>
      </c>
      <c r="U12" s="2" t="s">
        <v>247</v>
      </c>
      <c r="V12" s="13">
        <v>65</v>
      </c>
      <c r="W12" s="13">
        <v>34</v>
      </c>
      <c r="X12" s="2">
        <v>1.2</v>
      </c>
      <c r="Y12" s="2" t="s">
        <v>382</v>
      </c>
      <c r="Z12" s="2" t="s">
        <v>880</v>
      </c>
      <c r="AA12" s="2">
        <v>35</v>
      </c>
      <c r="AB12" s="2">
        <v>10</v>
      </c>
      <c r="AC12" s="2">
        <v>2</v>
      </c>
      <c r="AD12" s="2">
        <v>1</v>
      </c>
      <c r="AE12" s="17">
        <f>Table1[[#This Row],[Discount%]]/100</f>
        <v>0.05</v>
      </c>
      <c r="AF12" s="2">
        <v>5</v>
      </c>
      <c r="AG12" s="17">
        <f>Table1[[#This Row],[Tax%]]/100</f>
        <v>0.05</v>
      </c>
      <c r="AH12" s="2">
        <v>5</v>
      </c>
      <c r="AI12" s="23">
        <v>8</v>
      </c>
      <c r="AJ12" s="2" t="s">
        <v>229</v>
      </c>
      <c r="AK12" s="2" t="s">
        <v>230</v>
      </c>
      <c r="AL12" s="2" t="s">
        <v>231</v>
      </c>
      <c r="AM12" s="2" t="s">
        <v>232</v>
      </c>
      <c r="AN12" s="2" t="s">
        <v>272</v>
      </c>
      <c r="AO12" s="2" t="s">
        <v>203</v>
      </c>
      <c r="AP12" s="2" t="s">
        <v>880</v>
      </c>
      <c r="AQ12" s="25">
        <v>0</v>
      </c>
      <c r="AR12" s="25">
        <f>IFERROR((Table1[[#This Row],[Column7]]-Table1[[#This Row],[Column8]])/Table1[[#This Row],[Column7]], 0)</f>
        <v>-2.3618243829908989</v>
      </c>
      <c r="AS12" s="2">
        <v>47.69</v>
      </c>
      <c r="AT12" s="21">
        <f>Table1[[#This Row],[Quantity]] * Table1[[#This Row],[CostPrice]]</f>
        <v>34</v>
      </c>
      <c r="AU12" s="2">
        <v>34</v>
      </c>
      <c r="AV12" s="13">
        <f>Table1[[#This Row],[Quantity]] * Table1[[#This Row],[UnitPrice]]</f>
        <v>65</v>
      </c>
      <c r="AW12" s="2">
        <v>65</v>
      </c>
      <c r="AX12" s="21">
        <f>Table1[[#This Row],[Column3]] * (Table1[[#This Row],[Column1]]/100)</f>
        <v>3.2500000000000001E-2</v>
      </c>
      <c r="AY12" s="2">
        <v>3.25</v>
      </c>
      <c r="AZ12" s="27">
        <f>Table1[[#This Row],[Column3]] * Table1[[#This Row],[Column4]]</f>
        <v>2.1125000000000003</v>
      </c>
      <c r="BA12" s="2">
        <v>61.75</v>
      </c>
      <c r="BB12" s="15">
        <f>Table1[[#This Row],[Column5]] * (Table1[[#This Row],[Column2]]/100)</f>
        <v>1.0562500000000001E-3</v>
      </c>
      <c r="BC12" s="2">
        <v>3.09</v>
      </c>
      <c r="BD12" s="19">
        <f>Table1[[#This Row],[Column5]] + Table1[[#This Row],[Column6]] + Table1[[#This Row],[ShippingCost]]</f>
        <v>10.11355625</v>
      </c>
      <c r="BE12" s="2">
        <v>64.84</v>
      </c>
      <c r="BF12" s="2" t="s">
        <v>371</v>
      </c>
      <c r="BG12" s="2">
        <f>Table1[[#This Row],[DeliveryDate]]-Table1[[#This Row],[OrderDate]]</f>
        <v>5</v>
      </c>
      <c r="BH12" s="2">
        <v>5</v>
      </c>
      <c r="BI12" s="2" t="str">
        <f>IF(OR(Table1[[#This Row],[CustomerTier]]="Platinum", Table1[[#This Row],[Column7]]&gt;1000), "Yes", "No")</f>
        <v>No</v>
      </c>
      <c r="BJ12" s="2" t="s">
        <v>205</v>
      </c>
      <c r="BK12" s="2" t="str">
        <f>IF(Table1[[#This Row],[Quantity]]&gt;=10, "Yes", "No")</f>
        <v>No</v>
      </c>
      <c r="BL12" s="2" t="s">
        <v>205</v>
      </c>
      <c r="BM12" s="2">
        <f>IF(Table1[[#This Row],[Column12]]="Yes", 5%, 0)</f>
        <v>0</v>
      </c>
      <c r="BN12" s="2">
        <v>0</v>
      </c>
      <c r="BO12" s="2" t="s">
        <v>206</v>
      </c>
      <c r="BP12" s="2"/>
      <c r="BQ12" s="2" t="s">
        <v>254</v>
      </c>
      <c r="BR12" s="2" t="s">
        <v>255</v>
      </c>
      <c r="BS12" s="3" t="s">
        <v>210</v>
      </c>
    </row>
    <row r="13" spans="1:71" x14ac:dyDescent="0.25">
      <c r="A13" s="1" t="s">
        <v>383</v>
      </c>
      <c r="B13" s="11">
        <v>45678</v>
      </c>
      <c r="C13" s="11">
        <v>45681</v>
      </c>
      <c r="D13" s="2" t="s">
        <v>180</v>
      </c>
      <c r="E13" s="2" t="s">
        <v>212</v>
      </c>
      <c r="F13" s="2" t="s">
        <v>213</v>
      </c>
      <c r="G13" s="2" t="s">
        <v>214</v>
      </c>
      <c r="H13" s="2" t="s">
        <v>215</v>
      </c>
      <c r="I13" s="2" t="s">
        <v>216</v>
      </c>
      <c r="J13" s="2" t="s">
        <v>217</v>
      </c>
      <c r="K13" s="2" t="s">
        <v>215</v>
      </c>
      <c r="L13" s="2" t="s">
        <v>218</v>
      </c>
      <c r="M13" s="2" t="s">
        <v>219</v>
      </c>
      <c r="N13" s="2" t="s">
        <v>220</v>
      </c>
      <c r="O13" s="11">
        <v>44362</v>
      </c>
      <c r="P13" s="2" t="s">
        <v>384</v>
      </c>
      <c r="Q13" s="2" t="s">
        <v>385</v>
      </c>
      <c r="R13" s="2" t="s">
        <v>363</v>
      </c>
      <c r="S13" s="2" t="s">
        <v>386</v>
      </c>
      <c r="T13" s="2" t="s">
        <v>387</v>
      </c>
      <c r="U13" s="2" t="s">
        <v>388</v>
      </c>
      <c r="V13" s="13">
        <v>75</v>
      </c>
      <c r="W13" s="13">
        <v>38</v>
      </c>
      <c r="X13" s="2">
        <v>0.8</v>
      </c>
      <c r="Y13" s="2" t="s">
        <v>227</v>
      </c>
      <c r="Z13" s="2" t="s">
        <v>880</v>
      </c>
      <c r="AA13" s="2">
        <v>60</v>
      </c>
      <c r="AB13" s="2">
        <v>15</v>
      </c>
      <c r="AC13" s="2">
        <v>2</v>
      </c>
      <c r="AD13" s="2">
        <v>2</v>
      </c>
      <c r="AE13" s="17">
        <f>Table1[[#This Row],[Discount%]]/100</f>
        <v>0</v>
      </c>
      <c r="AF13" s="2">
        <v>0</v>
      </c>
      <c r="AG13" s="17">
        <f>Table1[[#This Row],[Tax%]]/100</f>
        <v>0.06</v>
      </c>
      <c r="AH13" s="2">
        <v>6</v>
      </c>
      <c r="AI13" s="23">
        <v>5</v>
      </c>
      <c r="AJ13" s="2" t="s">
        <v>198</v>
      </c>
      <c r="AK13" s="2" t="s">
        <v>230</v>
      </c>
      <c r="AL13" s="2" t="s">
        <v>250</v>
      </c>
      <c r="AM13" s="2" t="s">
        <v>196</v>
      </c>
      <c r="AN13" s="2" t="s">
        <v>886</v>
      </c>
      <c r="AO13" s="2" t="s">
        <v>203</v>
      </c>
      <c r="AP13" s="2" t="s">
        <v>880</v>
      </c>
      <c r="AQ13" s="25">
        <v>0</v>
      </c>
      <c r="AR13" s="25">
        <f>IFERROR((Table1[[#This Row],[Column7]]-Table1[[#This Row],[Column8]])/Table1[[#This Row],[Column7]], 0)</f>
        <v>-14.2</v>
      </c>
      <c r="AS13" s="2">
        <v>49.33</v>
      </c>
      <c r="AT13" s="21">
        <f>Table1[[#This Row],[Quantity]] * Table1[[#This Row],[CostPrice]]</f>
        <v>76</v>
      </c>
      <c r="AU13" s="2">
        <v>76</v>
      </c>
      <c r="AV13" s="13">
        <f>Table1[[#This Row],[Quantity]] * Table1[[#This Row],[UnitPrice]]</f>
        <v>150</v>
      </c>
      <c r="AW13" s="2">
        <v>150</v>
      </c>
      <c r="AX13" s="21">
        <f>Table1[[#This Row],[Column3]] * (Table1[[#This Row],[Column1]]/100)</f>
        <v>0</v>
      </c>
      <c r="AY13" s="2">
        <v>0</v>
      </c>
      <c r="AZ13" s="27">
        <f>Table1[[#This Row],[Column3]] * Table1[[#This Row],[Column4]]</f>
        <v>0</v>
      </c>
      <c r="BA13" s="2">
        <v>150</v>
      </c>
      <c r="BB13" s="15">
        <f>Table1[[#This Row],[Column5]] * (Table1[[#This Row],[Column2]]/100)</f>
        <v>0</v>
      </c>
      <c r="BC13" s="2">
        <v>9</v>
      </c>
      <c r="BD13" s="19">
        <f>Table1[[#This Row],[Column5]] + Table1[[#This Row],[Column6]] + Table1[[#This Row],[ShippingCost]]</f>
        <v>5</v>
      </c>
      <c r="BE13" s="2">
        <v>159</v>
      </c>
      <c r="BF13" s="2" t="s">
        <v>180</v>
      </c>
      <c r="BG13" s="2">
        <f>Table1[[#This Row],[DeliveryDate]]-Table1[[#This Row],[OrderDate]]</f>
        <v>3</v>
      </c>
      <c r="BH13" s="2">
        <v>3</v>
      </c>
      <c r="BI13" s="2" t="str">
        <f>IF(OR(Table1[[#This Row],[CustomerTier]]="Platinum", Table1[[#This Row],[Column7]]&gt;1000), "Yes", "No")</f>
        <v>No</v>
      </c>
      <c r="BJ13" s="2" t="s">
        <v>205</v>
      </c>
      <c r="BK13" s="2" t="str">
        <f>IF(Table1[[#This Row],[Quantity]]&gt;=10, "Yes", "No")</f>
        <v>No</v>
      </c>
      <c r="BL13" s="2" t="s">
        <v>205</v>
      </c>
      <c r="BM13" s="2">
        <f>IF(Table1[[#This Row],[Column12]]="Yes", 5%, 0)</f>
        <v>0</v>
      </c>
      <c r="BN13" s="2">
        <v>0</v>
      </c>
      <c r="BO13" s="2"/>
      <c r="BP13" s="2"/>
      <c r="BQ13" s="2" t="s">
        <v>234</v>
      </c>
      <c r="BR13" s="2" t="s">
        <v>209</v>
      </c>
      <c r="BS13" s="3" t="s">
        <v>210</v>
      </c>
    </row>
    <row r="14" spans="1:71" x14ac:dyDescent="0.25">
      <c r="A14" s="1" t="s">
        <v>389</v>
      </c>
      <c r="B14" s="11">
        <v>45678</v>
      </c>
      <c r="C14" s="11">
        <v>45683</v>
      </c>
      <c r="D14" s="2" t="s">
        <v>310</v>
      </c>
      <c r="E14" s="2" t="s">
        <v>181</v>
      </c>
      <c r="F14" s="2" t="s">
        <v>257</v>
      </c>
      <c r="G14" s="2" t="s">
        <v>258</v>
      </c>
      <c r="H14" s="2" t="s">
        <v>184</v>
      </c>
      <c r="I14" s="2" t="s">
        <v>259</v>
      </c>
      <c r="J14" s="2" t="s">
        <v>260</v>
      </c>
      <c r="K14" s="2" t="s">
        <v>184</v>
      </c>
      <c r="L14" s="2" t="s">
        <v>218</v>
      </c>
      <c r="M14" s="2" t="s">
        <v>261</v>
      </c>
      <c r="N14" s="2" t="s">
        <v>262</v>
      </c>
      <c r="O14" s="11">
        <v>44140</v>
      </c>
      <c r="P14" s="2" t="s">
        <v>390</v>
      </c>
      <c r="Q14" s="2" t="s">
        <v>391</v>
      </c>
      <c r="R14" s="2" t="s">
        <v>265</v>
      </c>
      <c r="S14" s="2" t="s">
        <v>363</v>
      </c>
      <c r="T14" s="2" t="s">
        <v>392</v>
      </c>
      <c r="U14" s="2" t="s">
        <v>268</v>
      </c>
      <c r="V14" s="13">
        <v>22</v>
      </c>
      <c r="W14" s="13">
        <v>10</v>
      </c>
      <c r="X14" s="2">
        <v>0.3</v>
      </c>
      <c r="Y14" s="2" t="s">
        <v>227</v>
      </c>
      <c r="Z14" s="2" t="s">
        <v>880</v>
      </c>
      <c r="AA14" s="2">
        <v>200</v>
      </c>
      <c r="AB14" s="2">
        <v>40</v>
      </c>
      <c r="AC14" s="2">
        <v>1</v>
      </c>
      <c r="AD14" s="2">
        <v>6</v>
      </c>
      <c r="AE14" s="17">
        <f>Table1[[#This Row],[Discount%]]/100</f>
        <v>0</v>
      </c>
      <c r="AF14" s="2">
        <v>0</v>
      </c>
      <c r="AG14" s="17">
        <f>Table1[[#This Row],[Tax%]]/100</f>
        <v>0.05</v>
      </c>
      <c r="AH14" s="2">
        <v>5</v>
      </c>
      <c r="AI14" s="23">
        <v>8</v>
      </c>
      <c r="AJ14" s="2" t="s">
        <v>249</v>
      </c>
      <c r="AK14" s="2" t="s">
        <v>199</v>
      </c>
      <c r="AL14" s="2" t="s">
        <v>270</v>
      </c>
      <c r="AM14" s="2" t="s">
        <v>271</v>
      </c>
      <c r="AN14" s="2" t="s">
        <v>887</v>
      </c>
      <c r="AO14" s="2" t="s">
        <v>203</v>
      </c>
      <c r="AP14" s="2" t="s">
        <v>880</v>
      </c>
      <c r="AQ14" s="25">
        <v>0</v>
      </c>
      <c r="AR14" s="25">
        <f>IFERROR((Table1[[#This Row],[Column7]]-Table1[[#This Row],[Column8]])/Table1[[#This Row],[Column7]], 0)</f>
        <v>-6.5</v>
      </c>
      <c r="AS14" s="2">
        <v>54.55</v>
      </c>
      <c r="AT14" s="21">
        <f>Table1[[#This Row],[Quantity]] * Table1[[#This Row],[CostPrice]]</f>
        <v>60</v>
      </c>
      <c r="AU14" s="2">
        <v>60</v>
      </c>
      <c r="AV14" s="13">
        <f>Table1[[#This Row],[Quantity]] * Table1[[#This Row],[UnitPrice]]</f>
        <v>132</v>
      </c>
      <c r="AW14" s="2">
        <v>132</v>
      </c>
      <c r="AX14" s="21">
        <f>Table1[[#This Row],[Column3]] * (Table1[[#This Row],[Column1]]/100)</f>
        <v>0</v>
      </c>
      <c r="AY14" s="2">
        <v>0</v>
      </c>
      <c r="AZ14" s="27">
        <f>Table1[[#This Row],[Column3]] * Table1[[#This Row],[Column4]]</f>
        <v>0</v>
      </c>
      <c r="BA14" s="2">
        <v>132</v>
      </c>
      <c r="BB14" s="15">
        <f>Table1[[#This Row],[Column5]] * (Table1[[#This Row],[Column2]]/100)</f>
        <v>0</v>
      </c>
      <c r="BC14" s="2">
        <v>6.6</v>
      </c>
      <c r="BD14" s="19">
        <f>Table1[[#This Row],[Column5]] + Table1[[#This Row],[Column6]] + Table1[[#This Row],[ShippingCost]]</f>
        <v>8</v>
      </c>
      <c r="BE14" s="2">
        <v>138.6</v>
      </c>
      <c r="BF14" s="2" t="s">
        <v>310</v>
      </c>
      <c r="BG14" s="2">
        <f>Table1[[#This Row],[DeliveryDate]]-Table1[[#This Row],[OrderDate]]</f>
        <v>5</v>
      </c>
      <c r="BH14" s="2">
        <v>5</v>
      </c>
      <c r="BI14" s="2" t="str">
        <f>IF(OR(Table1[[#This Row],[CustomerTier]]="Platinum", Table1[[#This Row],[Column7]]&gt;1000), "Yes", "No")</f>
        <v>No</v>
      </c>
      <c r="BJ14" s="2" t="s">
        <v>205</v>
      </c>
      <c r="BK14" s="2" t="str">
        <f>IF(Table1[[#This Row],[Quantity]]&gt;=10, "Yes", "No")</f>
        <v>No</v>
      </c>
      <c r="BL14" s="2" t="s">
        <v>204</v>
      </c>
      <c r="BM14" s="2">
        <f>IF(Table1[[#This Row],[Column12]]="Yes", 5%, 0)</f>
        <v>0</v>
      </c>
      <c r="BN14" s="2">
        <v>5</v>
      </c>
      <c r="BO14" s="2" t="s">
        <v>369</v>
      </c>
      <c r="BP14" s="2" t="s">
        <v>173</v>
      </c>
      <c r="BQ14" s="2" t="s">
        <v>273</v>
      </c>
      <c r="BR14" s="2" t="s">
        <v>209</v>
      </c>
      <c r="BS14" s="3" t="s">
        <v>210</v>
      </c>
    </row>
    <row r="15" spans="1:71" x14ac:dyDescent="0.25">
      <c r="A15" s="1" t="s">
        <v>393</v>
      </c>
      <c r="B15" s="11">
        <v>45679</v>
      </c>
      <c r="C15" s="11">
        <v>45682</v>
      </c>
      <c r="D15" s="2" t="s">
        <v>180</v>
      </c>
      <c r="E15" s="2" t="s">
        <v>212</v>
      </c>
      <c r="F15" s="2" t="s">
        <v>275</v>
      </c>
      <c r="G15" s="2" t="s">
        <v>276</v>
      </c>
      <c r="H15" s="2" t="s">
        <v>277</v>
      </c>
      <c r="I15" s="2" t="s">
        <v>278</v>
      </c>
      <c r="J15" s="2" t="s">
        <v>279</v>
      </c>
      <c r="K15" s="2" t="s">
        <v>277</v>
      </c>
      <c r="L15" s="2" t="s">
        <v>187</v>
      </c>
      <c r="M15" s="2" t="s">
        <v>280</v>
      </c>
      <c r="N15" s="2" t="s">
        <v>281</v>
      </c>
      <c r="O15" s="11">
        <v>43508</v>
      </c>
      <c r="P15" s="2" t="s">
        <v>394</v>
      </c>
      <c r="Q15" s="2" t="s">
        <v>395</v>
      </c>
      <c r="R15" s="2" t="s">
        <v>192</v>
      </c>
      <c r="S15" s="2" t="s">
        <v>193</v>
      </c>
      <c r="T15" s="2" t="s">
        <v>194</v>
      </c>
      <c r="U15" s="2" t="s">
        <v>195</v>
      </c>
      <c r="V15" s="13">
        <v>650</v>
      </c>
      <c r="W15" s="13">
        <v>390</v>
      </c>
      <c r="X15" s="2">
        <v>0.7</v>
      </c>
      <c r="Y15" s="2" t="s">
        <v>396</v>
      </c>
      <c r="Z15" s="2" t="s">
        <v>397</v>
      </c>
      <c r="AA15" s="2">
        <v>25</v>
      </c>
      <c r="AB15" s="2">
        <v>5</v>
      </c>
      <c r="AC15" s="2">
        <v>2</v>
      </c>
      <c r="AD15" s="2">
        <v>1</v>
      </c>
      <c r="AE15" s="17">
        <f>Table1[[#This Row],[Discount%]]/100</f>
        <v>0</v>
      </c>
      <c r="AF15" s="2">
        <v>0</v>
      </c>
      <c r="AG15" s="17">
        <f>Table1[[#This Row],[Tax%]]/100</f>
        <v>7.0000000000000007E-2</v>
      </c>
      <c r="AH15" s="2">
        <v>7</v>
      </c>
      <c r="AI15" s="23">
        <v>12</v>
      </c>
      <c r="AJ15" s="2" t="s">
        <v>289</v>
      </c>
      <c r="AK15" s="2" t="s">
        <v>199</v>
      </c>
      <c r="AL15" s="2" t="s">
        <v>290</v>
      </c>
      <c r="AM15" s="2" t="s">
        <v>201</v>
      </c>
      <c r="AN15" s="2" t="s">
        <v>888</v>
      </c>
      <c r="AO15" s="2" t="s">
        <v>203</v>
      </c>
      <c r="AP15" s="2" t="s">
        <v>880</v>
      </c>
      <c r="AQ15" s="25">
        <v>0</v>
      </c>
      <c r="AR15" s="25">
        <f>IFERROR((Table1[[#This Row],[Column7]]-Table1[[#This Row],[Column8]])/Table1[[#This Row],[Column7]], 0)</f>
        <v>-31.5</v>
      </c>
      <c r="AS15" s="2">
        <v>40</v>
      </c>
      <c r="AT15" s="21">
        <f>Table1[[#This Row],[Quantity]] * Table1[[#This Row],[CostPrice]]</f>
        <v>390</v>
      </c>
      <c r="AU15" s="2">
        <v>390</v>
      </c>
      <c r="AV15" s="13">
        <f>Table1[[#This Row],[Quantity]] * Table1[[#This Row],[UnitPrice]]</f>
        <v>650</v>
      </c>
      <c r="AW15" s="2">
        <v>650</v>
      </c>
      <c r="AX15" s="21">
        <f>Table1[[#This Row],[Column3]] * (Table1[[#This Row],[Column1]]/100)</f>
        <v>0</v>
      </c>
      <c r="AY15" s="2">
        <v>0</v>
      </c>
      <c r="AZ15" s="27">
        <f>Table1[[#This Row],[Column3]] * Table1[[#This Row],[Column4]]</f>
        <v>0</v>
      </c>
      <c r="BA15" s="2">
        <v>650</v>
      </c>
      <c r="BB15" s="15">
        <f>Table1[[#This Row],[Column5]] * (Table1[[#This Row],[Column2]]/100)</f>
        <v>0</v>
      </c>
      <c r="BC15" s="2">
        <v>45.5</v>
      </c>
      <c r="BD15" s="19">
        <f>Table1[[#This Row],[Column5]] + Table1[[#This Row],[Column6]] + Table1[[#This Row],[ShippingCost]]</f>
        <v>12</v>
      </c>
      <c r="BE15" s="2">
        <v>695.5</v>
      </c>
      <c r="BF15" s="2" t="s">
        <v>180</v>
      </c>
      <c r="BG15" s="2">
        <f>Table1[[#This Row],[DeliveryDate]]-Table1[[#This Row],[OrderDate]]</f>
        <v>3</v>
      </c>
      <c r="BH15" s="2">
        <v>3</v>
      </c>
      <c r="BI15" s="2" t="str">
        <f>IF(OR(Table1[[#This Row],[CustomerTier]]="Platinum", Table1[[#This Row],[Column7]]&gt;1000), "Yes", "No")</f>
        <v>Yes</v>
      </c>
      <c r="BJ15" s="2" t="s">
        <v>204</v>
      </c>
      <c r="BK15" s="2" t="str">
        <f>IF(Table1[[#This Row],[Quantity]]&gt;=10, "Yes", "No")</f>
        <v>No</v>
      </c>
      <c r="BL15" s="2" t="s">
        <v>205</v>
      </c>
      <c r="BM15" s="2">
        <f>IF(Table1[[#This Row],[Column12]]="Yes", 5%, 0)</f>
        <v>0</v>
      </c>
      <c r="BN15" s="2">
        <v>0</v>
      </c>
      <c r="BO15" s="2" t="s">
        <v>252</v>
      </c>
      <c r="BP15" s="2" t="s">
        <v>253</v>
      </c>
      <c r="BQ15" s="2" t="s">
        <v>208</v>
      </c>
      <c r="BR15" s="2" t="s">
        <v>209</v>
      </c>
      <c r="BS15" s="3" t="s">
        <v>210</v>
      </c>
    </row>
    <row r="16" spans="1:71" x14ac:dyDescent="0.25">
      <c r="A16" s="1" t="s">
        <v>398</v>
      </c>
      <c r="B16" s="11">
        <v>45679</v>
      </c>
      <c r="C16" s="11">
        <v>45684</v>
      </c>
      <c r="D16" s="2" t="s">
        <v>399</v>
      </c>
      <c r="E16" s="2" t="s">
        <v>181</v>
      </c>
      <c r="F16" s="2" t="s">
        <v>236</v>
      </c>
      <c r="G16" s="2" t="s">
        <v>237</v>
      </c>
      <c r="H16" s="2" t="s">
        <v>215</v>
      </c>
      <c r="I16" s="2" t="s">
        <v>238</v>
      </c>
      <c r="J16" s="2" t="s">
        <v>239</v>
      </c>
      <c r="K16" s="2" t="s">
        <v>215</v>
      </c>
      <c r="L16" s="2" t="s">
        <v>218</v>
      </c>
      <c r="M16" s="2" t="s">
        <v>240</v>
      </c>
      <c r="N16" s="2" t="s">
        <v>241</v>
      </c>
      <c r="O16" s="11">
        <v>44814</v>
      </c>
      <c r="P16" s="2" t="s">
        <v>400</v>
      </c>
      <c r="Q16" s="2" t="s">
        <v>401</v>
      </c>
      <c r="R16" s="2" t="s">
        <v>402</v>
      </c>
      <c r="S16" s="2" t="s">
        <v>403</v>
      </c>
      <c r="T16" s="2" t="s">
        <v>404</v>
      </c>
      <c r="U16" s="2" t="s">
        <v>405</v>
      </c>
      <c r="V16" s="13">
        <v>55</v>
      </c>
      <c r="W16" s="13">
        <v>30</v>
      </c>
      <c r="X16" s="2">
        <v>1.1000000000000001</v>
      </c>
      <c r="Y16" s="2" t="s">
        <v>406</v>
      </c>
      <c r="Z16" s="2" t="s">
        <v>880</v>
      </c>
      <c r="AA16" s="2">
        <v>30</v>
      </c>
      <c r="AB16" s="2">
        <v>8</v>
      </c>
      <c r="AC16" s="2">
        <v>2</v>
      </c>
      <c r="AD16" s="2">
        <v>1</v>
      </c>
      <c r="AE16" s="17">
        <f>Table1[[#This Row],[Discount%]]/100</f>
        <v>0</v>
      </c>
      <c r="AF16" s="2">
        <v>0</v>
      </c>
      <c r="AG16" s="17">
        <f>Table1[[#This Row],[Tax%]]/100</f>
        <v>0.06</v>
      </c>
      <c r="AH16" s="2">
        <v>6</v>
      </c>
      <c r="AI16" s="23">
        <v>8</v>
      </c>
      <c r="AJ16" s="2" t="s">
        <v>198</v>
      </c>
      <c r="AK16" s="2" t="s">
        <v>230</v>
      </c>
      <c r="AL16" s="2" t="s">
        <v>307</v>
      </c>
      <c r="AM16" s="2" t="s">
        <v>196</v>
      </c>
      <c r="AN16" s="2" t="s">
        <v>889</v>
      </c>
      <c r="AO16" s="2" t="s">
        <v>399</v>
      </c>
      <c r="AP16" s="2" t="s">
        <v>407</v>
      </c>
      <c r="AQ16" s="25">
        <v>0</v>
      </c>
      <c r="AR16" s="25">
        <f>IFERROR((Table1[[#This Row],[Column7]]-Table1[[#This Row],[Column8]])/Table1[[#This Row],[Column7]], 0)</f>
        <v>-2.75</v>
      </c>
      <c r="AS16" s="2">
        <v>45.45</v>
      </c>
      <c r="AT16" s="21">
        <f>Table1[[#This Row],[Quantity]] * Table1[[#This Row],[CostPrice]]</f>
        <v>30</v>
      </c>
      <c r="AU16" s="2">
        <v>30</v>
      </c>
      <c r="AV16" s="13">
        <f>Table1[[#This Row],[Quantity]] * Table1[[#This Row],[UnitPrice]]</f>
        <v>55</v>
      </c>
      <c r="AW16" s="2">
        <v>55</v>
      </c>
      <c r="AX16" s="21">
        <f>Table1[[#This Row],[Column3]] * (Table1[[#This Row],[Column1]]/100)</f>
        <v>0</v>
      </c>
      <c r="AY16" s="2">
        <v>0</v>
      </c>
      <c r="AZ16" s="27">
        <f>Table1[[#This Row],[Column3]] * Table1[[#This Row],[Column4]]</f>
        <v>0</v>
      </c>
      <c r="BA16" s="2">
        <v>55</v>
      </c>
      <c r="BB16" s="15">
        <f>Table1[[#This Row],[Column5]] * (Table1[[#This Row],[Column2]]/100)</f>
        <v>0</v>
      </c>
      <c r="BC16" s="2">
        <v>3.3</v>
      </c>
      <c r="BD16" s="19">
        <f>Table1[[#This Row],[Column5]] + Table1[[#This Row],[Column6]] + Table1[[#This Row],[ShippingCost]]</f>
        <v>8</v>
      </c>
      <c r="BE16" s="2">
        <v>58.3</v>
      </c>
      <c r="BF16" s="2" t="s">
        <v>399</v>
      </c>
      <c r="BG16" s="2">
        <f>Table1[[#This Row],[DeliveryDate]]-Table1[[#This Row],[OrderDate]]</f>
        <v>5</v>
      </c>
      <c r="BH16" s="2">
        <v>5</v>
      </c>
      <c r="BI16" s="2" t="str">
        <f>IF(OR(Table1[[#This Row],[CustomerTier]]="Platinum", Table1[[#This Row],[Column7]]&gt;1000), "Yes", "No")</f>
        <v>No</v>
      </c>
      <c r="BJ16" s="2" t="s">
        <v>205</v>
      </c>
      <c r="BK16" s="2" t="str">
        <f>IF(Table1[[#This Row],[Quantity]]&gt;=10, "Yes", "No")</f>
        <v>No</v>
      </c>
      <c r="BL16" s="2" t="s">
        <v>205</v>
      </c>
      <c r="BM16" s="2">
        <f>IF(Table1[[#This Row],[Column12]]="Yes", 5%, 0)</f>
        <v>0</v>
      </c>
      <c r="BN16" s="2">
        <v>0</v>
      </c>
      <c r="BO16" s="2"/>
      <c r="BP16" s="2"/>
      <c r="BQ16" s="2" t="s">
        <v>254</v>
      </c>
      <c r="BR16" s="2" t="s">
        <v>408</v>
      </c>
      <c r="BS16" s="3" t="s">
        <v>409</v>
      </c>
    </row>
    <row r="17" spans="1:71" x14ac:dyDescent="0.25">
      <c r="A17" s="1" t="s">
        <v>410</v>
      </c>
      <c r="B17" s="11">
        <v>45680</v>
      </c>
      <c r="C17" s="11">
        <v>45683</v>
      </c>
      <c r="D17" s="2" t="s">
        <v>180</v>
      </c>
      <c r="E17" s="2" t="s">
        <v>212</v>
      </c>
      <c r="F17" s="2" t="s">
        <v>182</v>
      </c>
      <c r="G17" s="2" t="s">
        <v>183</v>
      </c>
      <c r="H17" s="2" t="s">
        <v>184</v>
      </c>
      <c r="I17" s="2" t="s">
        <v>185</v>
      </c>
      <c r="J17" s="2" t="s">
        <v>186</v>
      </c>
      <c r="K17" s="2" t="s">
        <v>184</v>
      </c>
      <c r="L17" s="2" t="s">
        <v>187</v>
      </c>
      <c r="M17" s="2" t="s">
        <v>188</v>
      </c>
      <c r="N17" s="2" t="s">
        <v>189</v>
      </c>
      <c r="O17" s="11">
        <v>43891</v>
      </c>
      <c r="P17" s="2" t="s">
        <v>411</v>
      </c>
      <c r="Q17" s="2" t="s">
        <v>412</v>
      </c>
      <c r="R17" s="2" t="s">
        <v>265</v>
      </c>
      <c r="S17" s="2" t="s">
        <v>266</v>
      </c>
      <c r="T17" s="2" t="s">
        <v>413</v>
      </c>
      <c r="U17" s="2" t="s">
        <v>414</v>
      </c>
      <c r="V17" s="13">
        <v>1400</v>
      </c>
      <c r="W17" s="13">
        <v>840</v>
      </c>
      <c r="X17" s="2">
        <v>45</v>
      </c>
      <c r="Y17" s="2" t="s">
        <v>288</v>
      </c>
      <c r="Z17" s="2" t="s">
        <v>880</v>
      </c>
      <c r="AA17" s="2">
        <v>8</v>
      </c>
      <c r="AB17" s="2">
        <v>2</v>
      </c>
      <c r="AC17" s="2">
        <v>7</v>
      </c>
      <c r="AD17" s="2">
        <v>1</v>
      </c>
      <c r="AE17" s="17">
        <f>Table1[[#This Row],[Discount%]]/100</f>
        <v>0.1</v>
      </c>
      <c r="AF17" s="2">
        <v>10</v>
      </c>
      <c r="AG17" s="17">
        <f>Table1[[#This Row],[Tax%]]/100</f>
        <v>7.0000000000000007E-2</v>
      </c>
      <c r="AH17" s="2">
        <v>7</v>
      </c>
      <c r="AI17" s="23">
        <v>50</v>
      </c>
      <c r="AJ17" s="2" t="s">
        <v>198</v>
      </c>
      <c r="AK17" s="2" t="s">
        <v>199</v>
      </c>
      <c r="AL17" s="2" t="s">
        <v>200</v>
      </c>
      <c r="AM17" s="2" t="s">
        <v>201</v>
      </c>
      <c r="AN17" s="2" t="s">
        <v>890</v>
      </c>
      <c r="AO17" s="2" t="s">
        <v>203</v>
      </c>
      <c r="AP17" s="2" t="s">
        <v>880</v>
      </c>
      <c r="AQ17" s="25">
        <v>0</v>
      </c>
      <c r="AR17" s="25">
        <f>IFERROR((Table1[[#This Row],[Column7]]-Table1[[#This Row],[Column8]])/Table1[[#This Row],[Column7]], 0)</f>
        <v>0.58237461792249279</v>
      </c>
      <c r="AS17" s="2">
        <v>40</v>
      </c>
      <c r="AT17" s="21">
        <f>Table1[[#This Row],[Quantity]] * Table1[[#This Row],[CostPrice]]</f>
        <v>840</v>
      </c>
      <c r="AU17" s="2">
        <v>840</v>
      </c>
      <c r="AV17" s="13">
        <f>Table1[[#This Row],[Quantity]] * Table1[[#This Row],[UnitPrice]]</f>
        <v>1400</v>
      </c>
      <c r="AW17" s="2">
        <v>1400</v>
      </c>
      <c r="AX17" s="21">
        <f>Table1[[#This Row],[Column3]] * (Table1[[#This Row],[Column1]]/100)</f>
        <v>1.4000000000000001</v>
      </c>
      <c r="AY17" s="2">
        <v>140</v>
      </c>
      <c r="AZ17" s="27">
        <f>Table1[[#This Row],[Column3]] * Table1[[#This Row],[Column4]]</f>
        <v>1960.0000000000002</v>
      </c>
      <c r="BA17" s="2">
        <v>1260</v>
      </c>
      <c r="BB17" s="15">
        <f>Table1[[#This Row],[Column5]] * (Table1[[#This Row],[Column2]]/100)</f>
        <v>1.3720000000000003</v>
      </c>
      <c r="BC17" s="2">
        <v>88.2</v>
      </c>
      <c r="BD17" s="19">
        <f>Table1[[#This Row],[Column5]] + Table1[[#This Row],[Column6]] + Table1[[#This Row],[ShippingCost]]</f>
        <v>2011.3720000000003</v>
      </c>
      <c r="BE17" s="2">
        <v>1348.2</v>
      </c>
      <c r="BF17" s="2" t="s">
        <v>180</v>
      </c>
      <c r="BG17" s="2">
        <f>Table1[[#This Row],[DeliveryDate]]-Table1[[#This Row],[OrderDate]]</f>
        <v>3</v>
      </c>
      <c r="BH17" s="2">
        <v>3</v>
      </c>
      <c r="BI17" s="2" t="str">
        <f>IF(OR(Table1[[#This Row],[CustomerTier]]="Platinum", Table1[[#This Row],[Column7]]&gt;1000), "Yes", "No")</f>
        <v>Yes</v>
      </c>
      <c r="BJ17" s="2" t="s">
        <v>205</v>
      </c>
      <c r="BK17" s="2" t="str">
        <f>IF(Table1[[#This Row],[Quantity]]&gt;=10, "Yes", "No")</f>
        <v>No</v>
      </c>
      <c r="BL17" s="2" t="s">
        <v>205</v>
      </c>
      <c r="BM17" s="2">
        <f>IF(Table1[[#This Row],[Column12]]="Yes", 5%, 0)</f>
        <v>0</v>
      </c>
      <c r="BN17" s="2">
        <v>0</v>
      </c>
      <c r="BO17" s="2" t="s">
        <v>291</v>
      </c>
      <c r="BP17" s="2" t="s">
        <v>292</v>
      </c>
      <c r="BQ17" s="2" t="s">
        <v>273</v>
      </c>
      <c r="BR17" s="2" t="s">
        <v>209</v>
      </c>
      <c r="BS17" s="3" t="s">
        <v>210</v>
      </c>
    </row>
    <row r="18" spans="1:71" x14ac:dyDescent="0.25">
      <c r="A18" s="1" t="s">
        <v>415</v>
      </c>
      <c r="B18" s="11">
        <v>45680</v>
      </c>
      <c r="C18" s="11">
        <v>45685</v>
      </c>
      <c r="D18" s="2" t="s">
        <v>180</v>
      </c>
      <c r="E18" s="2" t="s">
        <v>181</v>
      </c>
      <c r="F18" s="2" t="s">
        <v>295</v>
      </c>
      <c r="G18" s="2" t="s">
        <v>296</v>
      </c>
      <c r="H18" s="2" t="s">
        <v>297</v>
      </c>
      <c r="I18" s="2" t="s">
        <v>298</v>
      </c>
      <c r="J18" s="2" t="s">
        <v>299</v>
      </c>
      <c r="K18" s="2" t="s">
        <v>297</v>
      </c>
      <c r="L18" s="2" t="s">
        <v>187</v>
      </c>
      <c r="M18" s="2" t="s">
        <v>300</v>
      </c>
      <c r="N18" s="2" t="s">
        <v>301</v>
      </c>
      <c r="O18" s="11">
        <v>43332</v>
      </c>
      <c r="P18" s="2" t="s">
        <v>416</v>
      </c>
      <c r="Q18" s="2" t="s">
        <v>417</v>
      </c>
      <c r="R18" s="2" t="s">
        <v>418</v>
      </c>
      <c r="S18" s="2" t="s">
        <v>419</v>
      </c>
      <c r="T18" s="2" t="s">
        <v>420</v>
      </c>
      <c r="U18" s="2" t="s">
        <v>421</v>
      </c>
      <c r="V18" s="13">
        <v>45</v>
      </c>
      <c r="W18" s="13">
        <v>22</v>
      </c>
      <c r="X18" s="2">
        <v>1.2</v>
      </c>
      <c r="Y18" s="2"/>
      <c r="Z18" s="2" t="s">
        <v>880</v>
      </c>
      <c r="AA18" s="2">
        <v>80</v>
      </c>
      <c r="AB18" s="2">
        <v>20</v>
      </c>
      <c r="AC18" s="2">
        <v>2</v>
      </c>
      <c r="AD18" s="2">
        <v>3</v>
      </c>
      <c r="AE18" s="17">
        <f>Table1[[#This Row],[Discount%]]/100</f>
        <v>0.05</v>
      </c>
      <c r="AF18" s="2">
        <v>5</v>
      </c>
      <c r="AG18" s="17">
        <f>Table1[[#This Row],[Tax%]]/100</f>
        <v>0.04</v>
      </c>
      <c r="AH18" s="2">
        <v>4</v>
      </c>
      <c r="AI18" s="23">
        <v>5</v>
      </c>
      <c r="AJ18" s="2" t="s">
        <v>229</v>
      </c>
      <c r="AK18" s="2" t="s">
        <v>230</v>
      </c>
      <c r="AL18" s="2" t="s">
        <v>348</v>
      </c>
      <c r="AM18" s="2" t="s">
        <v>232</v>
      </c>
      <c r="AN18" s="2" t="s">
        <v>891</v>
      </c>
      <c r="AO18" s="2" t="s">
        <v>203</v>
      </c>
      <c r="AP18" s="2" t="s">
        <v>880</v>
      </c>
      <c r="AQ18" s="25">
        <v>0</v>
      </c>
      <c r="AR18" s="25">
        <f>IFERROR((Table1[[#This Row],[Column7]]-Table1[[#This Row],[Column8]])/Table1[[#This Row],[Column7]], 0)</f>
        <v>-3.6754974534478069</v>
      </c>
      <c r="AS18" s="2">
        <v>51.11</v>
      </c>
      <c r="AT18" s="21">
        <f>Table1[[#This Row],[Quantity]] * Table1[[#This Row],[CostPrice]]</f>
        <v>66</v>
      </c>
      <c r="AU18" s="2">
        <v>66</v>
      </c>
      <c r="AV18" s="13">
        <f>Table1[[#This Row],[Quantity]] * Table1[[#This Row],[UnitPrice]]</f>
        <v>135</v>
      </c>
      <c r="AW18" s="2">
        <v>135</v>
      </c>
      <c r="AX18" s="21">
        <f>Table1[[#This Row],[Column3]] * (Table1[[#This Row],[Column1]]/100)</f>
        <v>6.7500000000000004E-2</v>
      </c>
      <c r="AY18" s="2">
        <v>6.75</v>
      </c>
      <c r="AZ18" s="27">
        <f>Table1[[#This Row],[Column3]] * Table1[[#This Row],[Column4]]</f>
        <v>9.1125000000000007</v>
      </c>
      <c r="BA18" s="2">
        <v>128.25</v>
      </c>
      <c r="BB18" s="15">
        <f>Table1[[#This Row],[Column5]] * (Table1[[#This Row],[Column2]]/100)</f>
        <v>3.6450000000000007E-3</v>
      </c>
      <c r="BC18" s="2">
        <v>5.13</v>
      </c>
      <c r="BD18" s="19">
        <f>Table1[[#This Row],[Column5]] + Table1[[#This Row],[Column6]] + Table1[[#This Row],[ShippingCost]]</f>
        <v>14.116145000000001</v>
      </c>
      <c r="BE18" s="2">
        <v>133.38</v>
      </c>
      <c r="BF18" s="2" t="s">
        <v>180</v>
      </c>
      <c r="BG18" s="2">
        <f>Table1[[#This Row],[DeliveryDate]]-Table1[[#This Row],[OrderDate]]</f>
        <v>5</v>
      </c>
      <c r="BH18" s="2">
        <v>5</v>
      </c>
      <c r="BI18" s="2" t="str">
        <f>IF(OR(Table1[[#This Row],[CustomerTier]]="Platinum", Table1[[#This Row],[Column7]]&gt;1000), "Yes", "No")</f>
        <v>No</v>
      </c>
      <c r="BJ18" s="2" t="s">
        <v>205</v>
      </c>
      <c r="BK18" s="2" t="str">
        <f>IF(Table1[[#This Row],[Quantity]]&gt;=10, "Yes", "No")</f>
        <v>No</v>
      </c>
      <c r="BL18" s="2" t="s">
        <v>205</v>
      </c>
      <c r="BM18" s="2">
        <f>IF(Table1[[#This Row],[Column12]]="Yes", 5%, 0)</f>
        <v>0</v>
      </c>
      <c r="BN18" s="2">
        <v>0</v>
      </c>
      <c r="BO18" s="2" t="s">
        <v>206</v>
      </c>
      <c r="BP18" s="2" t="s">
        <v>207</v>
      </c>
      <c r="BQ18" s="2" t="s">
        <v>422</v>
      </c>
      <c r="BR18" s="2" t="s">
        <v>209</v>
      </c>
      <c r="BS18" s="3" t="s">
        <v>210</v>
      </c>
    </row>
    <row r="19" spans="1:71" x14ac:dyDescent="0.25">
      <c r="A19" s="1" t="s">
        <v>423</v>
      </c>
      <c r="B19" s="11">
        <v>45681</v>
      </c>
      <c r="C19" s="11">
        <v>45684</v>
      </c>
      <c r="D19" s="2" t="s">
        <v>180</v>
      </c>
      <c r="E19" s="2" t="s">
        <v>212</v>
      </c>
      <c r="F19" s="2" t="s">
        <v>311</v>
      </c>
      <c r="G19" s="2" t="s">
        <v>312</v>
      </c>
      <c r="H19" s="2" t="s">
        <v>184</v>
      </c>
      <c r="I19" s="2" t="s">
        <v>313</v>
      </c>
      <c r="J19" s="2" t="s">
        <v>314</v>
      </c>
      <c r="K19" s="2" t="s">
        <v>184</v>
      </c>
      <c r="L19" s="2" t="s">
        <v>218</v>
      </c>
      <c r="M19" s="2" t="s">
        <v>315</v>
      </c>
      <c r="N19" s="2" t="s">
        <v>316</v>
      </c>
      <c r="O19" s="11">
        <v>44745</v>
      </c>
      <c r="P19" s="2" t="s">
        <v>424</v>
      </c>
      <c r="Q19" s="2" t="s">
        <v>425</v>
      </c>
      <c r="R19" s="2" t="s">
        <v>265</v>
      </c>
      <c r="S19" s="2" t="s">
        <v>363</v>
      </c>
      <c r="T19" s="2" t="s">
        <v>267</v>
      </c>
      <c r="U19" s="2" t="s">
        <v>268</v>
      </c>
      <c r="V19" s="13">
        <v>12</v>
      </c>
      <c r="W19" s="13">
        <v>6</v>
      </c>
      <c r="X19" s="2">
        <v>0.2</v>
      </c>
      <c r="Y19" s="2" t="s">
        <v>269</v>
      </c>
      <c r="Z19" s="2" t="s">
        <v>880</v>
      </c>
      <c r="AA19" s="2">
        <v>150</v>
      </c>
      <c r="AB19" s="2">
        <v>30</v>
      </c>
      <c r="AC19" s="2">
        <v>1</v>
      </c>
      <c r="AD19" s="2">
        <v>10</v>
      </c>
      <c r="AE19" s="17">
        <f>Table1[[#This Row],[Discount%]]/100</f>
        <v>0</v>
      </c>
      <c r="AF19" s="2">
        <v>0</v>
      </c>
      <c r="AG19" s="17">
        <f>Table1[[#This Row],[Tax%]]/100</f>
        <v>0.05</v>
      </c>
      <c r="AH19" s="2">
        <v>5</v>
      </c>
      <c r="AI19" s="23">
        <v>0</v>
      </c>
      <c r="AJ19" s="2" t="s">
        <v>366</v>
      </c>
      <c r="AK19" s="2" t="s">
        <v>230</v>
      </c>
      <c r="AL19" s="2" t="s">
        <v>322</v>
      </c>
      <c r="AM19" s="2" t="s">
        <v>232</v>
      </c>
      <c r="AN19" s="2" t="s">
        <v>892</v>
      </c>
      <c r="AO19" s="2" t="s">
        <v>203</v>
      </c>
      <c r="AP19" s="2" t="s">
        <v>880</v>
      </c>
      <c r="AQ19" s="25">
        <v>0</v>
      </c>
      <c r="AR19" s="25">
        <f>IFERROR((Table1[[#This Row],[Column7]]-Table1[[#This Row],[Column8]])/Table1[[#This Row],[Column7]], 0)</f>
        <v>0</v>
      </c>
      <c r="AS19" s="2">
        <v>50</v>
      </c>
      <c r="AT19" s="21">
        <f>Table1[[#This Row],[Quantity]] * Table1[[#This Row],[CostPrice]]</f>
        <v>60</v>
      </c>
      <c r="AU19" s="2">
        <v>60</v>
      </c>
      <c r="AV19" s="13">
        <f>Table1[[#This Row],[Quantity]] * Table1[[#This Row],[UnitPrice]]</f>
        <v>120</v>
      </c>
      <c r="AW19" s="2">
        <v>120</v>
      </c>
      <c r="AX19" s="21">
        <f>Table1[[#This Row],[Column3]] * (Table1[[#This Row],[Column1]]/100)</f>
        <v>0</v>
      </c>
      <c r="AY19" s="2">
        <v>0</v>
      </c>
      <c r="AZ19" s="27">
        <f>Table1[[#This Row],[Column3]] * Table1[[#This Row],[Column4]]</f>
        <v>0</v>
      </c>
      <c r="BA19" s="2">
        <v>120</v>
      </c>
      <c r="BB19" s="15">
        <f>Table1[[#This Row],[Column5]] * (Table1[[#This Row],[Column2]]/100)</f>
        <v>0</v>
      </c>
      <c r="BC19" s="2">
        <v>6</v>
      </c>
      <c r="BD19" s="19">
        <f>Table1[[#This Row],[Column5]] + Table1[[#This Row],[Column6]] + Table1[[#This Row],[ShippingCost]]</f>
        <v>0</v>
      </c>
      <c r="BE19" s="2">
        <v>126</v>
      </c>
      <c r="BF19" s="2" t="s">
        <v>180</v>
      </c>
      <c r="BG19" s="2">
        <f>Table1[[#This Row],[DeliveryDate]]-Table1[[#This Row],[OrderDate]]</f>
        <v>3</v>
      </c>
      <c r="BH19" s="2">
        <v>3</v>
      </c>
      <c r="BI19" s="2" t="str">
        <f>IF(OR(Table1[[#This Row],[CustomerTier]]="Platinum", Table1[[#This Row],[Column7]]&gt;1000), "Yes", "No")</f>
        <v>No</v>
      </c>
      <c r="BJ19" s="2" t="s">
        <v>205</v>
      </c>
      <c r="BK19" s="2" t="str">
        <f>IF(Table1[[#This Row],[Quantity]]&gt;=10, "Yes", "No")</f>
        <v>Yes</v>
      </c>
      <c r="BL19" s="2" t="s">
        <v>204</v>
      </c>
      <c r="BM19" s="2">
        <f>IF(Table1[[#This Row],[Column12]]="Yes", 5%, 0)</f>
        <v>0.05</v>
      </c>
      <c r="BN19" s="2">
        <v>10</v>
      </c>
      <c r="BO19" s="2" t="s">
        <v>369</v>
      </c>
      <c r="BP19" s="2" t="s">
        <v>173</v>
      </c>
      <c r="BQ19" s="2" t="s">
        <v>273</v>
      </c>
      <c r="BR19" s="2" t="s">
        <v>209</v>
      </c>
      <c r="BS19" s="3" t="s">
        <v>210</v>
      </c>
    </row>
    <row r="20" spans="1:71" x14ac:dyDescent="0.25">
      <c r="A20" s="1" t="s">
        <v>426</v>
      </c>
      <c r="B20" s="11">
        <v>45681</v>
      </c>
      <c r="C20" s="11">
        <v>45686</v>
      </c>
      <c r="D20" s="2" t="s">
        <v>371</v>
      </c>
      <c r="E20" s="2" t="s">
        <v>181</v>
      </c>
      <c r="F20" s="2" t="s">
        <v>325</v>
      </c>
      <c r="G20" s="2" t="s">
        <v>326</v>
      </c>
      <c r="H20" s="2" t="s">
        <v>215</v>
      </c>
      <c r="I20" s="2" t="s">
        <v>327</v>
      </c>
      <c r="J20" s="2" t="s">
        <v>217</v>
      </c>
      <c r="K20" s="2" t="s">
        <v>215</v>
      </c>
      <c r="L20" s="2" t="s">
        <v>218</v>
      </c>
      <c r="M20" s="2" t="s">
        <v>328</v>
      </c>
      <c r="N20" s="2" t="s">
        <v>329</v>
      </c>
      <c r="O20" s="11">
        <v>44300</v>
      </c>
      <c r="P20" s="2" t="s">
        <v>427</v>
      </c>
      <c r="Q20" s="2" t="s">
        <v>428</v>
      </c>
      <c r="R20" s="2" t="s">
        <v>284</v>
      </c>
      <c r="S20" s="2" t="s">
        <v>429</v>
      </c>
      <c r="T20" s="2" t="s">
        <v>430</v>
      </c>
      <c r="U20" s="2" t="s">
        <v>431</v>
      </c>
      <c r="V20" s="13">
        <v>550</v>
      </c>
      <c r="W20" s="13">
        <v>330</v>
      </c>
      <c r="X20" s="2">
        <v>35</v>
      </c>
      <c r="Y20" s="2" t="s">
        <v>432</v>
      </c>
      <c r="Z20" s="2" t="s">
        <v>880</v>
      </c>
      <c r="AA20" s="2">
        <v>12</v>
      </c>
      <c r="AB20" s="2">
        <v>3</v>
      </c>
      <c r="AC20" s="2">
        <v>6</v>
      </c>
      <c r="AD20" s="2">
        <v>1</v>
      </c>
      <c r="AE20" s="17">
        <f>Table1[[#This Row],[Discount%]]/100</f>
        <v>0.05</v>
      </c>
      <c r="AF20" s="2">
        <v>5</v>
      </c>
      <c r="AG20" s="17">
        <f>Table1[[#This Row],[Tax%]]/100</f>
        <v>7.0000000000000007E-2</v>
      </c>
      <c r="AH20" s="2">
        <v>7</v>
      </c>
      <c r="AI20" s="23">
        <v>40</v>
      </c>
      <c r="AJ20" s="2" t="s">
        <v>198</v>
      </c>
      <c r="AK20" s="2" t="s">
        <v>199</v>
      </c>
      <c r="AL20" s="2" t="s">
        <v>367</v>
      </c>
      <c r="AM20" s="2" t="s">
        <v>271</v>
      </c>
      <c r="AN20" s="2" t="s">
        <v>893</v>
      </c>
      <c r="AO20" s="2" t="s">
        <v>203</v>
      </c>
      <c r="AP20" s="2" t="s">
        <v>880</v>
      </c>
      <c r="AQ20" s="25">
        <v>0</v>
      </c>
      <c r="AR20" s="25">
        <f>IFERROR((Table1[[#This Row],[Column7]]-Table1[[#This Row],[Column8]])/Table1[[#This Row],[Column7]], 0)</f>
        <v>-0.7245355022415696</v>
      </c>
      <c r="AS20" s="2">
        <v>40</v>
      </c>
      <c r="AT20" s="21">
        <f>Table1[[#This Row],[Quantity]] * Table1[[#This Row],[CostPrice]]</f>
        <v>330</v>
      </c>
      <c r="AU20" s="2">
        <v>330</v>
      </c>
      <c r="AV20" s="13">
        <f>Table1[[#This Row],[Quantity]] * Table1[[#This Row],[UnitPrice]]</f>
        <v>550</v>
      </c>
      <c r="AW20" s="2">
        <v>550</v>
      </c>
      <c r="AX20" s="21">
        <f>Table1[[#This Row],[Column3]] * (Table1[[#This Row],[Column1]]/100)</f>
        <v>0.27500000000000002</v>
      </c>
      <c r="AY20" s="2">
        <v>27.5</v>
      </c>
      <c r="AZ20" s="27">
        <f>Table1[[#This Row],[Column3]] * Table1[[#This Row],[Column4]]</f>
        <v>151.25</v>
      </c>
      <c r="BA20" s="2">
        <v>522.5</v>
      </c>
      <c r="BB20" s="15">
        <f>Table1[[#This Row],[Column5]] * (Table1[[#This Row],[Column2]]/100)</f>
        <v>0.10587500000000001</v>
      </c>
      <c r="BC20" s="2">
        <v>36.58</v>
      </c>
      <c r="BD20" s="19">
        <f>Table1[[#This Row],[Column5]] + Table1[[#This Row],[Column6]] + Table1[[#This Row],[ShippingCost]]</f>
        <v>191.355875</v>
      </c>
      <c r="BE20" s="2">
        <v>559.08000000000004</v>
      </c>
      <c r="BF20" s="2" t="s">
        <v>371</v>
      </c>
      <c r="BG20" s="2">
        <f>Table1[[#This Row],[DeliveryDate]]-Table1[[#This Row],[OrderDate]]</f>
        <v>5</v>
      </c>
      <c r="BH20" s="2">
        <v>5</v>
      </c>
      <c r="BI20" s="2" t="str">
        <f>IF(OR(Table1[[#This Row],[CustomerTier]]="Platinum", Table1[[#This Row],[Column7]]&gt;1000), "Yes", "No")</f>
        <v>No</v>
      </c>
      <c r="BJ20" s="2" t="s">
        <v>205</v>
      </c>
      <c r="BK20" s="2" t="str">
        <f>IF(Table1[[#This Row],[Quantity]]&gt;=10, "Yes", "No")</f>
        <v>No</v>
      </c>
      <c r="BL20" s="2" t="s">
        <v>205</v>
      </c>
      <c r="BM20" s="2">
        <f>IF(Table1[[#This Row],[Column12]]="Yes", 5%, 0)</f>
        <v>0</v>
      </c>
      <c r="BN20" s="2">
        <v>0</v>
      </c>
      <c r="BO20" s="2"/>
      <c r="BP20" s="2"/>
      <c r="BQ20" s="2" t="s">
        <v>293</v>
      </c>
      <c r="BR20" s="2" t="s">
        <v>209</v>
      </c>
      <c r="BS20" s="3" t="s">
        <v>210</v>
      </c>
    </row>
    <row r="21" spans="1:71" x14ac:dyDescent="0.25">
      <c r="A21" s="1" t="s">
        <v>433</v>
      </c>
      <c r="B21" s="11">
        <v>45682</v>
      </c>
      <c r="C21" s="11">
        <v>45685</v>
      </c>
      <c r="D21" s="2" t="s">
        <v>180</v>
      </c>
      <c r="E21" s="2" t="s">
        <v>212</v>
      </c>
      <c r="F21" s="2" t="s">
        <v>337</v>
      </c>
      <c r="G21" s="2" t="s">
        <v>338</v>
      </c>
      <c r="H21" s="2" t="s">
        <v>184</v>
      </c>
      <c r="I21" s="2" t="s">
        <v>339</v>
      </c>
      <c r="J21" s="2" t="s">
        <v>340</v>
      </c>
      <c r="K21" s="2" t="s">
        <v>184</v>
      </c>
      <c r="L21" s="2" t="s">
        <v>218</v>
      </c>
      <c r="M21" s="2" t="s">
        <v>341</v>
      </c>
      <c r="N21" s="2" t="s">
        <v>342</v>
      </c>
      <c r="O21" s="11">
        <v>44982</v>
      </c>
      <c r="P21" s="2" t="s">
        <v>434</v>
      </c>
      <c r="Q21" s="2" t="s">
        <v>435</v>
      </c>
      <c r="R21" s="2" t="s">
        <v>192</v>
      </c>
      <c r="S21" s="2" t="s">
        <v>436</v>
      </c>
      <c r="T21" s="2" t="s">
        <v>437</v>
      </c>
      <c r="U21" s="2" t="s">
        <v>438</v>
      </c>
      <c r="V21" s="13">
        <v>80</v>
      </c>
      <c r="W21" s="13">
        <v>44</v>
      </c>
      <c r="X21" s="2">
        <v>0.25</v>
      </c>
      <c r="Y21" s="2" t="s">
        <v>288</v>
      </c>
      <c r="Z21" s="2" t="s">
        <v>880</v>
      </c>
      <c r="AA21" s="2">
        <v>40</v>
      </c>
      <c r="AB21" s="2">
        <v>10</v>
      </c>
      <c r="AC21" s="2">
        <v>2</v>
      </c>
      <c r="AD21" s="2">
        <v>2</v>
      </c>
      <c r="AE21" s="17">
        <f>Table1[[#This Row],[Discount%]]/100</f>
        <v>0</v>
      </c>
      <c r="AF21" s="2">
        <v>0</v>
      </c>
      <c r="AG21" s="17">
        <f>Table1[[#This Row],[Tax%]]/100</f>
        <v>0.05</v>
      </c>
      <c r="AH21" s="2">
        <v>5</v>
      </c>
      <c r="AI21" s="23">
        <v>5</v>
      </c>
      <c r="AJ21" s="2" t="s">
        <v>249</v>
      </c>
      <c r="AK21" s="2" t="s">
        <v>230</v>
      </c>
      <c r="AL21" s="2" t="s">
        <v>231</v>
      </c>
      <c r="AM21" s="2" t="s">
        <v>232</v>
      </c>
      <c r="AN21" s="2" t="s">
        <v>894</v>
      </c>
      <c r="AO21" s="2" t="s">
        <v>203</v>
      </c>
      <c r="AP21" s="2" t="s">
        <v>880</v>
      </c>
      <c r="AQ21" s="25">
        <v>0</v>
      </c>
      <c r="AR21" s="25">
        <f>IFERROR((Table1[[#This Row],[Column7]]-Table1[[#This Row],[Column8]])/Table1[[#This Row],[Column7]], 0)</f>
        <v>-16.600000000000001</v>
      </c>
      <c r="AS21" s="2">
        <v>45</v>
      </c>
      <c r="AT21" s="21">
        <f>Table1[[#This Row],[Quantity]] * Table1[[#This Row],[CostPrice]]</f>
        <v>88</v>
      </c>
      <c r="AU21" s="2">
        <v>88</v>
      </c>
      <c r="AV21" s="13">
        <f>Table1[[#This Row],[Quantity]] * Table1[[#This Row],[UnitPrice]]</f>
        <v>160</v>
      </c>
      <c r="AW21" s="2">
        <v>160</v>
      </c>
      <c r="AX21" s="21">
        <f>Table1[[#This Row],[Column3]] * (Table1[[#This Row],[Column1]]/100)</f>
        <v>0</v>
      </c>
      <c r="AY21" s="2">
        <v>0</v>
      </c>
      <c r="AZ21" s="27">
        <f>Table1[[#This Row],[Column3]] * Table1[[#This Row],[Column4]]</f>
        <v>0</v>
      </c>
      <c r="BA21" s="2">
        <v>160</v>
      </c>
      <c r="BB21" s="15">
        <f>Table1[[#This Row],[Column5]] * (Table1[[#This Row],[Column2]]/100)</f>
        <v>0</v>
      </c>
      <c r="BC21" s="2">
        <v>8</v>
      </c>
      <c r="BD21" s="19">
        <f>Table1[[#This Row],[Column5]] + Table1[[#This Row],[Column6]] + Table1[[#This Row],[ShippingCost]]</f>
        <v>5</v>
      </c>
      <c r="BE21" s="2">
        <v>168</v>
      </c>
      <c r="BF21" s="2" t="s">
        <v>180</v>
      </c>
      <c r="BG21" s="2">
        <f>Table1[[#This Row],[DeliveryDate]]-Table1[[#This Row],[OrderDate]]</f>
        <v>3</v>
      </c>
      <c r="BH21" s="2">
        <v>3</v>
      </c>
      <c r="BI21" s="2" t="str">
        <f>IF(OR(Table1[[#This Row],[CustomerTier]]="Platinum", Table1[[#This Row],[Column7]]&gt;1000), "Yes", "No")</f>
        <v>No</v>
      </c>
      <c r="BJ21" s="2" t="s">
        <v>205</v>
      </c>
      <c r="BK21" s="2" t="str">
        <f>IF(Table1[[#This Row],[Quantity]]&gt;=10, "Yes", "No")</f>
        <v>No</v>
      </c>
      <c r="BL21" s="2" t="s">
        <v>205</v>
      </c>
      <c r="BM21" s="2">
        <f>IF(Table1[[#This Row],[Column12]]="Yes", 5%, 0)</f>
        <v>0</v>
      </c>
      <c r="BN21" s="2">
        <v>0</v>
      </c>
      <c r="BO21" s="2"/>
      <c r="BP21" s="2"/>
      <c r="BQ21" s="2" t="s">
        <v>208</v>
      </c>
      <c r="BR21" s="2" t="s">
        <v>209</v>
      </c>
      <c r="BS21" s="3" t="s">
        <v>210</v>
      </c>
    </row>
    <row r="22" spans="1:71" x14ac:dyDescent="0.25">
      <c r="A22" s="1" t="s">
        <v>439</v>
      </c>
      <c r="B22" s="11">
        <v>45682</v>
      </c>
      <c r="C22" s="11">
        <v>45687</v>
      </c>
      <c r="D22" s="2" t="s">
        <v>310</v>
      </c>
      <c r="E22" s="2" t="s">
        <v>181</v>
      </c>
      <c r="F22" s="2" t="s">
        <v>355</v>
      </c>
      <c r="G22" s="2" t="s">
        <v>356</v>
      </c>
      <c r="H22" s="2" t="s">
        <v>297</v>
      </c>
      <c r="I22" s="2" t="s">
        <v>357</v>
      </c>
      <c r="J22" s="2" t="s">
        <v>358</v>
      </c>
      <c r="K22" s="2" t="s">
        <v>297</v>
      </c>
      <c r="L22" s="2" t="s">
        <v>218</v>
      </c>
      <c r="M22" s="2" t="s">
        <v>359</v>
      </c>
      <c r="N22" s="2" t="s">
        <v>360</v>
      </c>
      <c r="O22" s="11">
        <v>44895</v>
      </c>
      <c r="P22" s="2" t="s">
        <v>440</v>
      </c>
      <c r="Q22" s="2" t="s">
        <v>441</v>
      </c>
      <c r="R22" s="2" t="s">
        <v>265</v>
      </c>
      <c r="S22" s="2" t="s">
        <v>442</v>
      </c>
      <c r="T22" s="2" t="s">
        <v>443</v>
      </c>
      <c r="U22" s="2" t="s">
        <v>444</v>
      </c>
      <c r="V22" s="13">
        <v>60</v>
      </c>
      <c r="W22" s="13">
        <v>33</v>
      </c>
      <c r="X22" s="2">
        <v>1.2</v>
      </c>
      <c r="Y22" s="2" t="s">
        <v>445</v>
      </c>
      <c r="Z22" s="2" t="s">
        <v>880</v>
      </c>
      <c r="AA22" s="2">
        <v>45</v>
      </c>
      <c r="AB22" s="2">
        <v>10</v>
      </c>
      <c r="AC22" s="2">
        <v>2</v>
      </c>
      <c r="AD22" s="2">
        <v>2</v>
      </c>
      <c r="AE22" s="17">
        <f>Table1[[#This Row],[Discount%]]/100</f>
        <v>0</v>
      </c>
      <c r="AF22" s="2">
        <v>0</v>
      </c>
      <c r="AG22" s="17">
        <f>Table1[[#This Row],[Tax%]]/100</f>
        <v>0.05</v>
      </c>
      <c r="AH22" s="2">
        <v>5</v>
      </c>
      <c r="AI22" s="23">
        <v>5</v>
      </c>
      <c r="AJ22" s="2" t="s">
        <v>229</v>
      </c>
      <c r="AK22" s="2" t="s">
        <v>230</v>
      </c>
      <c r="AL22" s="2" t="s">
        <v>334</v>
      </c>
      <c r="AM22" s="2" t="s">
        <v>196</v>
      </c>
      <c r="AN22" s="2" t="s">
        <v>895</v>
      </c>
      <c r="AO22" s="2" t="s">
        <v>203</v>
      </c>
      <c r="AP22" s="2" t="s">
        <v>880</v>
      </c>
      <c r="AQ22" s="25">
        <v>0</v>
      </c>
      <c r="AR22" s="25">
        <f>IFERROR((Table1[[#This Row],[Column7]]-Table1[[#This Row],[Column8]])/Table1[[#This Row],[Column7]], 0)</f>
        <v>-12.2</v>
      </c>
      <c r="AS22" s="2">
        <v>45</v>
      </c>
      <c r="AT22" s="21">
        <f>Table1[[#This Row],[Quantity]] * Table1[[#This Row],[CostPrice]]</f>
        <v>66</v>
      </c>
      <c r="AU22" s="2">
        <v>66</v>
      </c>
      <c r="AV22" s="13">
        <f>Table1[[#This Row],[Quantity]] * Table1[[#This Row],[UnitPrice]]</f>
        <v>120</v>
      </c>
      <c r="AW22" s="2">
        <v>120</v>
      </c>
      <c r="AX22" s="21">
        <f>Table1[[#This Row],[Column3]] * (Table1[[#This Row],[Column1]]/100)</f>
        <v>0</v>
      </c>
      <c r="AY22" s="2">
        <v>0</v>
      </c>
      <c r="AZ22" s="27">
        <f>Table1[[#This Row],[Column3]] * Table1[[#This Row],[Column4]]</f>
        <v>0</v>
      </c>
      <c r="BA22" s="2">
        <v>120</v>
      </c>
      <c r="BB22" s="15">
        <f>Table1[[#This Row],[Column5]] * (Table1[[#This Row],[Column2]]/100)</f>
        <v>0</v>
      </c>
      <c r="BC22" s="2">
        <v>6</v>
      </c>
      <c r="BD22" s="19">
        <f>Table1[[#This Row],[Column5]] + Table1[[#This Row],[Column6]] + Table1[[#This Row],[ShippingCost]]</f>
        <v>5</v>
      </c>
      <c r="BE22" s="2">
        <v>126</v>
      </c>
      <c r="BF22" s="2" t="s">
        <v>310</v>
      </c>
      <c r="BG22" s="2">
        <f>Table1[[#This Row],[DeliveryDate]]-Table1[[#This Row],[OrderDate]]</f>
        <v>5</v>
      </c>
      <c r="BH22" s="2">
        <v>5</v>
      </c>
      <c r="BI22" s="2" t="str">
        <f>IF(OR(Table1[[#This Row],[CustomerTier]]="Platinum", Table1[[#This Row],[Column7]]&gt;1000), "Yes", "No")</f>
        <v>No</v>
      </c>
      <c r="BJ22" s="2" t="s">
        <v>205</v>
      </c>
      <c r="BK22" s="2" t="str">
        <f>IF(Table1[[#This Row],[Quantity]]&gt;=10, "Yes", "No")</f>
        <v>No</v>
      </c>
      <c r="BL22" s="2" t="s">
        <v>205</v>
      </c>
      <c r="BM22" s="2">
        <f>IF(Table1[[#This Row],[Column12]]="Yes", 5%, 0)</f>
        <v>0</v>
      </c>
      <c r="BN22" s="2">
        <v>0</v>
      </c>
      <c r="BO22" s="2"/>
      <c r="BP22" s="2"/>
      <c r="BQ22" s="2" t="s">
        <v>273</v>
      </c>
      <c r="BR22" s="2" t="s">
        <v>209</v>
      </c>
      <c r="BS22" s="3" t="s">
        <v>210</v>
      </c>
    </row>
    <row r="23" spans="1:71" x14ac:dyDescent="0.25">
      <c r="A23" s="1" t="s">
        <v>446</v>
      </c>
      <c r="B23" s="11">
        <v>45683</v>
      </c>
      <c r="C23" s="11">
        <v>45686</v>
      </c>
      <c r="D23" s="2" t="s">
        <v>180</v>
      </c>
      <c r="E23" s="2" t="s">
        <v>212</v>
      </c>
      <c r="F23" s="2" t="s">
        <v>372</v>
      </c>
      <c r="G23" s="2" t="s">
        <v>373</v>
      </c>
      <c r="H23" s="2" t="s">
        <v>297</v>
      </c>
      <c r="I23" s="2" t="s">
        <v>374</v>
      </c>
      <c r="J23" s="2" t="s">
        <v>375</v>
      </c>
      <c r="K23" s="2" t="s">
        <v>297</v>
      </c>
      <c r="L23" s="2" t="s">
        <v>218</v>
      </c>
      <c r="M23" s="2" t="s">
        <v>376</v>
      </c>
      <c r="N23" s="2" t="s">
        <v>377</v>
      </c>
      <c r="O23" s="11">
        <v>45033</v>
      </c>
      <c r="P23" s="2" t="s">
        <v>447</v>
      </c>
      <c r="Q23" s="2" t="s">
        <v>448</v>
      </c>
      <c r="R23" s="2" t="s">
        <v>192</v>
      </c>
      <c r="S23" s="2" t="s">
        <v>449</v>
      </c>
      <c r="T23" s="2" t="s">
        <v>450</v>
      </c>
      <c r="U23" s="2" t="s">
        <v>451</v>
      </c>
      <c r="V23" s="13">
        <v>800</v>
      </c>
      <c r="W23" s="13">
        <v>480</v>
      </c>
      <c r="X23" s="2">
        <v>15</v>
      </c>
      <c r="Y23" s="2" t="s">
        <v>288</v>
      </c>
      <c r="Z23" s="2" t="s">
        <v>452</v>
      </c>
      <c r="AA23" s="2">
        <v>15</v>
      </c>
      <c r="AB23" s="2">
        <v>4</v>
      </c>
      <c r="AC23" s="2">
        <v>4</v>
      </c>
      <c r="AD23" s="2">
        <v>1</v>
      </c>
      <c r="AE23" s="17">
        <f>Table1[[#This Row],[Discount%]]/100</f>
        <v>0.2</v>
      </c>
      <c r="AF23" s="2">
        <v>20</v>
      </c>
      <c r="AG23" s="17">
        <f>Table1[[#This Row],[Tax%]]/100</f>
        <v>7.0000000000000007E-2</v>
      </c>
      <c r="AH23" s="2">
        <v>7</v>
      </c>
      <c r="AI23" s="23">
        <v>50</v>
      </c>
      <c r="AJ23" s="2" t="s">
        <v>198</v>
      </c>
      <c r="AK23" s="2" t="s">
        <v>199</v>
      </c>
      <c r="AL23" s="2" t="s">
        <v>290</v>
      </c>
      <c r="AM23" s="2" t="s">
        <v>201</v>
      </c>
      <c r="AN23" s="2" t="s">
        <v>896</v>
      </c>
      <c r="AO23" s="2" t="s">
        <v>203</v>
      </c>
      <c r="AP23" s="2" t="s">
        <v>880</v>
      </c>
      <c r="AQ23" s="25">
        <v>0</v>
      </c>
      <c r="AR23" s="25">
        <f>IFERROR((Table1[[#This Row],[Column7]]-Table1[[#This Row],[Column8]])/Table1[[#This Row],[Column7]], 0)</f>
        <v>0.63934071482670318</v>
      </c>
      <c r="AS23" s="2">
        <v>40</v>
      </c>
      <c r="AT23" s="21">
        <f>Table1[[#This Row],[Quantity]] * Table1[[#This Row],[CostPrice]]</f>
        <v>480</v>
      </c>
      <c r="AU23" s="2">
        <v>480</v>
      </c>
      <c r="AV23" s="13">
        <f>Table1[[#This Row],[Quantity]] * Table1[[#This Row],[UnitPrice]]</f>
        <v>800</v>
      </c>
      <c r="AW23" s="2">
        <v>800</v>
      </c>
      <c r="AX23" s="21">
        <f>Table1[[#This Row],[Column3]] * (Table1[[#This Row],[Column1]]/100)</f>
        <v>1.6</v>
      </c>
      <c r="AY23" s="2">
        <v>160</v>
      </c>
      <c r="AZ23" s="27">
        <f>Table1[[#This Row],[Column3]] * Table1[[#This Row],[Column4]]</f>
        <v>1280</v>
      </c>
      <c r="BA23" s="2">
        <v>640</v>
      </c>
      <c r="BB23" s="15">
        <f>Table1[[#This Row],[Column5]] * (Table1[[#This Row],[Column2]]/100)</f>
        <v>0.89600000000000013</v>
      </c>
      <c r="BC23" s="2">
        <v>44.8</v>
      </c>
      <c r="BD23" s="19">
        <f>Table1[[#This Row],[Column5]] + Table1[[#This Row],[Column6]] + Table1[[#This Row],[ShippingCost]]</f>
        <v>1330.896</v>
      </c>
      <c r="BE23" s="2">
        <v>684.8</v>
      </c>
      <c r="BF23" s="2" t="s">
        <v>180</v>
      </c>
      <c r="BG23" s="2">
        <f>Table1[[#This Row],[DeliveryDate]]-Table1[[#This Row],[OrderDate]]</f>
        <v>3</v>
      </c>
      <c r="BH23" s="2">
        <v>3</v>
      </c>
      <c r="BI23" s="2" t="str">
        <f>IF(OR(Table1[[#This Row],[CustomerTier]]="Platinum", Table1[[#This Row],[Column7]]&gt;1000), "Yes", "No")</f>
        <v>Yes</v>
      </c>
      <c r="BJ23" s="2" t="s">
        <v>204</v>
      </c>
      <c r="BK23" s="2" t="str">
        <f>IF(Table1[[#This Row],[Quantity]]&gt;=10, "Yes", "No")</f>
        <v>No</v>
      </c>
      <c r="BL23" s="2" t="s">
        <v>205</v>
      </c>
      <c r="BM23" s="2">
        <f>IF(Table1[[#This Row],[Column12]]="Yes", 5%, 0)</f>
        <v>0</v>
      </c>
      <c r="BN23" s="2">
        <v>0</v>
      </c>
      <c r="BO23" s="2" t="s">
        <v>352</v>
      </c>
      <c r="BP23" s="2" t="s">
        <v>353</v>
      </c>
      <c r="BQ23" s="2" t="s">
        <v>208</v>
      </c>
      <c r="BR23" s="2" t="s">
        <v>209</v>
      </c>
      <c r="BS23" s="3" t="s">
        <v>210</v>
      </c>
    </row>
    <row r="24" spans="1:71" x14ac:dyDescent="0.25">
      <c r="A24" s="1" t="s">
        <v>453</v>
      </c>
      <c r="B24" s="11">
        <v>45683</v>
      </c>
      <c r="C24" s="11">
        <v>45688</v>
      </c>
      <c r="D24" s="2" t="s">
        <v>180</v>
      </c>
      <c r="E24" s="2" t="s">
        <v>181</v>
      </c>
      <c r="F24" s="2" t="s">
        <v>213</v>
      </c>
      <c r="G24" s="2" t="s">
        <v>214</v>
      </c>
      <c r="H24" s="2" t="s">
        <v>215</v>
      </c>
      <c r="I24" s="2" t="s">
        <v>216</v>
      </c>
      <c r="J24" s="2" t="s">
        <v>217</v>
      </c>
      <c r="K24" s="2" t="s">
        <v>215</v>
      </c>
      <c r="L24" s="2" t="s">
        <v>218</v>
      </c>
      <c r="M24" s="2" t="s">
        <v>219</v>
      </c>
      <c r="N24" s="2" t="s">
        <v>220</v>
      </c>
      <c r="O24" s="11">
        <v>44362</v>
      </c>
      <c r="P24" s="2" t="s">
        <v>454</v>
      </c>
      <c r="Q24" s="2" t="s">
        <v>455</v>
      </c>
      <c r="R24" s="2" t="s">
        <v>192</v>
      </c>
      <c r="S24" s="2" t="s">
        <v>456</v>
      </c>
      <c r="T24" s="2" t="s">
        <v>457</v>
      </c>
      <c r="U24" s="2" t="s">
        <v>365</v>
      </c>
      <c r="V24" s="13">
        <v>95</v>
      </c>
      <c r="W24" s="13">
        <v>52</v>
      </c>
      <c r="X24" s="2">
        <v>0.8</v>
      </c>
      <c r="Y24" s="2" t="s">
        <v>288</v>
      </c>
      <c r="Z24" s="2" t="s">
        <v>880</v>
      </c>
      <c r="AA24" s="2">
        <v>35</v>
      </c>
      <c r="AB24" s="2">
        <v>8</v>
      </c>
      <c r="AC24" s="2">
        <v>2</v>
      </c>
      <c r="AD24" s="2">
        <v>1</v>
      </c>
      <c r="AE24" s="17">
        <f>Table1[[#This Row],[Discount%]]/100</f>
        <v>0</v>
      </c>
      <c r="AF24" s="2">
        <v>0</v>
      </c>
      <c r="AG24" s="17">
        <f>Table1[[#This Row],[Tax%]]/100</f>
        <v>0.06</v>
      </c>
      <c r="AH24" s="2">
        <v>6</v>
      </c>
      <c r="AI24" s="23">
        <v>8</v>
      </c>
      <c r="AJ24" s="2" t="s">
        <v>289</v>
      </c>
      <c r="AK24" s="2" t="s">
        <v>230</v>
      </c>
      <c r="AL24" s="2" t="s">
        <v>250</v>
      </c>
      <c r="AM24" s="2" t="s">
        <v>196</v>
      </c>
      <c r="AN24" s="2" t="s">
        <v>897</v>
      </c>
      <c r="AO24" s="2" t="s">
        <v>203</v>
      </c>
      <c r="AP24" s="2" t="s">
        <v>880</v>
      </c>
      <c r="AQ24" s="25">
        <v>0</v>
      </c>
      <c r="AR24" s="25">
        <f>IFERROR((Table1[[#This Row],[Column7]]-Table1[[#This Row],[Column8]])/Table1[[#This Row],[Column7]], 0)</f>
        <v>-5.5</v>
      </c>
      <c r="AS24" s="2">
        <v>45.26</v>
      </c>
      <c r="AT24" s="21">
        <f>Table1[[#This Row],[Quantity]] * Table1[[#This Row],[CostPrice]]</f>
        <v>52</v>
      </c>
      <c r="AU24" s="2">
        <v>52</v>
      </c>
      <c r="AV24" s="13">
        <f>Table1[[#This Row],[Quantity]] * Table1[[#This Row],[UnitPrice]]</f>
        <v>95</v>
      </c>
      <c r="AW24" s="2">
        <v>95</v>
      </c>
      <c r="AX24" s="21">
        <f>Table1[[#This Row],[Column3]] * (Table1[[#This Row],[Column1]]/100)</f>
        <v>0</v>
      </c>
      <c r="AY24" s="2">
        <v>0</v>
      </c>
      <c r="AZ24" s="27">
        <f>Table1[[#This Row],[Column3]] * Table1[[#This Row],[Column4]]</f>
        <v>0</v>
      </c>
      <c r="BA24" s="2">
        <v>95</v>
      </c>
      <c r="BB24" s="15">
        <f>Table1[[#This Row],[Column5]] * (Table1[[#This Row],[Column2]]/100)</f>
        <v>0</v>
      </c>
      <c r="BC24" s="2">
        <v>5.7</v>
      </c>
      <c r="BD24" s="19">
        <f>Table1[[#This Row],[Column5]] + Table1[[#This Row],[Column6]] + Table1[[#This Row],[ShippingCost]]</f>
        <v>8</v>
      </c>
      <c r="BE24" s="2">
        <v>100.7</v>
      </c>
      <c r="BF24" s="2" t="s">
        <v>180</v>
      </c>
      <c r="BG24" s="2">
        <f>Table1[[#This Row],[DeliveryDate]]-Table1[[#This Row],[OrderDate]]</f>
        <v>5</v>
      </c>
      <c r="BH24" s="2">
        <v>5</v>
      </c>
      <c r="BI24" s="2" t="str">
        <f>IF(OR(Table1[[#This Row],[CustomerTier]]="Platinum", Table1[[#This Row],[Column7]]&gt;1000), "Yes", "No")</f>
        <v>No</v>
      </c>
      <c r="BJ24" s="2" t="s">
        <v>205</v>
      </c>
      <c r="BK24" s="2" t="str">
        <f>IF(Table1[[#This Row],[Quantity]]&gt;=10, "Yes", "No")</f>
        <v>No</v>
      </c>
      <c r="BL24" s="2" t="s">
        <v>205</v>
      </c>
      <c r="BM24" s="2">
        <f>IF(Table1[[#This Row],[Column12]]="Yes", 5%, 0)</f>
        <v>0</v>
      </c>
      <c r="BN24" s="2">
        <v>0</v>
      </c>
      <c r="BO24" s="2" t="s">
        <v>206</v>
      </c>
      <c r="BP24" s="2"/>
      <c r="BQ24" s="2" t="s">
        <v>208</v>
      </c>
      <c r="BR24" s="2" t="s">
        <v>255</v>
      </c>
      <c r="BS24" s="3" t="s">
        <v>210</v>
      </c>
    </row>
    <row r="25" spans="1:71" x14ac:dyDescent="0.25">
      <c r="A25" s="1" t="s">
        <v>458</v>
      </c>
      <c r="B25" s="11">
        <v>45684</v>
      </c>
      <c r="C25" s="11">
        <v>45687</v>
      </c>
      <c r="D25" s="2" t="s">
        <v>180</v>
      </c>
      <c r="E25" s="2" t="s">
        <v>212</v>
      </c>
      <c r="F25" s="2" t="s">
        <v>257</v>
      </c>
      <c r="G25" s="2" t="s">
        <v>258</v>
      </c>
      <c r="H25" s="2" t="s">
        <v>184</v>
      </c>
      <c r="I25" s="2" t="s">
        <v>259</v>
      </c>
      <c r="J25" s="2" t="s">
        <v>260</v>
      </c>
      <c r="K25" s="2" t="s">
        <v>184</v>
      </c>
      <c r="L25" s="2" t="s">
        <v>218</v>
      </c>
      <c r="M25" s="2" t="s">
        <v>261</v>
      </c>
      <c r="N25" s="2" t="s">
        <v>262</v>
      </c>
      <c r="O25" s="11">
        <v>44140</v>
      </c>
      <c r="P25" s="2" t="s">
        <v>459</v>
      </c>
      <c r="Q25" s="2" t="s">
        <v>460</v>
      </c>
      <c r="R25" s="2" t="s">
        <v>223</v>
      </c>
      <c r="S25" s="2" t="s">
        <v>224</v>
      </c>
      <c r="T25" s="2" t="s">
        <v>225</v>
      </c>
      <c r="U25" s="2" t="s">
        <v>226</v>
      </c>
      <c r="V25" s="13">
        <v>45</v>
      </c>
      <c r="W25" s="13">
        <v>23</v>
      </c>
      <c r="X25" s="2">
        <v>0.6</v>
      </c>
      <c r="Y25" s="2" t="s">
        <v>461</v>
      </c>
      <c r="Z25" s="2" t="s">
        <v>347</v>
      </c>
      <c r="AA25" s="2">
        <v>80</v>
      </c>
      <c r="AB25" s="2">
        <v>20</v>
      </c>
      <c r="AC25" s="2">
        <v>2</v>
      </c>
      <c r="AD25" s="2">
        <v>3</v>
      </c>
      <c r="AE25" s="17">
        <f>Table1[[#This Row],[Discount%]]/100</f>
        <v>0</v>
      </c>
      <c r="AF25" s="2">
        <v>0</v>
      </c>
      <c r="AG25" s="17">
        <f>Table1[[#This Row],[Tax%]]/100</f>
        <v>0.05</v>
      </c>
      <c r="AH25" s="2">
        <v>5</v>
      </c>
      <c r="AI25" s="23">
        <v>5</v>
      </c>
      <c r="AJ25" s="2" t="s">
        <v>366</v>
      </c>
      <c r="AK25" s="2" t="s">
        <v>230</v>
      </c>
      <c r="AL25" s="2" t="s">
        <v>270</v>
      </c>
      <c r="AM25" s="2" t="s">
        <v>271</v>
      </c>
      <c r="AN25" s="2" t="s">
        <v>898</v>
      </c>
      <c r="AO25" s="2" t="s">
        <v>203</v>
      </c>
      <c r="AP25" s="2" t="s">
        <v>880</v>
      </c>
      <c r="AQ25" s="25">
        <v>0</v>
      </c>
      <c r="AR25" s="25">
        <f>IFERROR((Table1[[#This Row],[Column7]]-Table1[[#This Row],[Column8]])/Table1[[#This Row],[Column7]], 0)</f>
        <v>-12.8</v>
      </c>
      <c r="AS25" s="2">
        <v>48.89</v>
      </c>
      <c r="AT25" s="21">
        <f>Table1[[#This Row],[Quantity]] * Table1[[#This Row],[CostPrice]]</f>
        <v>69</v>
      </c>
      <c r="AU25" s="2">
        <v>69</v>
      </c>
      <c r="AV25" s="13">
        <f>Table1[[#This Row],[Quantity]] * Table1[[#This Row],[UnitPrice]]</f>
        <v>135</v>
      </c>
      <c r="AW25" s="2">
        <v>135</v>
      </c>
      <c r="AX25" s="21">
        <f>Table1[[#This Row],[Column3]] * (Table1[[#This Row],[Column1]]/100)</f>
        <v>0</v>
      </c>
      <c r="AY25" s="2">
        <v>0</v>
      </c>
      <c r="AZ25" s="27">
        <f>Table1[[#This Row],[Column3]] * Table1[[#This Row],[Column4]]</f>
        <v>0</v>
      </c>
      <c r="BA25" s="2">
        <v>135</v>
      </c>
      <c r="BB25" s="15">
        <f>Table1[[#This Row],[Column5]] * (Table1[[#This Row],[Column2]]/100)</f>
        <v>0</v>
      </c>
      <c r="BC25" s="2">
        <v>6.75</v>
      </c>
      <c r="BD25" s="19">
        <f>Table1[[#This Row],[Column5]] + Table1[[#This Row],[Column6]] + Table1[[#This Row],[ShippingCost]]</f>
        <v>5</v>
      </c>
      <c r="BE25" s="2">
        <v>141.75</v>
      </c>
      <c r="BF25" s="2" t="s">
        <v>180</v>
      </c>
      <c r="BG25" s="2">
        <f>Table1[[#This Row],[DeliveryDate]]-Table1[[#This Row],[OrderDate]]</f>
        <v>3</v>
      </c>
      <c r="BH25" s="2">
        <v>3</v>
      </c>
      <c r="BI25" s="2" t="str">
        <f>IF(OR(Table1[[#This Row],[CustomerTier]]="Platinum", Table1[[#This Row],[Column7]]&gt;1000), "Yes", "No")</f>
        <v>No</v>
      </c>
      <c r="BJ25" s="2" t="s">
        <v>205</v>
      </c>
      <c r="BK25" s="2" t="str">
        <f>IF(Table1[[#This Row],[Quantity]]&gt;=10, "Yes", "No")</f>
        <v>No</v>
      </c>
      <c r="BL25" s="2" t="s">
        <v>205</v>
      </c>
      <c r="BM25" s="2">
        <f>IF(Table1[[#This Row],[Column12]]="Yes", 5%, 0)</f>
        <v>0</v>
      </c>
      <c r="BN25" s="2">
        <v>0</v>
      </c>
      <c r="BO25" s="2"/>
      <c r="BP25" s="2"/>
      <c r="BQ25" s="2" t="s">
        <v>234</v>
      </c>
      <c r="BR25" s="2" t="s">
        <v>209</v>
      </c>
      <c r="BS25" s="3" t="s">
        <v>210</v>
      </c>
    </row>
    <row r="26" spans="1:71" x14ac:dyDescent="0.25">
      <c r="A26" s="1" t="s">
        <v>462</v>
      </c>
      <c r="B26" s="11">
        <v>45684</v>
      </c>
      <c r="C26" s="11">
        <v>45689</v>
      </c>
      <c r="D26" s="2" t="s">
        <v>371</v>
      </c>
      <c r="E26" s="2" t="s">
        <v>181</v>
      </c>
      <c r="F26" s="2" t="s">
        <v>275</v>
      </c>
      <c r="G26" s="2" t="s">
        <v>276</v>
      </c>
      <c r="H26" s="2" t="s">
        <v>277</v>
      </c>
      <c r="I26" s="2" t="s">
        <v>278</v>
      </c>
      <c r="J26" s="2" t="s">
        <v>279</v>
      </c>
      <c r="K26" s="2" t="s">
        <v>277</v>
      </c>
      <c r="L26" s="2" t="s">
        <v>187</v>
      </c>
      <c r="M26" s="2" t="s">
        <v>280</v>
      </c>
      <c r="N26" s="2" t="s">
        <v>281</v>
      </c>
      <c r="O26" s="11">
        <v>43508</v>
      </c>
      <c r="P26" s="2" t="s">
        <v>463</v>
      </c>
      <c r="Q26" s="2" t="s">
        <v>464</v>
      </c>
      <c r="R26" s="2" t="s">
        <v>265</v>
      </c>
      <c r="S26" s="2" t="s">
        <v>266</v>
      </c>
      <c r="T26" s="2" t="s">
        <v>465</v>
      </c>
      <c r="U26" s="2" t="s">
        <v>268</v>
      </c>
      <c r="V26" s="13">
        <v>150</v>
      </c>
      <c r="W26" s="13">
        <v>83</v>
      </c>
      <c r="X26" s="2">
        <v>20</v>
      </c>
      <c r="Y26" s="2" t="s">
        <v>288</v>
      </c>
      <c r="Z26" s="2" t="s">
        <v>466</v>
      </c>
      <c r="AA26" s="2">
        <v>20</v>
      </c>
      <c r="AB26" s="2">
        <v>5</v>
      </c>
      <c r="AC26" s="2">
        <v>3</v>
      </c>
      <c r="AD26" s="2">
        <v>1</v>
      </c>
      <c r="AE26" s="17">
        <f>Table1[[#This Row],[Discount%]]/100</f>
        <v>0</v>
      </c>
      <c r="AF26" s="2">
        <v>0</v>
      </c>
      <c r="AG26" s="17">
        <f>Table1[[#This Row],[Tax%]]/100</f>
        <v>0.06</v>
      </c>
      <c r="AH26" s="2">
        <v>6</v>
      </c>
      <c r="AI26" s="23">
        <v>15</v>
      </c>
      <c r="AJ26" s="2" t="s">
        <v>198</v>
      </c>
      <c r="AK26" s="2" t="s">
        <v>199</v>
      </c>
      <c r="AL26" s="2" t="s">
        <v>200</v>
      </c>
      <c r="AM26" s="2" t="s">
        <v>201</v>
      </c>
      <c r="AN26" s="2" t="s">
        <v>899</v>
      </c>
      <c r="AO26" s="2" t="s">
        <v>203</v>
      </c>
      <c r="AP26" s="2" t="s">
        <v>880</v>
      </c>
      <c r="AQ26" s="25">
        <v>0</v>
      </c>
      <c r="AR26" s="25">
        <f>IFERROR((Table1[[#This Row],[Column7]]-Table1[[#This Row],[Column8]])/Table1[[#This Row],[Column7]], 0)</f>
        <v>-4.5333333333333332</v>
      </c>
      <c r="AS26" s="2">
        <v>44.67</v>
      </c>
      <c r="AT26" s="21">
        <f>Table1[[#This Row],[Quantity]] * Table1[[#This Row],[CostPrice]]</f>
        <v>83</v>
      </c>
      <c r="AU26" s="2">
        <v>83</v>
      </c>
      <c r="AV26" s="13">
        <f>Table1[[#This Row],[Quantity]] * Table1[[#This Row],[UnitPrice]]</f>
        <v>150</v>
      </c>
      <c r="AW26" s="2">
        <v>150</v>
      </c>
      <c r="AX26" s="21">
        <f>Table1[[#This Row],[Column3]] * (Table1[[#This Row],[Column1]]/100)</f>
        <v>0</v>
      </c>
      <c r="AY26" s="2">
        <v>0</v>
      </c>
      <c r="AZ26" s="27">
        <f>Table1[[#This Row],[Column3]] * Table1[[#This Row],[Column4]]</f>
        <v>0</v>
      </c>
      <c r="BA26" s="2">
        <v>150</v>
      </c>
      <c r="BB26" s="15">
        <f>Table1[[#This Row],[Column5]] * (Table1[[#This Row],[Column2]]/100)</f>
        <v>0</v>
      </c>
      <c r="BC26" s="2">
        <v>9</v>
      </c>
      <c r="BD26" s="19">
        <f>Table1[[#This Row],[Column5]] + Table1[[#This Row],[Column6]] + Table1[[#This Row],[ShippingCost]]</f>
        <v>15</v>
      </c>
      <c r="BE26" s="2">
        <v>159</v>
      </c>
      <c r="BF26" s="2" t="s">
        <v>371</v>
      </c>
      <c r="BG26" s="2">
        <f>Table1[[#This Row],[DeliveryDate]]-Table1[[#This Row],[OrderDate]]</f>
        <v>5</v>
      </c>
      <c r="BH26" s="2">
        <v>5</v>
      </c>
      <c r="BI26" s="2" t="str">
        <f>IF(OR(Table1[[#This Row],[CustomerTier]]="Platinum", Table1[[#This Row],[Column7]]&gt;1000), "Yes", "No")</f>
        <v>Yes</v>
      </c>
      <c r="BJ26" s="2" t="s">
        <v>205</v>
      </c>
      <c r="BK26" s="2" t="str">
        <f>IF(Table1[[#This Row],[Quantity]]&gt;=10, "Yes", "No")</f>
        <v>No</v>
      </c>
      <c r="BL26" s="2" t="s">
        <v>205</v>
      </c>
      <c r="BM26" s="2">
        <f>IF(Table1[[#This Row],[Column12]]="Yes", 5%, 0)</f>
        <v>0</v>
      </c>
      <c r="BN26" s="2">
        <v>0</v>
      </c>
      <c r="BO26" s="2"/>
      <c r="BP26" s="2"/>
      <c r="BQ26" s="2" t="s">
        <v>273</v>
      </c>
      <c r="BR26" s="2" t="s">
        <v>209</v>
      </c>
      <c r="BS26" s="3" t="s">
        <v>210</v>
      </c>
    </row>
    <row r="27" spans="1:71" x14ac:dyDescent="0.25">
      <c r="A27" s="1" t="s">
        <v>467</v>
      </c>
      <c r="B27" s="11">
        <v>45685</v>
      </c>
      <c r="C27" s="11">
        <v>45688</v>
      </c>
      <c r="D27" s="2" t="s">
        <v>180</v>
      </c>
      <c r="E27" s="2" t="s">
        <v>212</v>
      </c>
      <c r="F27" s="2" t="s">
        <v>236</v>
      </c>
      <c r="G27" s="2" t="s">
        <v>237</v>
      </c>
      <c r="H27" s="2" t="s">
        <v>215</v>
      </c>
      <c r="I27" s="2" t="s">
        <v>238</v>
      </c>
      <c r="J27" s="2" t="s">
        <v>239</v>
      </c>
      <c r="K27" s="2" t="s">
        <v>215</v>
      </c>
      <c r="L27" s="2" t="s">
        <v>218</v>
      </c>
      <c r="M27" s="2" t="s">
        <v>240</v>
      </c>
      <c r="N27" s="2" t="s">
        <v>241</v>
      </c>
      <c r="O27" s="11">
        <v>44814</v>
      </c>
      <c r="P27" s="2" t="s">
        <v>468</v>
      </c>
      <c r="Q27" s="2" t="s">
        <v>469</v>
      </c>
      <c r="R27" s="2" t="s">
        <v>244</v>
      </c>
      <c r="S27" s="2" t="s">
        <v>245</v>
      </c>
      <c r="T27" s="2" t="s">
        <v>470</v>
      </c>
      <c r="U27" s="2" t="s">
        <v>247</v>
      </c>
      <c r="V27" s="13">
        <v>150</v>
      </c>
      <c r="W27" s="13">
        <v>83</v>
      </c>
      <c r="X27" s="2">
        <v>5.5</v>
      </c>
      <c r="Y27" s="2" t="s">
        <v>471</v>
      </c>
      <c r="Z27" s="2" t="s">
        <v>880</v>
      </c>
      <c r="AA27" s="2">
        <v>25</v>
      </c>
      <c r="AB27" s="2">
        <v>6</v>
      </c>
      <c r="AC27" s="2">
        <v>3</v>
      </c>
      <c r="AD27" s="2">
        <v>1</v>
      </c>
      <c r="AE27" s="17">
        <f>Table1[[#This Row],[Discount%]]/100</f>
        <v>0.05</v>
      </c>
      <c r="AF27" s="2">
        <v>5</v>
      </c>
      <c r="AG27" s="17">
        <f>Table1[[#This Row],[Tax%]]/100</f>
        <v>0.06</v>
      </c>
      <c r="AH27" s="2">
        <v>6</v>
      </c>
      <c r="AI27" s="23">
        <v>12</v>
      </c>
      <c r="AJ27" s="2" t="s">
        <v>249</v>
      </c>
      <c r="AK27" s="2" t="s">
        <v>230</v>
      </c>
      <c r="AL27" s="2" t="s">
        <v>307</v>
      </c>
      <c r="AM27" s="2" t="s">
        <v>196</v>
      </c>
      <c r="AN27" s="2" t="s">
        <v>900</v>
      </c>
      <c r="AO27" s="2" t="s">
        <v>350</v>
      </c>
      <c r="AP27" s="2" t="s">
        <v>472</v>
      </c>
      <c r="AQ27" s="25">
        <v>15</v>
      </c>
      <c r="AR27" s="25">
        <f>IFERROR((Table1[[#This Row],[Column7]]-Table1[[#This Row],[Column8]])/Table1[[#This Row],[Column7]], 0)</f>
        <v>-2.5688563535317703</v>
      </c>
      <c r="AS27" s="2">
        <v>44.67</v>
      </c>
      <c r="AT27" s="21">
        <f>Table1[[#This Row],[Quantity]] * Table1[[#This Row],[CostPrice]]</f>
        <v>83</v>
      </c>
      <c r="AU27" s="2">
        <v>83</v>
      </c>
      <c r="AV27" s="13">
        <f>Table1[[#This Row],[Quantity]] * Table1[[#This Row],[UnitPrice]]</f>
        <v>150</v>
      </c>
      <c r="AW27" s="2">
        <v>150</v>
      </c>
      <c r="AX27" s="21">
        <f>Table1[[#This Row],[Column3]] * (Table1[[#This Row],[Column1]]/100)</f>
        <v>7.4999999999999997E-2</v>
      </c>
      <c r="AY27" s="2">
        <v>7.5</v>
      </c>
      <c r="AZ27" s="27">
        <f>Table1[[#This Row],[Column3]] * Table1[[#This Row],[Column4]]</f>
        <v>11.25</v>
      </c>
      <c r="BA27" s="2">
        <v>142.5</v>
      </c>
      <c r="BB27" s="15">
        <f>Table1[[#This Row],[Column5]] * (Table1[[#This Row],[Column2]]/100)</f>
        <v>6.7499999999999991E-3</v>
      </c>
      <c r="BC27" s="2">
        <v>8.5500000000000007</v>
      </c>
      <c r="BD27" s="19">
        <f>Table1[[#This Row],[Column5]] + Table1[[#This Row],[Column6]] + Table1[[#This Row],[ShippingCost]]</f>
        <v>23.25675</v>
      </c>
      <c r="BE27" s="2">
        <v>151.05000000000001</v>
      </c>
      <c r="BF27" s="2" t="s">
        <v>180</v>
      </c>
      <c r="BG27" s="2">
        <f>Table1[[#This Row],[DeliveryDate]]-Table1[[#This Row],[OrderDate]]</f>
        <v>3</v>
      </c>
      <c r="BH27" s="2">
        <v>3</v>
      </c>
      <c r="BI27" s="2" t="str">
        <f>IF(OR(Table1[[#This Row],[CustomerTier]]="Platinum", Table1[[#This Row],[Column7]]&gt;1000), "Yes", "No")</f>
        <v>No</v>
      </c>
      <c r="BJ27" s="2" t="s">
        <v>205</v>
      </c>
      <c r="BK27" s="2" t="str">
        <f>IF(Table1[[#This Row],[Quantity]]&gt;=10, "Yes", "No")</f>
        <v>No</v>
      </c>
      <c r="BL27" s="2" t="s">
        <v>205</v>
      </c>
      <c r="BM27" s="2">
        <f>IF(Table1[[#This Row],[Column12]]="Yes", 5%, 0)</f>
        <v>0</v>
      </c>
      <c r="BN27" s="2">
        <v>0</v>
      </c>
      <c r="BO27" s="2" t="s">
        <v>252</v>
      </c>
      <c r="BP27" s="2" t="s">
        <v>253</v>
      </c>
      <c r="BQ27" s="2" t="s">
        <v>254</v>
      </c>
      <c r="BR27" s="2" t="s">
        <v>209</v>
      </c>
      <c r="BS27" s="3" t="s">
        <v>210</v>
      </c>
    </row>
    <row r="28" spans="1:71" x14ac:dyDescent="0.25">
      <c r="A28" s="1" t="s">
        <v>473</v>
      </c>
      <c r="B28" s="11">
        <v>45685</v>
      </c>
      <c r="C28" s="11">
        <v>45690</v>
      </c>
      <c r="D28" s="2" t="s">
        <v>180</v>
      </c>
      <c r="E28" s="2" t="s">
        <v>181</v>
      </c>
      <c r="F28" s="2" t="s">
        <v>182</v>
      </c>
      <c r="G28" s="2" t="s">
        <v>183</v>
      </c>
      <c r="H28" s="2" t="s">
        <v>184</v>
      </c>
      <c r="I28" s="2" t="s">
        <v>185</v>
      </c>
      <c r="J28" s="2" t="s">
        <v>186</v>
      </c>
      <c r="K28" s="2" t="s">
        <v>184</v>
      </c>
      <c r="L28" s="2" t="s">
        <v>187</v>
      </c>
      <c r="M28" s="2" t="s">
        <v>188</v>
      </c>
      <c r="N28" s="2" t="s">
        <v>189</v>
      </c>
      <c r="O28" s="11">
        <v>43891</v>
      </c>
      <c r="P28" s="2" t="s">
        <v>474</v>
      </c>
      <c r="Q28" s="2" t="s">
        <v>475</v>
      </c>
      <c r="R28" s="2" t="s">
        <v>285</v>
      </c>
      <c r="S28" s="2" t="s">
        <v>363</v>
      </c>
      <c r="T28" s="2" t="s">
        <v>476</v>
      </c>
      <c r="U28" s="2" t="s">
        <v>287</v>
      </c>
      <c r="V28" s="13">
        <v>28</v>
      </c>
      <c r="W28" s="13">
        <v>14</v>
      </c>
      <c r="X28" s="2">
        <v>0.5</v>
      </c>
      <c r="Y28" s="2" t="s">
        <v>288</v>
      </c>
      <c r="Z28" s="2" t="s">
        <v>880</v>
      </c>
      <c r="AA28" s="2">
        <v>100</v>
      </c>
      <c r="AB28" s="2">
        <v>25</v>
      </c>
      <c r="AC28" s="2">
        <v>1</v>
      </c>
      <c r="AD28" s="2">
        <v>5</v>
      </c>
      <c r="AE28" s="17">
        <f>Table1[[#This Row],[Discount%]]/100</f>
        <v>0</v>
      </c>
      <c r="AF28" s="2">
        <v>0</v>
      </c>
      <c r="AG28" s="17">
        <f>Table1[[#This Row],[Tax%]]/100</f>
        <v>0.05</v>
      </c>
      <c r="AH28" s="2">
        <v>5</v>
      </c>
      <c r="AI28" s="23">
        <v>4</v>
      </c>
      <c r="AJ28" s="2" t="s">
        <v>229</v>
      </c>
      <c r="AK28" s="2" t="s">
        <v>230</v>
      </c>
      <c r="AL28" s="2" t="s">
        <v>348</v>
      </c>
      <c r="AM28" s="2" t="s">
        <v>232</v>
      </c>
      <c r="AN28" s="2" t="s">
        <v>901</v>
      </c>
      <c r="AO28" s="2" t="s">
        <v>203</v>
      </c>
      <c r="AP28" s="2" t="s">
        <v>880</v>
      </c>
      <c r="AQ28" s="25">
        <v>0</v>
      </c>
      <c r="AR28" s="25">
        <f>IFERROR((Table1[[#This Row],[Column7]]-Table1[[#This Row],[Column8]])/Table1[[#This Row],[Column7]], 0)</f>
        <v>-16.5</v>
      </c>
      <c r="AS28" s="2">
        <v>50</v>
      </c>
      <c r="AT28" s="21">
        <f>Table1[[#This Row],[Quantity]] * Table1[[#This Row],[CostPrice]]</f>
        <v>70</v>
      </c>
      <c r="AU28" s="2">
        <v>70</v>
      </c>
      <c r="AV28" s="13">
        <f>Table1[[#This Row],[Quantity]] * Table1[[#This Row],[UnitPrice]]</f>
        <v>140</v>
      </c>
      <c r="AW28" s="2">
        <v>140</v>
      </c>
      <c r="AX28" s="21">
        <f>Table1[[#This Row],[Column3]] * (Table1[[#This Row],[Column1]]/100)</f>
        <v>0</v>
      </c>
      <c r="AY28" s="2">
        <v>0</v>
      </c>
      <c r="AZ28" s="27">
        <f>Table1[[#This Row],[Column3]] * Table1[[#This Row],[Column4]]</f>
        <v>0</v>
      </c>
      <c r="BA28" s="2">
        <v>140</v>
      </c>
      <c r="BB28" s="15">
        <f>Table1[[#This Row],[Column5]] * (Table1[[#This Row],[Column2]]/100)</f>
        <v>0</v>
      </c>
      <c r="BC28" s="2">
        <v>7</v>
      </c>
      <c r="BD28" s="19">
        <f>Table1[[#This Row],[Column5]] + Table1[[#This Row],[Column6]] + Table1[[#This Row],[ShippingCost]]</f>
        <v>4</v>
      </c>
      <c r="BE28" s="2">
        <v>147</v>
      </c>
      <c r="BF28" s="2" t="s">
        <v>180</v>
      </c>
      <c r="BG28" s="2">
        <f>Table1[[#This Row],[DeliveryDate]]-Table1[[#This Row],[OrderDate]]</f>
        <v>5</v>
      </c>
      <c r="BH28" s="2">
        <v>5</v>
      </c>
      <c r="BI28" s="2" t="str">
        <f>IF(OR(Table1[[#This Row],[CustomerTier]]="Platinum", Table1[[#This Row],[Column7]]&gt;1000), "Yes", "No")</f>
        <v>No</v>
      </c>
      <c r="BJ28" s="2" t="s">
        <v>205</v>
      </c>
      <c r="BK28" s="2" t="str">
        <f>IF(Table1[[#This Row],[Quantity]]&gt;=10, "Yes", "No")</f>
        <v>No</v>
      </c>
      <c r="BL28" s="2" t="s">
        <v>204</v>
      </c>
      <c r="BM28" s="2">
        <f>IF(Table1[[#This Row],[Column12]]="Yes", 5%, 0)</f>
        <v>0</v>
      </c>
      <c r="BN28" s="2">
        <v>5</v>
      </c>
      <c r="BO28" s="2" t="s">
        <v>369</v>
      </c>
      <c r="BP28" s="2" t="s">
        <v>173</v>
      </c>
      <c r="BQ28" s="2" t="s">
        <v>293</v>
      </c>
      <c r="BR28" s="2" t="s">
        <v>209</v>
      </c>
      <c r="BS28" s="3" t="s">
        <v>210</v>
      </c>
    </row>
    <row r="29" spans="1:71" x14ac:dyDescent="0.25">
      <c r="A29" s="1" t="s">
        <v>477</v>
      </c>
      <c r="B29" s="11">
        <v>45686</v>
      </c>
      <c r="C29" s="11">
        <v>45689</v>
      </c>
      <c r="D29" s="2" t="s">
        <v>180</v>
      </c>
      <c r="E29" s="2" t="s">
        <v>212</v>
      </c>
      <c r="F29" s="2" t="s">
        <v>295</v>
      </c>
      <c r="G29" s="2" t="s">
        <v>296</v>
      </c>
      <c r="H29" s="2" t="s">
        <v>297</v>
      </c>
      <c r="I29" s="2" t="s">
        <v>298</v>
      </c>
      <c r="J29" s="2" t="s">
        <v>299</v>
      </c>
      <c r="K29" s="2" t="s">
        <v>297</v>
      </c>
      <c r="L29" s="2" t="s">
        <v>187</v>
      </c>
      <c r="M29" s="2" t="s">
        <v>300</v>
      </c>
      <c r="N29" s="2" t="s">
        <v>301</v>
      </c>
      <c r="O29" s="11">
        <v>43332</v>
      </c>
      <c r="P29" s="2" t="s">
        <v>478</v>
      </c>
      <c r="Q29" s="2" t="s">
        <v>479</v>
      </c>
      <c r="R29" s="2" t="s">
        <v>244</v>
      </c>
      <c r="S29" s="2" t="s">
        <v>332</v>
      </c>
      <c r="T29" s="2" t="s">
        <v>480</v>
      </c>
      <c r="U29" s="2" t="s">
        <v>247</v>
      </c>
      <c r="V29" s="13">
        <v>45</v>
      </c>
      <c r="W29" s="13">
        <v>24</v>
      </c>
      <c r="X29" s="2">
        <v>1.2</v>
      </c>
      <c r="Y29" s="2" t="s">
        <v>382</v>
      </c>
      <c r="Z29" s="2" t="s">
        <v>880</v>
      </c>
      <c r="AA29" s="2">
        <v>40</v>
      </c>
      <c r="AB29" s="2">
        <v>10</v>
      </c>
      <c r="AC29" s="2">
        <v>2</v>
      </c>
      <c r="AD29" s="2">
        <v>2</v>
      </c>
      <c r="AE29" s="17">
        <f>Table1[[#This Row],[Discount%]]/100</f>
        <v>0</v>
      </c>
      <c r="AF29" s="2">
        <v>0</v>
      </c>
      <c r="AG29" s="17">
        <f>Table1[[#This Row],[Tax%]]/100</f>
        <v>0.05</v>
      </c>
      <c r="AH29" s="2">
        <v>5</v>
      </c>
      <c r="AI29" s="23">
        <v>6</v>
      </c>
      <c r="AJ29" s="2" t="s">
        <v>198</v>
      </c>
      <c r="AK29" s="2" t="s">
        <v>230</v>
      </c>
      <c r="AL29" s="2" t="s">
        <v>231</v>
      </c>
      <c r="AM29" s="2" t="s">
        <v>232</v>
      </c>
      <c r="AN29" s="2" t="s">
        <v>902</v>
      </c>
      <c r="AO29" s="2" t="s">
        <v>203</v>
      </c>
      <c r="AP29" s="2" t="s">
        <v>880</v>
      </c>
      <c r="AQ29" s="25">
        <v>0</v>
      </c>
      <c r="AR29" s="25">
        <f>IFERROR((Table1[[#This Row],[Column7]]-Table1[[#This Row],[Column8]])/Table1[[#This Row],[Column7]], 0)</f>
        <v>-7</v>
      </c>
      <c r="AS29" s="2">
        <v>46.67</v>
      </c>
      <c r="AT29" s="21">
        <f>Table1[[#This Row],[Quantity]] * Table1[[#This Row],[CostPrice]]</f>
        <v>48</v>
      </c>
      <c r="AU29" s="2">
        <v>48</v>
      </c>
      <c r="AV29" s="13">
        <f>Table1[[#This Row],[Quantity]] * Table1[[#This Row],[UnitPrice]]</f>
        <v>90</v>
      </c>
      <c r="AW29" s="2">
        <v>90</v>
      </c>
      <c r="AX29" s="21">
        <f>Table1[[#This Row],[Column3]] * (Table1[[#This Row],[Column1]]/100)</f>
        <v>0</v>
      </c>
      <c r="AY29" s="2">
        <v>0</v>
      </c>
      <c r="AZ29" s="27">
        <f>Table1[[#This Row],[Column3]] * Table1[[#This Row],[Column4]]</f>
        <v>0</v>
      </c>
      <c r="BA29" s="2">
        <v>90</v>
      </c>
      <c r="BB29" s="15">
        <f>Table1[[#This Row],[Column5]] * (Table1[[#This Row],[Column2]]/100)</f>
        <v>0</v>
      </c>
      <c r="BC29" s="2">
        <v>4.5</v>
      </c>
      <c r="BD29" s="19">
        <f>Table1[[#This Row],[Column5]] + Table1[[#This Row],[Column6]] + Table1[[#This Row],[ShippingCost]]</f>
        <v>6</v>
      </c>
      <c r="BE29" s="2">
        <v>94.5</v>
      </c>
      <c r="BF29" s="2" t="s">
        <v>180</v>
      </c>
      <c r="BG29" s="2">
        <f>Table1[[#This Row],[DeliveryDate]]-Table1[[#This Row],[OrderDate]]</f>
        <v>3</v>
      </c>
      <c r="BH29" s="2">
        <v>3</v>
      </c>
      <c r="BI29" s="2" t="str">
        <f>IF(OR(Table1[[#This Row],[CustomerTier]]="Platinum", Table1[[#This Row],[Column7]]&gt;1000), "Yes", "No")</f>
        <v>No</v>
      </c>
      <c r="BJ29" s="2" t="s">
        <v>205</v>
      </c>
      <c r="BK29" s="2" t="str">
        <f>IF(Table1[[#This Row],[Quantity]]&gt;=10, "Yes", "No")</f>
        <v>No</v>
      </c>
      <c r="BL29" s="2" t="s">
        <v>205</v>
      </c>
      <c r="BM29" s="2">
        <f>IF(Table1[[#This Row],[Column12]]="Yes", 5%, 0)</f>
        <v>0</v>
      </c>
      <c r="BN29" s="2">
        <v>0</v>
      </c>
      <c r="BO29" s="2"/>
      <c r="BP29" s="2"/>
      <c r="BQ29" s="2" t="s">
        <v>254</v>
      </c>
      <c r="BR29" s="2" t="s">
        <v>209</v>
      </c>
      <c r="BS29" s="3" t="s">
        <v>210</v>
      </c>
    </row>
    <row r="30" spans="1:71" x14ac:dyDescent="0.25">
      <c r="A30" s="1" t="s">
        <v>481</v>
      </c>
      <c r="B30" s="11">
        <v>45686</v>
      </c>
      <c r="C30" s="11">
        <v>45691</v>
      </c>
      <c r="D30" s="2" t="s">
        <v>310</v>
      </c>
      <c r="E30" s="2" t="s">
        <v>181</v>
      </c>
      <c r="F30" s="2" t="s">
        <v>311</v>
      </c>
      <c r="G30" s="2" t="s">
        <v>312</v>
      </c>
      <c r="H30" s="2" t="s">
        <v>184</v>
      </c>
      <c r="I30" s="2" t="s">
        <v>313</v>
      </c>
      <c r="J30" s="2" t="s">
        <v>314</v>
      </c>
      <c r="K30" s="2" t="s">
        <v>184</v>
      </c>
      <c r="L30" s="2" t="s">
        <v>218</v>
      </c>
      <c r="M30" s="2" t="s">
        <v>315</v>
      </c>
      <c r="N30" s="2" t="s">
        <v>316</v>
      </c>
      <c r="O30" s="11">
        <v>44745</v>
      </c>
      <c r="P30" s="2" t="s">
        <v>482</v>
      </c>
      <c r="Q30" s="2" t="s">
        <v>483</v>
      </c>
      <c r="R30" s="2" t="s">
        <v>265</v>
      </c>
      <c r="S30" s="2" t="s">
        <v>363</v>
      </c>
      <c r="T30" s="2" t="s">
        <v>267</v>
      </c>
      <c r="U30" s="2" t="s">
        <v>268</v>
      </c>
      <c r="V30" s="13">
        <v>25</v>
      </c>
      <c r="W30" s="13">
        <v>13</v>
      </c>
      <c r="X30" s="2">
        <v>0.5</v>
      </c>
      <c r="Y30" s="2" t="s">
        <v>484</v>
      </c>
      <c r="Z30" s="2" t="s">
        <v>880</v>
      </c>
      <c r="AA30" s="2">
        <v>70</v>
      </c>
      <c r="AB30" s="2">
        <v>15</v>
      </c>
      <c r="AC30" s="2">
        <v>1</v>
      </c>
      <c r="AD30" s="2">
        <v>3</v>
      </c>
      <c r="AE30" s="17">
        <f>Table1[[#This Row],[Discount%]]/100</f>
        <v>0</v>
      </c>
      <c r="AF30" s="2">
        <v>0</v>
      </c>
      <c r="AG30" s="17">
        <f>Table1[[#This Row],[Tax%]]/100</f>
        <v>0.05</v>
      </c>
      <c r="AH30" s="2">
        <v>5</v>
      </c>
      <c r="AI30" s="23">
        <v>3</v>
      </c>
      <c r="AJ30" s="2" t="s">
        <v>249</v>
      </c>
      <c r="AK30" s="2" t="s">
        <v>230</v>
      </c>
      <c r="AL30" s="2" t="s">
        <v>322</v>
      </c>
      <c r="AM30" s="2" t="s">
        <v>232</v>
      </c>
      <c r="AN30" s="2" t="s">
        <v>903</v>
      </c>
      <c r="AO30" s="2" t="s">
        <v>203</v>
      </c>
      <c r="AP30" s="2" t="s">
        <v>880</v>
      </c>
      <c r="AQ30" s="25">
        <v>0</v>
      </c>
      <c r="AR30" s="25">
        <f>IFERROR((Table1[[#This Row],[Column7]]-Table1[[#This Row],[Column8]])/Table1[[#This Row],[Column7]], 0)</f>
        <v>-12</v>
      </c>
      <c r="AS30" s="2">
        <v>48</v>
      </c>
      <c r="AT30" s="21">
        <f>Table1[[#This Row],[Quantity]] * Table1[[#This Row],[CostPrice]]</f>
        <v>39</v>
      </c>
      <c r="AU30" s="2">
        <v>39</v>
      </c>
      <c r="AV30" s="13">
        <f>Table1[[#This Row],[Quantity]] * Table1[[#This Row],[UnitPrice]]</f>
        <v>75</v>
      </c>
      <c r="AW30" s="2">
        <v>75</v>
      </c>
      <c r="AX30" s="21">
        <f>Table1[[#This Row],[Column3]] * (Table1[[#This Row],[Column1]]/100)</f>
        <v>0</v>
      </c>
      <c r="AY30" s="2">
        <v>0</v>
      </c>
      <c r="AZ30" s="27">
        <f>Table1[[#This Row],[Column3]] * Table1[[#This Row],[Column4]]</f>
        <v>0</v>
      </c>
      <c r="BA30" s="2">
        <v>75</v>
      </c>
      <c r="BB30" s="15">
        <f>Table1[[#This Row],[Column5]] * (Table1[[#This Row],[Column2]]/100)</f>
        <v>0</v>
      </c>
      <c r="BC30" s="2">
        <v>3.75</v>
      </c>
      <c r="BD30" s="19">
        <f>Table1[[#This Row],[Column5]] + Table1[[#This Row],[Column6]] + Table1[[#This Row],[ShippingCost]]</f>
        <v>3</v>
      </c>
      <c r="BE30" s="2">
        <v>78.75</v>
      </c>
      <c r="BF30" s="2" t="s">
        <v>310</v>
      </c>
      <c r="BG30" s="2">
        <f>Table1[[#This Row],[DeliveryDate]]-Table1[[#This Row],[OrderDate]]</f>
        <v>5</v>
      </c>
      <c r="BH30" s="2">
        <v>5</v>
      </c>
      <c r="BI30" s="2" t="str">
        <f>IF(OR(Table1[[#This Row],[CustomerTier]]="Platinum", Table1[[#This Row],[Column7]]&gt;1000), "Yes", "No")</f>
        <v>No</v>
      </c>
      <c r="BJ30" s="2" t="s">
        <v>205</v>
      </c>
      <c r="BK30" s="2" t="str">
        <f>IF(Table1[[#This Row],[Quantity]]&gt;=10, "Yes", "No")</f>
        <v>No</v>
      </c>
      <c r="BL30" s="2" t="s">
        <v>205</v>
      </c>
      <c r="BM30" s="2">
        <f>IF(Table1[[#This Row],[Column12]]="Yes", 5%, 0)</f>
        <v>0</v>
      </c>
      <c r="BN30" s="2">
        <v>0</v>
      </c>
      <c r="BO30" s="2"/>
      <c r="BP30" s="2"/>
      <c r="BQ30" s="2" t="s">
        <v>273</v>
      </c>
      <c r="BR30" s="2" t="s">
        <v>209</v>
      </c>
      <c r="BS30" s="3" t="s">
        <v>210</v>
      </c>
    </row>
    <row r="31" spans="1:71" x14ac:dyDescent="0.25">
      <c r="A31" s="1" t="s">
        <v>485</v>
      </c>
      <c r="B31" s="11">
        <v>45687</v>
      </c>
      <c r="C31" s="11">
        <v>45690</v>
      </c>
      <c r="D31" s="2" t="s">
        <v>180</v>
      </c>
      <c r="E31" s="2" t="s">
        <v>212</v>
      </c>
      <c r="F31" s="2" t="s">
        <v>325</v>
      </c>
      <c r="G31" s="2" t="s">
        <v>326</v>
      </c>
      <c r="H31" s="2" t="s">
        <v>215</v>
      </c>
      <c r="I31" s="2" t="s">
        <v>327</v>
      </c>
      <c r="J31" s="2" t="s">
        <v>217</v>
      </c>
      <c r="K31" s="2" t="s">
        <v>215</v>
      </c>
      <c r="L31" s="2" t="s">
        <v>218</v>
      </c>
      <c r="M31" s="2" t="s">
        <v>328</v>
      </c>
      <c r="N31" s="2" t="s">
        <v>329</v>
      </c>
      <c r="O31" s="11">
        <v>44300</v>
      </c>
      <c r="P31" s="2" t="s">
        <v>486</v>
      </c>
      <c r="Q31" s="2" t="s">
        <v>487</v>
      </c>
      <c r="R31" s="2" t="s">
        <v>192</v>
      </c>
      <c r="S31" s="2" t="s">
        <v>285</v>
      </c>
      <c r="T31" s="2" t="s">
        <v>488</v>
      </c>
      <c r="U31" s="2" t="s">
        <v>287</v>
      </c>
      <c r="V31" s="13">
        <v>220</v>
      </c>
      <c r="W31" s="13">
        <v>132</v>
      </c>
      <c r="X31" s="2">
        <v>8.5</v>
      </c>
      <c r="Y31" s="2" t="s">
        <v>288</v>
      </c>
      <c r="Z31" s="2" t="s">
        <v>880</v>
      </c>
      <c r="AA31" s="2">
        <v>18</v>
      </c>
      <c r="AB31" s="2">
        <v>4</v>
      </c>
      <c r="AC31" s="2">
        <v>3</v>
      </c>
      <c r="AD31" s="2">
        <v>1</v>
      </c>
      <c r="AE31" s="17">
        <f>Table1[[#This Row],[Discount%]]/100</f>
        <v>0</v>
      </c>
      <c r="AF31" s="2">
        <v>0</v>
      </c>
      <c r="AG31" s="17">
        <f>Table1[[#This Row],[Tax%]]/100</f>
        <v>7.0000000000000007E-2</v>
      </c>
      <c r="AH31" s="2">
        <v>7</v>
      </c>
      <c r="AI31" s="23">
        <v>15</v>
      </c>
      <c r="AJ31" s="2" t="s">
        <v>289</v>
      </c>
      <c r="AK31" s="2" t="s">
        <v>199</v>
      </c>
      <c r="AL31" s="2" t="s">
        <v>367</v>
      </c>
      <c r="AM31" s="2" t="s">
        <v>271</v>
      </c>
      <c r="AN31" s="2" t="s">
        <v>904</v>
      </c>
      <c r="AO31" s="2" t="s">
        <v>203</v>
      </c>
      <c r="AP31" s="2" t="s">
        <v>880</v>
      </c>
      <c r="AQ31" s="25">
        <v>0</v>
      </c>
      <c r="AR31" s="25">
        <f>IFERROR((Table1[[#This Row],[Column7]]-Table1[[#This Row],[Column8]])/Table1[[#This Row],[Column7]], 0)</f>
        <v>-7.8</v>
      </c>
      <c r="AS31" s="2">
        <v>40</v>
      </c>
      <c r="AT31" s="21">
        <f>Table1[[#This Row],[Quantity]] * Table1[[#This Row],[CostPrice]]</f>
        <v>132</v>
      </c>
      <c r="AU31" s="2">
        <v>132</v>
      </c>
      <c r="AV31" s="13">
        <f>Table1[[#This Row],[Quantity]] * Table1[[#This Row],[UnitPrice]]</f>
        <v>220</v>
      </c>
      <c r="AW31" s="2">
        <v>220</v>
      </c>
      <c r="AX31" s="21">
        <f>Table1[[#This Row],[Column3]] * (Table1[[#This Row],[Column1]]/100)</f>
        <v>0</v>
      </c>
      <c r="AY31" s="2">
        <v>0</v>
      </c>
      <c r="AZ31" s="27">
        <f>Table1[[#This Row],[Column3]] * Table1[[#This Row],[Column4]]</f>
        <v>0</v>
      </c>
      <c r="BA31" s="2">
        <v>220</v>
      </c>
      <c r="BB31" s="15">
        <f>Table1[[#This Row],[Column5]] * (Table1[[#This Row],[Column2]]/100)</f>
        <v>0</v>
      </c>
      <c r="BC31" s="2">
        <v>15.4</v>
      </c>
      <c r="BD31" s="19">
        <f>Table1[[#This Row],[Column5]] + Table1[[#This Row],[Column6]] + Table1[[#This Row],[ShippingCost]]</f>
        <v>15</v>
      </c>
      <c r="BE31" s="2">
        <v>235.4</v>
      </c>
      <c r="BF31" s="2" t="s">
        <v>180</v>
      </c>
      <c r="BG31" s="2">
        <f>Table1[[#This Row],[DeliveryDate]]-Table1[[#This Row],[OrderDate]]</f>
        <v>3</v>
      </c>
      <c r="BH31" s="2">
        <v>3</v>
      </c>
      <c r="BI31" s="2" t="str">
        <f>IF(OR(Table1[[#This Row],[CustomerTier]]="Platinum", Table1[[#This Row],[Column7]]&gt;1000), "Yes", "No")</f>
        <v>No</v>
      </c>
      <c r="BJ31" s="2" t="s">
        <v>205</v>
      </c>
      <c r="BK31" s="2" t="str">
        <f>IF(Table1[[#This Row],[Quantity]]&gt;=10, "Yes", "No")</f>
        <v>No</v>
      </c>
      <c r="BL31" s="2" t="s">
        <v>205</v>
      </c>
      <c r="BM31" s="2">
        <f>IF(Table1[[#This Row],[Column12]]="Yes", 5%, 0)</f>
        <v>0</v>
      </c>
      <c r="BN31" s="2">
        <v>0</v>
      </c>
      <c r="BO31" s="2" t="s">
        <v>206</v>
      </c>
      <c r="BP31" s="2" t="s">
        <v>207</v>
      </c>
      <c r="BQ31" s="2" t="s">
        <v>208</v>
      </c>
      <c r="BR31" s="2" t="s">
        <v>209</v>
      </c>
      <c r="BS31" s="3" t="s">
        <v>210</v>
      </c>
    </row>
    <row r="32" spans="1:71" x14ac:dyDescent="0.25">
      <c r="A32" s="1" t="s">
        <v>489</v>
      </c>
      <c r="B32" s="11">
        <v>45687</v>
      </c>
      <c r="C32" s="11">
        <v>45692</v>
      </c>
      <c r="D32" s="2" t="s">
        <v>180</v>
      </c>
      <c r="E32" s="2" t="s">
        <v>181</v>
      </c>
      <c r="F32" s="2" t="s">
        <v>337</v>
      </c>
      <c r="G32" s="2" t="s">
        <v>338</v>
      </c>
      <c r="H32" s="2" t="s">
        <v>184</v>
      </c>
      <c r="I32" s="2" t="s">
        <v>339</v>
      </c>
      <c r="J32" s="2" t="s">
        <v>340</v>
      </c>
      <c r="K32" s="2" t="s">
        <v>184</v>
      </c>
      <c r="L32" s="2" t="s">
        <v>218</v>
      </c>
      <c r="M32" s="2" t="s">
        <v>341</v>
      </c>
      <c r="N32" s="2" t="s">
        <v>342</v>
      </c>
      <c r="O32" s="11">
        <v>44982</v>
      </c>
      <c r="P32" s="2" t="s">
        <v>490</v>
      </c>
      <c r="Q32" s="2" t="s">
        <v>491</v>
      </c>
      <c r="R32" s="2" t="s">
        <v>223</v>
      </c>
      <c r="S32" s="2" t="s">
        <v>224</v>
      </c>
      <c r="T32" s="2" t="s">
        <v>225</v>
      </c>
      <c r="U32" s="2" t="s">
        <v>226</v>
      </c>
      <c r="V32" s="13">
        <v>60</v>
      </c>
      <c r="W32" s="13">
        <v>31</v>
      </c>
      <c r="X32" s="2">
        <v>0.7</v>
      </c>
      <c r="Y32" s="2" t="s">
        <v>227</v>
      </c>
      <c r="Z32" s="2">
        <v>32</v>
      </c>
      <c r="AA32" s="2">
        <v>55</v>
      </c>
      <c r="AB32" s="2">
        <v>12</v>
      </c>
      <c r="AC32" s="2">
        <v>2</v>
      </c>
      <c r="AD32" s="2">
        <v>2</v>
      </c>
      <c r="AE32" s="17">
        <f>Table1[[#This Row],[Discount%]]/100</f>
        <v>0.1</v>
      </c>
      <c r="AF32" s="2">
        <v>10</v>
      </c>
      <c r="AG32" s="17">
        <f>Table1[[#This Row],[Tax%]]/100</f>
        <v>0.05</v>
      </c>
      <c r="AH32" s="2">
        <v>5</v>
      </c>
      <c r="AI32" s="23">
        <v>7</v>
      </c>
      <c r="AJ32" s="2" t="s">
        <v>198</v>
      </c>
      <c r="AK32" s="2" t="s">
        <v>230</v>
      </c>
      <c r="AL32" s="2" t="s">
        <v>250</v>
      </c>
      <c r="AM32" s="2" t="s">
        <v>196</v>
      </c>
      <c r="AN32" s="2" t="s">
        <v>905</v>
      </c>
      <c r="AO32" s="2" t="s">
        <v>203</v>
      </c>
      <c r="AP32" s="2" t="s">
        <v>880</v>
      </c>
      <c r="AQ32" s="25">
        <v>0</v>
      </c>
      <c r="AR32" s="25">
        <f>IFERROR((Table1[[#This Row],[Column7]]-Table1[[#This Row],[Column8]])/Table1[[#This Row],[Column7]], 0)</f>
        <v>-1.8962218319070225</v>
      </c>
      <c r="AS32" s="2">
        <v>48.33</v>
      </c>
      <c r="AT32" s="21">
        <f>Table1[[#This Row],[Quantity]] * Table1[[#This Row],[CostPrice]]</f>
        <v>62</v>
      </c>
      <c r="AU32" s="2">
        <v>62</v>
      </c>
      <c r="AV32" s="13">
        <f>Table1[[#This Row],[Quantity]] * Table1[[#This Row],[UnitPrice]]</f>
        <v>120</v>
      </c>
      <c r="AW32" s="2">
        <v>120</v>
      </c>
      <c r="AX32" s="21">
        <f>Table1[[#This Row],[Column3]] * (Table1[[#This Row],[Column1]]/100)</f>
        <v>0.12</v>
      </c>
      <c r="AY32" s="2">
        <v>12</v>
      </c>
      <c r="AZ32" s="27">
        <f>Table1[[#This Row],[Column3]] * Table1[[#This Row],[Column4]]</f>
        <v>14.399999999999999</v>
      </c>
      <c r="BA32" s="2">
        <v>108</v>
      </c>
      <c r="BB32" s="15">
        <f>Table1[[#This Row],[Column5]] * (Table1[[#This Row],[Column2]]/100)</f>
        <v>7.1999999999999998E-3</v>
      </c>
      <c r="BC32" s="2">
        <v>5.4</v>
      </c>
      <c r="BD32" s="19">
        <f>Table1[[#This Row],[Column5]] + Table1[[#This Row],[Column6]] + Table1[[#This Row],[ShippingCost]]</f>
        <v>21.407199999999996</v>
      </c>
      <c r="BE32" s="2">
        <v>113.4</v>
      </c>
      <c r="BF32" s="2" t="s">
        <v>180</v>
      </c>
      <c r="BG32" s="2">
        <f>Table1[[#This Row],[DeliveryDate]]-Table1[[#This Row],[OrderDate]]</f>
        <v>5</v>
      </c>
      <c r="BH32" s="2">
        <v>5</v>
      </c>
      <c r="BI32" s="2" t="str">
        <f>IF(OR(Table1[[#This Row],[CustomerTier]]="Platinum", Table1[[#This Row],[Column7]]&gt;1000), "Yes", "No")</f>
        <v>No</v>
      </c>
      <c r="BJ32" s="2" t="s">
        <v>205</v>
      </c>
      <c r="BK32" s="2" t="str">
        <f>IF(Table1[[#This Row],[Quantity]]&gt;=10, "Yes", "No")</f>
        <v>No</v>
      </c>
      <c r="BL32" s="2" t="s">
        <v>205</v>
      </c>
      <c r="BM32" s="2">
        <f>IF(Table1[[#This Row],[Column12]]="Yes", 5%, 0)</f>
        <v>0</v>
      </c>
      <c r="BN32" s="2">
        <v>0</v>
      </c>
      <c r="BO32" s="2" t="s">
        <v>291</v>
      </c>
      <c r="BP32" s="2"/>
      <c r="BQ32" s="2" t="s">
        <v>234</v>
      </c>
      <c r="BR32" s="2" t="s">
        <v>209</v>
      </c>
      <c r="BS32" s="3" t="s">
        <v>210</v>
      </c>
    </row>
    <row r="33" spans="1:71" x14ac:dyDescent="0.25">
      <c r="A33" s="1" t="s">
        <v>492</v>
      </c>
      <c r="B33" s="11">
        <v>45688</v>
      </c>
      <c r="C33" s="11">
        <v>45691</v>
      </c>
      <c r="D33" s="2" t="s">
        <v>180</v>
      </c>
      <c r="E33" s="2" t="s">
        <v>212</v>
      </c>
      <c r="F33" s="2" t="s">
        <v>355</v>
      </c>
      <c r="G33" s="2" t="s">
        <v>356</v>
      </c>
      <c r="H33" s="2" t="s">
        <v>297</v>
      </c>
      <c r="I33" s="2" t="s">
        <v>357</v>
      </c>
      <c r="J33" s="2" t="s">
        <v>358</v>
      </c>
      <c r="K33" s="2" t="s">
        <v>297</v>
      </c>
      <c r="L33" s="2" t="s">
        <v>218</v>
      </c>
      <c r="M33" s="2" t="s">
        <v>359</v>
      </c>
      <c r="N33" s="2" t="s">
        <v>360</v>
      </c>
      <c r="O33" s="11">
        <v>44895</v>
      </c>
      <c r="P33" s="2" t="s">
        <v>493</v>
      </c>
      <c r="Q33" s="2" t="s">
        <v>494</v>
      </c>
      <c r="R33" s="2" t="s">
        <v>244</v>
      </c>
      <c r="S33" s="2" t="s">
        <v>332</v>
      </c>
      <c r="T33" s="2" t="s">
        <v>495</v>
      </c>
      <c r="U33" s="2" t="s">
        <v>247</v>
      </c>
      <c r="V33" s="13">
        <v>200</v>
      </c>
      <c r="W33" s="13">
        <v>114</v>
      </c>
      <c r="X33" s="2">
        <v>4.5</v>
      </c>
      <c r="Y33" s="2" t="s">
        <v>382</v>
      </c>
      <c r="Z33" s="2" t="s">
        <v>880</v>
      </c>
      <c r="AA33" s="2">
        <v>15</v>
      </c>
      <c r="AB33" s="2">
        <v>3</v>
      </c>
      <c r="AC33" s="2">
        <v>3</v>
      </c>
      <c r="AD33" s="2">
        <v>1</v>
      </c>
      <c r="AE33" s="17">
        <f>Table1[[#This Row],[Discount%]]/100</f>
        <v>0.05</v>
      </c>
      <c r="AF33" s="2">
        <v>5</v>
      </c>
      <c r="AG33" s="17">
        <f>Table1[[#This Row],[Tax%]]/100</f>
        <v>0.06</v>
      </c>
      <c r="AH33" s="2">
        <v>6</v>
      </c>
      <c r="AI33" s="23">
        <v>15</v>
      </c>
      <c r="AJ33" s="2" t="s">
        <v>366</v>
      </c>
      <c r="AK33" s="2" t="s">
        <v>199</v>
      </c>
      <c r="AL33" s="2" t="s">
        <v>290</v>
      </c>
      <c r="AM33" s="2" t="s">
        <v>201</v>
      </c>
      <c r="AN33" s="2" t="s">
        <v>906</v>
      </c>
      <c r="AO33" s="2" t="s">
        <v>203</v>
      </c>
      <c r="AP33" s="2" t="s">
        <v>880</v>
      </c>
      <c r="AQ33" s="25">
        <v>0</v>
      </c>
      <c r="AR33" s="25">
        <f>IFERROR((Table1[[#This Row],[Column7]]-Table1[[#This Row],[Column8]])/Table1[[#This Row],[Column7]], 0)</f>
        <v>-2.2560265051982178</v>
      </c>
      <c r="AS33" s="2">
        <v>43</v>
      </c>
      <c r="AT33" s="21">
        <f>Table1[[#This Row],[Quantity]] * Table1[[#This Row],[CostPrice]]</f>
        <v>114</v>
      </c>
      <c r="AU33" s="2">
        <v>114</v>
      </c>
      <c r="AV33" s="13">
        <f>Table1[[#This Row],[Quantity]] * Table1[[#This Row],[UnitPrice]]</f>
        <v>200</v>
      </c>
      <c r="AW33" s="2">
        <v>200</v>
      </c>
      <c r="AX33" s="21">
        <f>Table1[[#This Row],[Column3]] * (Table1[[#This Row],[Column1]]/100)</f>
        <v>0.1</v>
      </c>
      <c r="AY33" s="2">
        <v>10</v>
      </c>
      <c r="AZ33" s="27">
        <f>Table1[[#This Row],[Column3]] * Table1[[#This Row],[Column4]]</f>
        <v>20</v>
      </c>
      <c r="BA33" s="2">
        <v>190</v>
      </c>
      <c r="BB33" s="15">
        <f>Table1[[#This Row],[Column5]] * (Table1[[#This Row],[Column2]]/100)</f>
        <v>1.1999999999999999E-2</v>
      </c>
      <c r="BC33" s="2">
        <v>11.4</v>
      </c>
      <c r="BD33" s="19">
        <f>Table1[[#This Row],[Column5]] + Table1[[#This Row],[Column6]] + Table1[[#This Row],[ShippingCost]]</f>
        <v>35.012</v>
      </c>
      <c r="BE33" s="2">
        <v>201.4</v>
      </c>
      <c r="BF33" s="2" t="s">
        <v>180</v>
      </c>
      <c r="BG33" s="2">
        <f>Table1[[#This Row],[DeliveryDate]]-Table1[[#This Row],[OrderDate]]</f>
        <v>3</v>
      </c>
      <c r="BH33" s="2">
        <v>3</v>
      </c>
      <c r="BI33" s="2" t="str">
        <f>IF(OR(Table1[[#This Row],[CustomerTier]]="Platinum", Table1[[#This Row],[Column7]]&gt;1000), "Yes", "No")</f>
        <v>Yes</v>
      </c>
      <c r="BJ33" s="2" t="s">
        <v>204</v>
      </c>
      <c r="BK33" s="2" t="str">
        <f>IF(Table1[[#This Row],[Quantity]]&gt;=10, "Yes", "No")</f>
        <v>No</v>
      </c>
      <c r="BL33" s="2" t="s">
        <v>205</v>
      </c>
      <c r="BM33" s="2">
        <f>IF(Table1[[#This Row],[Column12]]="Yes", 5%, 0)</f>
        <v>0</v>
      </c>
      <c r="BN33" s="2">
        <v>0</v>
      </c>
      <c r="BO33" s="2" t="s">
        <v>252</v>
      </c>
      <c r="BP33" s="2" t="s">
        <v>253</v>
      </c>
      <c r="BQ33" s="2" t="s">
        <v>254</v>
      </c>
      <c r="BR33" s="2" t="s">
        <v>209</v>
      </c>
      <c r="BS33" s="3" t="s">
        <v>210</v>
      </c>
    </row>
    <row r="34" spans="1:71" x14ac:dyDescent="0.25">
      <c r="A34" s="1" t="s">
        <v>496</v>
      </c>
      <c r="B34" s="11">
        <v>45688</v>
      </c>
      <c r="C34" s="11">
        <v>45693</v>
      </c>
      <c r="D34" s="2" t="s">
        <v>371</v>
      </c>
      <c r="E34" s="2" t="s">
        <v>181</v>
      </c>
      <c r="F34" s="2" t="s">
        <v>372</v>
      </c>
      <c r="G34" s="2" t="s">
        <v>373</v>
      </c>
      <c r="H34" s="2" t="s">
        <v>297</v>
      </c>
      <c r="I34" s="2" t="s">
        <v>374</v>
      </c>
      <c r="J34" s="2" t="s">
        <v>375</v>
      </c>
      <c r="K34" s="2" t="s">
        <v>297</v>
      </c>
      <c r="L34" s="2" t="s">
        <v>218</v>
      </c>
      <c r="M34" s="2" t="s">
        <v>376</v>
      </c>
      <c r="N34" s="2" t="s">
        <v>377</v>
      </c>
      <c r="O34" s="11">
        <v>45033</v>
      </c>
      <c r="P34" s="2" t="s">
        <v>497</v>
      </c>
      <c r="Q34" s="2" t="s">
        <v>498</v>
      </c>
      <c r="R34" s="2" t="s">
        <v>265</v>
      </c>
      <c r="S34" s="2" t="s">
        <v>499</v>
      </c>
      <c r="T34" s="2" t="s">
        <v>500</v>
      </c>
      <c r="U34" s="2" t="s">
        <v>268</v>
      </c>
      <c r="V34" s="13">
        <v>30</v>
      </c>
      <c r="W34" s="13">
        <v>16</v>
      </c>
      <c r="X34" s="2">
        <v>0.8</v>
      </c>
      <c r="Y34" s="2" t="s">
        <v>382</v>
      </c>
      <c r="Z34" s="2" t="s">
        <v>880</v>
      </c>
      <c r="AA34" s="2">
        <v>50</v>
      </c>
      <c r="AB34" s="2">
        <v>12</v>
      </c>
      <c r="AC34" s="2">
        <v>1</v>
      </c>
      <c r="AD34" s="2">
        <v>2</v>
      </c>
      <c r="AE34" s="17">
        <f>Table1[[#This Row],[Discount%]]/100</f>
        <v>0</v>
      </c>
      <c r="AF34" s="2">
        <v>0</v>
      </c>
      <c r="AG34" s="17">
        <f>Table1[[#This Row],[Tax%]]/100</f>
        <v>0.05</v>
      </c>
      <c r="AH34" s="2">
        <v>5</v>
      </c>
      <c r="AI34" s="23">
        <v>5</v>
      </c>
      <c r="AJ34" s="2" t="s">
        <v>229</v>
      </c>
      <c r="AK34" s="2" t="s">
        <v>230</v>
      </c>
      <c r="AL34" s="2" t="s">
        <v>231</v>
      </c>
      <c r="AM34" s="2" t="s">
        <v>232</v>
      </c>
      <c r="AN34" s="2" t="s">
        <v>907</v>
      </c>
      <c r="AO34" s="2" t="s">
        <v>203</v>
      </c>
      <c r="AP34" s="2" t="s">
        <v>880</v>
      </c>
      <c r="AQ34" s="25">
        <v>0</v>
      </c>
      <c r="AR34" s="25">
        <f>IFERROR((Table1[[#This Row],[Column7]]-Table1[[#This Row],[Column8]])/Table1[[#This Row],[Column7]], 0)</f>
        <v>-5.4</v>
      </c>
      <c r="AS34" s="2">
        <v>46.67</v>
      </c>
      <c r="AT34" s="21">
        <f>Table1[[#This Row],[Quantity]] * Table1[[#This Row],[CostPrice]]</f>
        <v>32</v>
      </c>
      <c r="AU34" s="2">
        <v>32</v>
      </c>
      <c r="AV34" s="13">
        <f>Table1[[#This Row],[Quantity]] * Table1[[#This Row],[UnitPrice]]</f>
        <v>60</v>
      </c>
      <c r="AW34" s="2">
        <v>60</v>
      </c>
      <c r="AX34" s="21">
        <f>Table1[[#This Row],[Column3]] * (Table1[[#This Row],[Column1]]/100)</f>
        <v>0</v>
      </c>
      <c r="AY34" s="2">
        <v>0</v>
      </c>
      <c r="AZ34" s="27">
        <f>Table1[[#This Row],[Column3]] * Table1[[#This Row],[Column4]]</f>
        <v>0</v>
      </c>
      <c r="BA34" s="2">
        <v>60</v>
      </c>
      <c r="BB34" s="15">
        <f>Table1[[#This Row],[Column5]] * (Table1[[#This Row],[Column2]]/100)</f>
        <v>0</v>
      </c>
      <c r="BC34" s="2">
        <v>3</v>
      </c>
      <c r="BD34" s="19">
        <f>Table1[[#This Row],[Column5]] + Table1[[#This Row],[Column6]] + Table1[[#This Row],[ShippingCost]]</f>
        <v>5</v>
      </c>
      <c r="BE34" s="2">
        <v>63</v>
      </c>
      <c r="BF34" s="2" t="s">
        <v>371</v>
      </c>
      <c r="BG34" s="2">
        <f>Table1[[#This Row],[DeliveryDate]]-Table1[[#This Row],[OrderDate]]</f>
        <v>5</v>
      </c>
      <c r="BH34" s="2">
        <v>5</v>
      </c>
      <c r="BI34" s="2" t="str">
        <f>IF(OR(Table1[[#This Row],[CustomerTier]]="Platinum", Table1[[#This Row],[Column7]]&gt;1000), "Yes", "No")</f>
        <v>No</v>
      </c>
      <c r="BJ34" s="2" t="s">
        <v>205</v>
      </c>
      <c r="BK34" s="2" t="str">
        <f>IF(Table1[[#This Row],[Quantity]]&gt;=10, "Yes", "No")</f>
        <v>No</v>
      </c>
      <c r="BL34" s="2" t="s">
        <v>205</v>
      </c>
      <c r="BM34" s="2">
        <f>IF(Table1[[#This Row],[Column12]]="Yes", 5%, 0)</f>
        <v>0</v>
      </c>
      <c r="BN34" s="2">
        <v>0</v>
      </c>
      <c r="BO34" s="2"/>
      <c r="BP34" s="2"/>
      <c r="BQ34" s="2" t="s">
        <v>273</v>
      </c>
      <c r="BR34" s="2" t="s">
        <v>209</v>
      </c>
      <c r="BS34" s="3" t="s">
        <v>210</v>
      </c>
    </row>
    <row r="35" spans="1:71" x14ac:dyDescent="0.25">
      <c r="A35" s="1" t="s">
        <v>501</v>
      </c>
      <c r="B35" s="11">
        <v>45689</v>
      </c>
      <c r="C35" s="11">
        <v>45692</v>
      </c>
      <c r="D35" s="2" t="s">
        <v>180</v>
      </c>
      <c r="E35" s="2" t="s">
        <v>212</v>
      </c>
      <c r="F35" s="2" t="s">
        <v>213</v>
      </c>
      <c r="G35" s="2" t="s">
        <v>214</v>
      </c>
      <c r="H35" s="2" t="s">
        <v>215</v>
      </c>
      <c r="I35" s="2" t="s">
        <v>216</v>
      </c>
      <c r="J35" s="2" t="s">
        <v>217</v>
      </c>
      <c r="K35" s="2" t="s">
        <v>215</v>
      </c>
      <c r="L35" s="2" t="s">
        <v>218</v>
      </c>
      <c r="M35" s="2" t="s">
        <v>219</v>
      </c>
      <c r="N35" s="2" t="s">
        <v>220</v>
      </c>
      <c r="O35" s="11">
        <v>44362</v>
      </c>
      <c r="P35" s="2" t="s">
        <v>502</v>
      </c>
      <c r="Q35" s="2" t="s">
        <v>503</v>
      </c>
      <c r="R35" s="2" t="s">
        <v>192</v>
      </c>
      <c r="S35" s="2" t="s">
        <v>193</v>
      </c>
      <c r="T35" s="2" t="s">
        <v>504</v>
      </c>
      <c r="U35" s="2" t="s">
        <v>365</v>
      </c>
      <c r="V35" s="13">
        <v>180</v>
      </c>
      <c r="W35" s="13">
        <v>104</v>
      </c>
      <c r="X35" s="2">
        <v>3.5</v>
      </c>
      <c r="Y35" s="2" t="s">
        <v>288</v>
      </c>
      <c r="Z35" s="2" t="s">
        <v>505</v>
      </c>
      <c r="AA35" s="2">
        <v>12</v>
      </c>
      <c r="AB35" s="2">
        <v>3</v>
      </c>
      <c r="AC35" s="2">
        <v>2</v>
      </c>
      <c r="AD35" s="2">
        <v>1</v>
      </c>
      <c r="AE35" s="17">
        <f>Table1[[#This Row],[Discount%]]/100</f>
        <v>0</v>
      </c>
      <c r="AF35" s="2">
        <v>0</v>
      </c>
      <c r="AG35" s="17">
        <f>Table1[[#This Row],[Tax%]]/100</f>
        <v>7.0000000000000007E-2</v>
      </c>
      <c r="AH35" s="2">
        <v>7</v>
      </c>
      <c r="AI35" s="23">
        <v>15</v>
      </c>
      <c r="AJ35" s="2" t="s">
        <v>249</v>
      </c>
      <c r="AK35" s="2" t="s">
        <v>199</v>
      </c>
      <c r="AL35" s="2" t="s">
        <v>200</v>
      </c>
      <c r="AM35" s="2" t="s">
        <v>201</v>
      </c>
      <c r="AN35" s="2" t="s">
        <v>908</v>
      </c>
      <c r="AO35" s="2" t="s">
        <v>203</v>
      </c>
      <c r="AP35" s="2" t="s">
        <v>880</v>
      </c>
      <c r="AQ35" s="25">
        <v>0</v>
      </c>
      <c r="AR35" s="25">
        <f>IFERROR((Table1[[#This Row],[Column7]]-Table1[[#This Row],[Column8]])/Table1[[#This Row],[Column7]], 0)</f>
        <v>-5.9333333333333336</v>
      </c>
      <c r="AS35" s="2">
        <v>42.22</v>
      </c>
      <c r="AT35" s="21">
        <f>Table1[[#This Row],[Quantity]] * Table1[[#This Row],[CostPrice]]</f>
        <v>104</v>
      </c>
      <c r="AU35" s="2">
        <v>104</v>
      </c>
      <c r="AV35" s="13">
        <f>Table1[[#This Row],[Quantity]] * Table1[[#This Row],[UnitPrice]]</f>
        <v>180</v>
      </c>
      <c r="AW35" s="2">
        <v>180</v>
      </c>
      <c r="AX35" s="21">
        <f>Table1[[#This Row],[Column3]] * (Table1[[#This Row],[Column1]]/100)</f>
        <v>0</v>
      </c>
      <c r="AY35" s="2">
        <v>0</v>
      </c>
      <c r="AZ35" s="27">
        <f>Table1[[#This Row],[Column3]] * Table1[[#This Row],[Column4]]</f>
        <v>0</v>
      </c>
      <c r="BA35" s="2">
        <v>180</v>
      </c>
      <c r="BB35" s="15">
        <f>Table1[[#This Row],[Column5]] * (Table1[[#This Row],[Column2]]/100)</f>
        <v>0</v>
      </c>
      <c r="BC35" s="2">
        <v>12.6</v>
      </c>
      <c r="BD35" s="19">
        <f>Table1[[#This Row],[Column5]] + Table1[[#This Row],[Column6]] + Table1[[#This Row],[ShippingCost]]</f>
        <v>15</v>
      </c>
      <c r="BE35" s="2">
        <v>192.6</v>
      </c>
      <c r="BF35" s="2" t="s">
        <v>180</v>
      </c>
      <c r="BG35" s="2">
        <f>Table1[[#This Row],[DeliveryDate]]-Table1[[#This Row],[OrderDate]]</f>
        <v>3</v>
      </c>
      <c r="BH35" s="2">
        <v>3</v>
      </c>
      <c r="BI35" s="2" t="str">
        <f>IF(OR(Table1[[#This Row],[CustomerTier]]="Platinum", Table1[[#This Row],[Column7]]&gt;1000), "Yes", "No")</f>
        <v>Yes</v>
      </c>
      <c r="BJ35" s="2" t="s">
        <v>205</v>
      </c>
      <c r="BK35" s="2" t="str">
        <f>IF(Table1[[#This Row],[Quantity]]&gt;=10, "Yes", "No")</f>
        <v>No</v>
      </c>
      <c r="BL35" s="2" t="s">
        <v>205</v>
      </c>
      <c r="BM35" s="2">
        <f>IF(Table1[[#This Row],[Column12]]="Yes", 5%, 0)</f>
        <v>0</v>
      </c>
      <c r="BN35" s="2">
        <v>0</v>
      </c>
      <c r="BO35" s="2"/>
      <c r="BP35" s="2"/>
      <c r="BQ35" s="2" t="s">
        <v>208</v>
      </c>
      <c r="BR35" s="2" t="s">
        <v>209</v>
      </c>
      <c r="BS35" s="3" t="s">
        <v>210</v>
      </c>
    </row>
    <row r="36" spans="1:71" x14ac:dyDescent="0.25">
      <c r="A36" s="1" t="s">
        <v>506</v>
      </c>
      <c r="B36" s="11">
        <v>45689</v>
      </c>
      <c r="C36" s="11">
        <v>45694</v>
      </c>
      <c r="D36" s="2" t="s">
        <v>180</v>
      </c>
      <c r="E36" s="2" t="s">
        <v>181</v>
      </c>
      <c r="F36" s="2" t="s">
        <v>257</v>
      </c>
      <c r="G36" s="2" t="s">
        <v>258</v>
      </c>
      <c r="H36" s="2" t="s">
        <v>184</v>
      </c>
      <c r="I36" s="2" t="s">
        <v>259</v>
      </c>
      <c r="J36" s="2" t="s">
        <v>260</v>
      </c>
      <c r="K36" s="2" t="s">
        <v>184</v>
      </c>
      <c r="L36" s="2" t="s">
        <v>218</v>
      </c>
      <c r="M36" s="2" t="s">
        <v>261</v>
      </c>
      <c r="N36" s="2" t="s">
        <v>262</v>
      </c>
      <c r="O36" s="11">
        <v>44140</v>
      </c>
      <c r="P36" s="2" t="s">
        <v>507</v>
      </c>
      <c r="Q36" s="2" t="s">
        <v>508</v>
      </c>
      <c r="R36" s="2" t="s">
        <v>223</v>
      </c>
      <c r="S36" s="2" t="s">
        <v>224</v>
      </c>
      <c r="T36" s="2" t="s">
        <v>225</v>
      </c>
      <c r="U36" s="2" t="s">
        <v>346</v>
      </c>
      <c r="V36" s="13">
        <v>55</v>
      </c>
      <c r="W36" s="13">
        <v>29</v>
      </c>
      <c r="X36" s="2">
        <v>0.5</v>
      </c>
      <c r="Y36" s="2" t="s">
        <v>248</v>
      </c>
      <c r="Z36" s="2" t="s">
        <v>228</v>
      </c>
      <c r="AA36" s="2">
        <v>45</v>
      </c>
      <c r="AB36" s="2">
        <v>10</v>
      </c>
      <c r="AC36" s="2">
        <v>2</v>
      </c>
      <c r="AD36" s="2">
        <v>1</v>
      </c>
      <c r="AE36" s="17">
        <f>Table1[[#This Row],[Discount%]]/100</f>
        <v>0.05</v>
      </c>
      <c r="AF36" s="2">
        <v>5</v>
      </c>
      <c r="AG36" s="17">
        <f>Table1[[#This Row],[Tax%]]/100</f>
        <v>0.05</v>
      </c>
      <c r="AH36" s="2">
        <v>5</v>
      </c>
      <c r="AI36" s="23">
        <v>6</v>
      </c>
      <c r="AJ36" s="2" t="s">
        <v>198</v>
      </c>
      <c r="AK36" s="2" t="s">
        <v>230</v>
      </c>
      <c r="AL36" s="2" t="s">
        <v>348</v>
      </c>
      <c r="AM36" s="2" t="s">
        <v>232</v>
      </c>
      <c r="AN36" s="2" t="s">
        <v>909</v>
      </c>
      <c r="AO36" s="2" t="s">
        <v>203</v>
      </c>
      <c r="AP36" s="2" t="s">
        <v>880</v>
      </c>
      <c r="AQ36" s="25">
        <v>0</v>
      </c>
      <c r="AR36" s="25">
        <f>IFERROR((Table1[[#This Row],[Column7]]-Table1[[#This Row],[Column8]])/Table1[[#This Row],[Column7]], 0)</f>
        <v>-2.8598443917043297</v>
      </c>
      <c r="AS36" s="2">
        <v>47.27</v>
      </c>
      <c r="AT36" s="21">
        <f>Table1[[#This Row],[Quantity]] * Table1[[#This Row],[CostPrice]]</f>
        <v>29</v>
      </c>
      <c r="AU36" s="2">
        <v>29</v>
      </c>
      <c r="AV36" s="13">
        <f>Table1[[#This Row],[Quantity]] * Table1[[#This Row],[UnitPrice]]</f>
        <v>55</v>
      </c>
      <c r="AW36" s="2">
        <v>55</v>
      </c>
      <c r="AX36" s="21">
        <f>Table1[[#This Row],[Column3]] * (Table1[[#This Row],[Column1]]/100)</f>
        <v>2.75E-2</v>
      </c>
      <c r="AY36" s="2">
        <v>2.75</v>
      </c>
      <c r="AZ36" s="27">
        <f>Table1[[#This Row],[Column3]] * Table1[[#This Row],[Column4]]</f>
        <v>1.5125</v>
      </c>
      <c r="BA36" s="2">
        <v>52.25</v>
      </c>
      <c r="BB36" s="15">
        <f>Table1[[#This Row],[Column5]] * (Table1[[#This Row],[Column2]]/100)</f>
        <v>7.5624999999999998E-4</v>
      </c>
      <c r="BC36" s="2">
        <v>2.61</v>
      </c>
      <c r="BD36" s="19">
        <f>Table1[[#This Row],[Column5]] + Table1[[#This Row],[Column6]] + Table1[[#This Row],[ShippingCost]]</f>
        <v>7.5132562499999995</v>
      </c>
      <c r="BE36" s="2">
        <v>54.86</v>
      </c>
      <c r="BF36" s="2" t="s">
        <v>180</v>
      </c>
      <c r="BG36" s="2">
        <f>Table1[[#This Row],[DeliveryDate]]-Table1[[#This Row],[OrderDate]]</f>
        <v>5</v>
      </c>
      <c r="BH36" s="2">
        <v>5</v>
      </c>
      <c r="BI36" s="2" t="str">
        <f>IF(OR(Table1[[#This Row],[CustomerTier]]="Platinum", Table1[[#This Row],[Column7]]&gt;1000), "Yes", "No")</f>
        <v>No</v>
      </c>
      <c r="BJ36" s="2" t="s">
        <v>205</v>
      </c>
      <c r="BK36" s="2" t="str">
        <f>IF(Table1[[#This Row],[Quantity]]&gt;=10, "Yes", "No")</f>
        <v>No</v>
      </c>
      <c r="BL36" s="2" t="s">
        <v>205</v>
      </c>
      <c r="BM36" s="2">
        <f>IF(Table1[[#This Row],[Column12]]="Yes", 5%, 0)</f>
        <v>0</v>
      </c>
      <c r="BN36" s="2">
        <v>0</v>
      </c>
      <c r="BO36" s="2" t="s">
        <v>206</v>
      </c>
      <c r="BP36" s="2"/>
      <c r="BQ36" s="2" t="s">
        <v>234</v>
      </c>
      <c r="BR36" s="2" t="s">
        <v>209</v>
      </c>
      <c r="BS36" s="3" t="s">
        <v>210</v>
      </c>
    </row>
    <row r="37" spans="1:71" x14ac:dyDescent="0.25">
      <c r="A37" s="1" t="s">
        <v>509</v>
      </c>
      <c r="B37" s="11">
        <v>45690</v>
      </c>
      <c r="C37" s="11">
        <v>45693</v>
      </c>
      <c r="D37" s="2" t="s">
        <v>180</v>
      </c>
      <c r="E37" s="2" t="s">
        <v>212</v>
      </c>
      <c r="F37" s="2" t="s">
        <v>275</v>
      </c>
      <c r="G37" s="2" t="s">
        <v>276</v>
      </c>
      <c r="H37" s="2" t="s">
        <v>277</v>
      </c>
      <c r="I37" s="2" t="s">
        <v>278</v>
      </c>
      <c r="J37" s="2" t="s">
        <v>279</v>
      </c>
      <c r="K37" s="2" t="s">
        <v>277</v>
      </c>
      <c r="L37" s="2" t="s">
        <v>187</v>
      </c>
      <c r="M37" s="2" t="s">
        <v>280</v>
      </c>
      <c r="N37" s="2" t="s">
        <v>281</v>
      </c>
      <c r="O37" s="11">
        <v>43508</v>
      </c>
      <c r="P37" s="2" t="s">
        <v>510</v>
      </c>
      <c r="Q37" s="2" t="s">
        <v>511</v>
      </c>
      <c r="R37" s="2" t="s">
        <v>244</v>
      </c>
      <c r="S37" s="2" t="s">
        <v>245</v>
      </c>
      <c r="T37" s="2" t="s">
        <v>246</v>
      </c>
      <c r="U37" s="2" t="s">
        <v>247</v>
      </c>
      <c r="V37" s="13">
        <v>140</v>
      </c>
      <c r="W37" s="13">
        <v>77</v>
      </c>
      <c r="X37" s="2">
        <v>4.2</v>
      </c>
      <c r="Y37" s="2" t="s">
        <v>196</v>
      </c>
      <c r="Z37" s="2" t="s">
        <v>880</v>
      </c>
      <c r="AA37" s="2">
        <v>22</v>
      </c>
      <c r="AB37" s="2">
        <v>5</v>
      </c>
      <c r="AC37" s="2">
        <v>3</v>
      </c>
      <c r="AD37" s="2">
        <v>1</v>
      </c>
      <c r="AE37" s="17">
        <f>Table1[[#This Row],[Discount%]]/100</f>
        <v>0</v>
      </c>
      <c r="AF37" s="2">
        <v>0</v>
      </c>
      <c r="AG37" s="17">
        <f>Table1[[#This Row],[Tax%]]/100</f>
        <v>0.06</v>
      </c>
      <c r="AH37" s="2">
        <v>6</v>
      </c>
      <c r="AI37" s="23">
        <v>12</v>
      </c>
      <c r="AJ37" s="2" t="s">
        <v>289</v>
      </c>
      <c r="AK37" s="2" t="s">
        <v>230</v>
      </c>
      <c r="AL37" s="2" t="s">
        <v>250</v>
      </c>
      <c r="AM37" s="2" t="s">
        <v>196</v>
      </c>
      <c r="AN37" s="2" t="s">
        <v>910</v>
      </c>
      <c r="AO37" s="2" t="s">
        <v>203</v>
      </c>
      <c r="AP37" s="2" t="s">
        <v>880</v>
      </c>
      <c r="AQ37" s="25">
        <v>0</v>
      </c>
      <c r="AR37" s="25">
        <f>IFERROR((Table1[[#This Row],[Column7]]-Table1[[#This Row],[Column8]])/Table1[[#This Row],[Column7]], 0)</f>
        <v>-5.416666666666667</v>
      </c>
      <c r="AS37" s="2">
        <v>45</v>
      </c>
      <c r="AT37" s="21">
        <f>Table1[[#This Row],[Quantity]] * Table1[[#This Row],[CostPrice]]</f>
        <v>77</v>
      </c>
      <c r="AU37" s="2">
        <v>77</v>
      </c>
      <c r="AV37" s="13">
        <f>Table1[[#This Row],[Quantity]] * Table1[[#This Row],[UnitPrice]]</f>
        <v>140</v>
      </c>
      <c r="AW37" s="2">
        <v>140</v>
      </c>
      <c r="AX37" s="21">
        <f>Table1[[#This Row],[Column3]] * (Table1[[#This Row],[Column1]]/100)</f>
        <v>0</v>
      </c>
      <c r="AY37" s="2">
        <v>0</v>
      </c>
      <c r="AZ37" s="27">
        <f>Table1[[#This Row],[Column3]] * Table1[[#This Row],[Column4]]</f>
        <v>0</v>
      </c>
      <c r="BA37" s="2">
        <v>140</v>
      </c>
      <c r="BB37" s="15">
        <f>Table1[[#This Row],[Column5]] * (Table1[[#This Row],[Column2]]/100)</f>
        <v>0</v>
      </c>
      <c r="BC37" s="2">
        <v>8.4</v>
      </c>
      <c r="BD37" s="19">
        <f>Table1[[#This Row],[Column5]] + Table1[[#This Row],[Column6]] + Table1[[#This Row],[ShippingCost]]</f>
        <v>12</v>
      </c>
      <c r="BE37" s="2">
        <v>148.4</v>
      </c>
      <c r="BF37" s="2" t="s">
        <v>180</v>
      </c>
      <c r="BG37" s="2">
        <f>Table1[[#This Row],[DeliveryDate]]-Table1[[#This Row],[OrderDate]]</f>
        <v>3</v>
      </c>
      <c r="BH37" s="2">
        <v>3</v>
      </c>
      <c r="BI37" s="2" t="str">
        <f>IF(OR(Table1[[#This Row],[CustomerTier]]="Platinum", Table1[[#This Row],[Column7]]&gt;1000), "Yes", "No")</f>
        <v>No</v>
      </c>
      <c r="BJ37" s="2" t="s">
        <v>205</v>
      </c>
      <c r="BK37" s="2" t="str">
        <f>IF(Table1[[#This Row],[Quantity]]&gt;=10, "Yes", "No")</f>
        <v>No</v>
      </c>
      <c r="BL37" s="2" t="s">
        <v>205</v>
      </c>
      <c r="BM37" s="2">
        <f>IF(Table1[[#This Row],[Column12]]="Yes", 5%, 0)</f>
        <v>0</v>
      </c>
      <c r="BN37" s="2">
        <v>0</v>
      </c>
      <c r="BO37" s="2"/>
      <c r="BP37" s="2"/>
      <c r="BQ37" s="2" t="s">
        <v>254</v>
      </c>
      <c r="BR37" s="2" t="s">
        <v>209</v>
      </c>
      <c r="BS37" s="3" t="s">
        <v>210</v>
      </c>
    </row>
    <row r="38" spans="1:71" x14ac:dyDescent="0.25">
      <c r="A38" s="1" t="s">
        <v>512</v>
      </c>
      <c r="B38" s="11">
        <v>45690</v>
      </c>
      <c r="C38" s="11">
        <v>45695</v>
      </c>
      <c r="D38" s="2" t="s">
        <v>310</v>
      </c>
      <c r="E38" s="2" t="s">
        <v>181</v>
      </c>
      <c r="F38" s="2" t="s">
        <v>236</v>
      </c>
      <c r="G38" s="2" t="s">
        <v>237</v>
      </c>
      <c r="H38" s="2" t="s">
        <v>215</v>
      </c>
      <c r="I38" s="2" t="s">
        <v>238</v>
      </c>
      <c r="J38" s="2" t="s">
        <v>239</v>
      </c>
      <c r="K38" s="2" t="s">
        <v>215</v>
      </c>
      <c r="L38" s="2" t="s">
        <v>218</v>
      </c>
      <c r="M38" s="2" t="s">
        <v>240</v>
      </c>
      <c r="N38" s="2" t="s">
        <v>241</v>
      </c>
      <c r="O38" s="11">
        <v>44814</v>
      </c>
      <c r="P38" s="2" t="s">
        <v>513</v>
      </c>
      <c r="Q38" s="2" t="s">
        <v>514</v>
      </c>
      <c r="R38" s="2" t="s">
        <v>192</v>
      </c>
      <c r="S38" s="2" t="s">
        <v>456</v>
      </c>
      <c r="T38" s="2" t="s">
        <v>515</v>
      </c>
      <c r="U38" s="2" t="s">
        <v>365</v>
      </c>
      <c r="V38" s="13">
        <v>125</v>
      </c>
      <c r="W38" s="13">
        <v>69</v>
      </c>
      <c r="X38" s="2">
        <v>0.1</v>
      </c>
      <c r="Y38" s="2" t="s">
        <v>382</v>
      </c>
      <c r="Z38" s="2" t="s">
        <v>880</v>
      </c>
      <c r="AA38" s="2">
        <v>28</v>
      </c>
      <c r="AB38" s="2">
        <v>6</v>
      </c>
      <c r="AC38" s="2">
        <v>2</v>
      </c>
      <c r="AD38" s="2">
        <v>1</v>
      </c>
      <c r="AE38" s="17">
        <f>Table1[[#This Row],[Discount%]]/100</f>
        <v>0</v>
      </c>
      <c r="AF38" s="2">
        <v>0</v>
      </c>
      <c r="AG38" s="17">
        <f>Table1[[#This Row],[Tax%]]/100</f>
        <v>0.06</v>
      </c>
      <c r="AH38" s="2">
        <v>6</v>
      </c>
      <c r="AI38" s="23">
        <v>5</v>
      </c>
      <c r="AJ38" s="2" t="s">
        <v>229</v>
      </c>
      <c r="AK38" s="2" t="s">
        <v>230</v>
      </c>
      <c r="AL38" s="2" t="s">
        <v>307</v>
      </c>
      <c r="AM38" s="2" t="s">
        <v>196</v>
      </c>
      <c r="AN38" s="2" t="s">
        <v>911</v>
      </c>
      <c r="AO38" s="2" t="s">
        <v>203</v>
      </c>
      <c r="AP38" s="2" t="s">
        <v>880</v>
      </c>
      <c r="AQ38" s="25">
        <v>0</v>
      </c>
      <c r="AR38" s="25">
        <f>IFERROR((Table1[[#This Row],[Column7]]-Table1[[#This Row],[Column8]])/Table1[[#This Row],[Column7]], 0)</f>
        <v>-12.8</v>
      </c>
      <c r="AS38" s="2">
        <v>44.8</v>
      </c>
      <c r="AT38" s="21">
        <f>Table1[[#This Row],[Quantity]] * Table1[[#This Row],[CostPrice]]</f>
        <v>69</v>
      </c>
      <c r="AU38" s="2">
        <v>69</v>
      </c>
      <c r="AV38" s="13">
        <f>Table1[[#This Row],[Quantity]] * Table1[[#This Row],[UnitPrice]]</f>
        <v>125</v>
      </c>
      <c r="AW38" s="2">
        <v>125</v>
      </c>
      <c r="AX38" s="21">
        <f>Table1[[#This Row],[Column3]] * (Table1[[#This Row],[Column1]]/100)</f>
        <v>0</v>
      </c>
      <c r="AY38" s="2">
        <v>0</v>
      </c>
      <c r="AZ38" s="27">
        <f>Table1[[#This Row],[Column3]] * Table1[[#This Row],[Column4]]</f>
        <v>0</v>
      </c>
      <c r="BA38" s="2">
        <v>125</v>
      </c>
      <c r="BB38" s="15">
        <f>Table1[[#This Row],[Column5]] * (Table1[[#This Row],[Column2]]/100)</f>
        <v>0</v>
      </c>
      <c r="BC38" s="2">
        <v>7.5</v>
      </c>
      <c r="BD38" s="19">
        <f>Table1[[#This Row],[Column5]] + Table1[[#This Row],[Column6]] + Table1[[#This Row],[ShippingCost]]</f>
        <v>5</v>
      </c>
      <c r="BE38" s="2">
        <v>132.5</v>
      </c>
      <c r="BF38" s="2" t="s">
        <v>310</v>
      </c>
      <c r="BG38" s="2">
        <f>Table1[[#This Row],[DeliveryDate]]-Table1[[#This Row],[OrderDate]]</f>
        <v>5</v>
      </c>
      <c r="BH38" s="2">
        <v>5</v>
      </c>
      <c r="BI38" s="2" t="str">
        <f>IF(OR(Table1[[#This Row],[CustomerTier]]="Platinum", Table1[[#This Row],[Column7]]&gt;1000), "Yes", "No")</f>
        <v>No</v>
      </c>
      <c r="BJ38" s="2" t="s">
        <v>205</v>
      </c>
      <c r="BK38" s="2" t="str">
        <f>IF(Table1[[#This Row],[Quantity]]&gt;=10, "Yes", "No")</f>
        <v>No</v>
      </c>
      <c r="BL38" s="2" t="s">
        <v>205</v>
      </c>
      <c r="BM38" s="2">
        <f>IF(Table1[[#This Row],[Column12]]="Yes", 5%, 0)</f>
        <v>0</v>
      </c>
      <c r="BN38" s="2">
        <v>0</v>
      </c>
      <c r="BO38" s="2" t="s">
        <v>252</v>
      </c>
      <c r="BP38" s="2" t="s">
        <v>253</v>
      </c>
      <c r="BQ38" s="2" t="s">
        <v>208</v>
      </c>
      <c r="BR38" s="2" t="s">
        <v>255</v>
      </c>
      <c r="BS38" s="3" t="s">
        <v>210</v>
      </c>
    </row>
    <row r="39" spans="1:71" x14ac:dyDescent="0.25">
      <c r="A39" s="1" t="s">
        <v>516</v>
      </c>
      <c r="B39" s="11">
        <v>45691</v>
      </c>
      <c r="C39" s="11">
        <v>45694</v>
      </c>
      <c r="D39" s="2" t="s">
        <v>180</v>
      </c>
      <c r="E39" s="2" t="s">
        <v>212</v>
      </c>
      <c r="F39" s="2" t="s">
        <v>182</v>
      </c>
      <c r="G39" s="2" t="s">
        <v>183</v>
      </c>
      <c r="H39" s="2" t="s">
        <v>184</v>
      </c>
      <c r="I39" s="2" t="s">
        <v>185</v>
      </c>
      <c r="J39" s="2" t="s">
        <v>186</v>
      </c>
      <c r="K39" s="2" t="s">
        <v>184</v>
      </c>
      <c r="L39" s="2" t="s">
        <v>187</v>
      </c>
      <c r="M39" s="2" t="s">
        <v>188</v>
      </c>
      <c r="N39" s="2" t="s">
        <v>189</v>
      </c>
      <c r="O39" s="11">
        <v>43891</v>
      </c>
      <c r="P39" s="2" t="s">
        <v>517</v>
      </c>
      <c r="Q39" s="2" t="s">
        <v>518</v>
      </c>
      <c r="R39" s="2" t="s">
        <v>244</v>
      </c>
      <c r="S39" s="2" t="s">
        <v>519</v>
      </c>
      <c r="T39" s="2" t="s">
        <v>520</v>
      </c>
      <c r="U39" s="2" t="s">
        <v>247</v>
      </c>
      <c r="V39" s="13">
        <v>25</v>
      </c>
      <c r="W39" s="13">
        <v>13</v>
      </c>
      <c r="X39" s="2">
        <v>0.4</v>
      </c>
      <c r="Y39" s="2" t="s">
        <v>521</v>
      </c>
      <c r="Z39" s="2" t="s">
        <v>880</v>
      </c>
      <c r="AA39" s="2">
        <v>60</v>
      </c>
      <c r="AB39" s="2">
        <v>15</v>
      </c>
      <c r="AC39" s="2">
        <v>1</v>
      </c>
      <c r="AD39" s="2">
        <v>4</v>
      </c>
      <c r="AE39" s="17">
        <f>Table1[[#This Row],[Discount%]]/100</f>
        <v>0</v>
      </c>
      <c r="AF39" s="2">
        <v>0</v>
      </c>
      <c r="AG39" s="17">
        <f>Table1[[#This Row],[Tax%]]/100</f>
        <v>0.05</v>
      </c>
      <c r="AH39" s="2">
        <v>5</v>
      </c>
      <c r="AI39" s="23">
        <v>3</v>
      </c>
      <c r="AJ39" s="2" t="s">
        <v>366</v>
      </c>
      <c r="AK39" s="2" t="s">
        <v>230</v>
      </c>
      <c r="AL39" s="2" t="s">
        <v>322</v>
      </c>
      <c r="AM39" s="2" t="s">
        <v>232</v>
      </c>
      <c r="AN39" s="2" t="s">
        <v>912</v>
      </c>
      <c r="AO39" s="2" t="s">
        <v>203</v>
      </c>
      <c r="AP39" s="2" t="s">
        <v>880</v>
      </c>
      <c r="AQ39" s="25">
        <v>0</v>
      </c>
      <c r="AR39" s="25">
        <f>IFERROR((Table1[[#This Row],[Column7]]-Table1[[#This Row],[Column8]])/Table1[[#This Row],[Column7]], 0)</f>
        <v>-16.333333333333332</v>
      </c>
      <c r="AS39" s="2">
        <v>48</v>
      </c>
      <c r="AT39" s="21">
        <f>Table1[[#This Row],[Quantity]] * Table1[[#This Row],[CostPrice]]</f>
        <v>52</v>
      </c>
      <c r="AU39" s="2">
        <v>52</v>
      </c>
      <c r="AV39" s="13">
        <f>Table1[[#This Row],[Quantity]] * Table1[[#This Row],[UnitPrice]]</f>
        <v>100</v>
      </c>
      <c r="AW39" s="2">
        <v>100</v>
      </c>
      <c r="AX39" s="21">
        <f>Table1[[#This Row],[Column3]] * (Table1[[#This Row],[Column1]]/100)</f>
        <v>0</v>
      </c>
      <c r="AY39" s="2">
        <v>0</v>
      </c>
      <c r="AZ39" s="27">
        <f>Table1[[#This Row],[Column3]] * Table1[[#This Row],[Column4]]</f>
        <v>0</v>
      </c>
      <c r="BA39" s="2">
        <v>100</v>
      </c>
      <c r="BB39" s="15">
        <f>Table1[[#This Row],[Column5]] * (Table1[[#This Row],[Column2]]/100)</f>
        <v>0</v>
      </c>
      <c r="BC39" s="2">
        <v>5</v>
      </c>
      <c r="BD39" s="19">
        <f>Table1[[#This Row],[Column5]] + Table1[[#This Row],[Column6]] + Table1[[#This Row],[ShippingCost]]</f>
        <v>3</v>
      </c>
      <c r="BE39" s="2">
        <v>105</v>
      </c>
      <c r="BF39" s="2" t="s">
        <v>180</v>
      </c>
      <c r="BG39" s="2">
        <f>Table1[[#This Row],[DeliveryDate]]-Table1[[#This Row],[OrderDate]]</f>
        <v>3</v>
      </c>
      <c r="BH39" s="2">
        <v>3</v>
      </c>
      <c r="BI39" s="2" t="str">
        <f>IF(OR(Table1[[#This Row],[CustomerTier]]="Platinum", Table1[[#This Row],[Column7]]&gt;1000), "Yes", "No")</f>
        <v>No</v>
      </c>
      <c r="BJ39" s="2" t="s">
        <v>205</v>
      </c>
      <c r="BK39" s="2" t="str">
        <f>IF(Table1[[#This Row],[Quantity]]&gt;=10, "Yes", "No")</f>
        <v>No</v>
      </c>
      <c r="BL39" s="2" t="s">
        <v>205</v>
      </c>
      <c r="BM39" s="2">
        <f>IF(Table1[[#This Row],[Column12]]="Yes", 5%, 0)</f>
        <v>0</v>
      </c>
      <c r="BN39" s="2">
        <v>0</v>
      </c>
      <c r="BO39" s="2"/>
      <c r="BP39" s="2"/>
      <c r="BQ39" s="2" t="s">
        <v>254</v>
      </c>
      <c r="BR39" s="2" t="s">
        <v>209</v>
      </c>
      <c r="BS39" s="3" t="s">
        <v>210</v>
      </c>
    </row>
    <row r="40" spans="1:71" x14ac:dyDescent="0.25">
      <c r="A40" s="1" t="s">
        <v>522</v>
      </c>
      <c r="B40" s="11">
        <v>45691</v>
      </c>
      <c r="C40" s="11">
        <v>45696</v>
      </c>
      <c r="D40" s="2" t="s">
        <v>180</v>
      </c>
      <c r="E40" s="2" t="s">
        <v>181</v>
      </c>
      <c r="F40" s="2" t="s">
        <v>295</v>
      </c>
      <c r="G40" s="2" t="s">
        <v>296</v>
      </c>
      <c r="H40" s="2" t="s">
        <v>297</v>
      </c>
      <c r="I40" s="2" t="s">
        <v>298</v>
      </c>
      <c r="J40" s="2" t="s">
        <v>299</v>
      </c>
      <c r="K40" s="2" t="s">
        <v>297</v>
      </c>
      <c r="L40" s="2" t="s">
        <v>187</v>
      </c>
      <c r="M40" s="2" t="s">
        <v>300</v>
      </c>
      <c r="N40" s="2" t="s">
        <v>301</v>
      </c>
      <c r="O40" s="11">
        <v>43332</v>
      </c>
      <c r="P40" s="2" t="s">
        <v>523</v>
      </c>
      <c r="Q40" s="2" t="s">
        <v>524</v>
      </c>
      <c r="R40" s="2" t="s">
        <v>265</v>
      </c>
      <c r="S40" s="2" t="s">
        <v>266</v>
      </c>
      <c r="T40" s="2" t="s">
        <v>525</v>
      </c>
      <c r="U40" s="2" t="s">
        <v>444</v>
      </c>
      <c r="V40" s="13">
        <v>45</v>
      </c>
      <c r="W40" s="13">
        <v>25</v>
      </c>
      <c r="X40" s="2">
        <v>1.2</v>
      </c>
      <c r="Y40" s="2" t="s">
        <v>288</v>
      </c>
      <c r="Z40" s="2" t="s">
        <v>880</v>
      </c>
      <c r="AA40" s="2">
        <v>35</v>
      </c>
      <c r="AB40" s="2">
        <v>8</v>
      </c>
      <c r="AC40" s="2">
        <v>2</v>
      </c>
      <c r="AD40" s="2">
        <v>1</v>
      </c>
      <c r="AE40" s="17">
        <f>Table1[[#This Row],[Discount%]]/100</f>
        <v>0</v>
      </c>
      <c r="AF40" s="2">
        <v>0</v>
      </c>
      <c r="AG40" s="17">
        <f>Table1[[#This Row],[Tax%]]/100</f>
        <v>0.05</v>
      </c>
      <c r="AH40" s="2">
        <v>5</v>
      </c>
      <c r="AI40" s="23">
        <v>6</v>
      </c>
      <c r="AJ40" s="2" t="s">
        <v>198</v>
      </c>
      <c r="AK40" s="2" t="s">
        <v>199</v>
      </c>
      <c r="AL40" s="2" t="s">
        <v>270</v>
      </c>
      <c r="AM40" s="2" t="s">
        <v>271</v>
      </c>
      <c r="AN40" s="2" t="s">
        <v>913</v>
      </c>
      <c r="AO40" s="2" t="s">
        <v>203</v>
      </c>
      <c r="AP40" s="2" t="s">
        <v>880</v>
      </c>
      <c r="AQ40" s="25">
        <v>0</v>
      </c>
      <c r="AR40" s="25">
        <f>IFERROR((Table1[[#This Row],[Column7]]-Table1[[#This Row],[Column8]])/Table1[[#This Row],[Column7]], 0)</f>
        <v>-3.1666666666666665</v>
      </c>
      <c r="AS40" s="2">
        <v>44.44</v>
      </c>
      <c r="AT40" s="21">
        <f>Table1[[#This Row],[Quantity]] * Table1[[#This Row],[CostPrice]]</f>
        <v>25</v>
      </c>
      <c r="AU40" s="2">
        <v>25</v>
      </c>
      <c r="AV40" s="13">
        <f>Table1[[#This Row],[Quantity]] * Table1[[#This Row],[UnitPrice]]</f>
        <v>45</v>
      </c>
      <c r="AW40" s="2">
        <v>45</v>
      </c>
      <c r="AX40" s="21">
        <f>Table1[[#This Row],[Column3]] * (Table1[[#This Row],[Column1]]/100)</f>
        <v>0</v>
      </c>
      <c r="AY40" s="2">
        <v>0</v>
      </c>
      <c r="AZ40" s="27">
        <f>Table1[[#This Row],[Column3]] * Table1[[#This Row],[Column4]]</f>
        <v>0</v>
      </c>
      <c r="BA40" s="2">
        <v>45</v>
      </c>
      <c r="BB40" s="15">
        <f>Table1[[#This Row],[Column5]] * (Table1[[#This Row],[Column2]]/100)</f>
        <v>0</v>
      </c>
      <c r="BC40" s="2">
        <v>2.25</v>
      </c>
      <c r="BD40" s="19">
        <f>Table1[[#This Row],[Column5]] + Table1[[#This Row],[Column6]] + Table1[[#This Row],[ShippingCost]]</f>
        <v>6</v>
      </c>
      <c r="BE40" s="2">
        <v>47.25</v>
      </c>
      <c r="BF40" s="2" t="s">
        <v>180</v>
      </c>
      <c r="BG40" s="2">
        <f>Table1[[#This Row],[DeliveryDate]]-Table1[[#This Row],[OrderDate]]</f>
        <v>5</v>
      </c>
      <c r="BH40" s="2">
        <v>5</v>
      </c>
      <c r="BI40" s="2" t="str">
        <f>IF(OR(Table1[[#This Row],[CustomerTier]]="Platinum", Table1[[#This Row],[Column7]]&gt;1000), "Yes", "No")</f>
        <v>No</v>
      </c>
      <c r="BJ40" s="2" t="s">
        <v>205</v>
      </c>
      <c r="BK40" s="2" t="str">
        <f>IF(Table1[[#This Row],[Quantity]]&gt;=10, "Yes", "No")</f>
        <v>No</v>
      </c>
      <c r="BL40" s="2" t="s">
        <v>205</v>
      </c>
      <c r="BM40" s="2">
        <f>IF(Table1[[#This Row],[Column12]]="Yes", 5%, 0)</f>
        <v>0</v>
      </c>
      <c r="BN40" s="2">
        <v>0</v>
      </c>
      <c r="BO40" s="2"/>
      <c r="BP40" s="2"/>
      <c r="BQ40" s="2" t="s">
        <v>273</v>
      </c>
      <c r="BR40" s="2" t="s">
        <v>209</v>
      </c>
      <c r="BS40" s="3" t="s">
        <v>210</v>
      </c>
    </row>
    <row r="41" spans="1:71" x14ac:dyDescent="0.25">
      <c r="A41" s="1" t="s">
        <v>526</v>
      </c>
      <c r="B41" s="11">
        <v>45692</v>
      </c>
      <c r="C41" s="11">
        <v>45695</v>
      </c>
      <c r="D41" s="2" t="s">
        <v>180</v>
      </c>
      <c r="E41" s="2" t="s">
        <v>212</v>
      </c>
      <c r="F41" s="2" t="s">
        <v>311</v>
      </c>
      <c r="G41" s="2" t="s">
        <v>312</v>
      </c>
      <c r="H41" s="2" t="s">
        <v>184</v>
      </c>
      <c r="I41" s="2" t="s">
        <v>313</v>
      </c>
      <c r="J41" s="2" t="s">
        <v>314</v>
      </c>
      <c r="K41" s="2" t="s">
        <v>184</v>
      </c>
      <c r="L41" s="2" t="s">
        <v>218</v>
      </c>
      <c r="M41" s="2" t="s">
        <v>315</v>
      </c>
      <c r="N41" s="2" t="s">
        <v>316</v>
      </c>
      <c r="O41" s="11">
        <v>44745</v>
      </c>
      <c r="P41" s="2" t="s">
        <v>527</v>
      </c>
      <c r="Q41" s="2" t="s">
        <v>528</v>
      </c>
      <c r="R41" s="2" t="s">
        <v>223</v>
      </c>
      <c r="S41" s="2" t="s">
        <v>319</v>
      </c>
      <c r="T41" s="2" t="s">
        <v>225</v>
      </c>
      <c r="U41" s="2" t="s">
        <v>529</v>
      </c>
      <c r="V41" s="13">
        <v>40</v>
      </c>
      <c r="W41" s="13">
        <v>21</v>
      </c>
      <c r="X41" s="2">
        <v>0.6</v>
      </c>
      <c r="Y41" s="2" t="s">
        <v>530</v>
      </c>
      <c r="Z41" s="2">
        <v>9</v>
      </c>
      <c r="AA41" s="2">
        <v>50</v>
      </c>
      <c r="AB41" s="2">
        <v>12</v>
      </c>
      <c r="AC41" s="2">
        <v>2</v>
      </c>
      <c r="AD41" s="2">
        <v>2</v>
      </c>
      <c r="AE41" s="17">
        <f>Table1[[#This Row],[Discount%]]/100</f>
        <v>0</v>
      </c>
      <c r="AF41" s="2">
        <v>0</v>
      </c>
      <c r="AG41" s="17">
        <f>Table1[[#This Row],[Tax%]]/100</f>
        <v>0.05</v>
      </c>
      <c r="AH41" s="2">
        <v>5</v>
      </c>
      <c r="AI41" s="23">
        <v>4</v>
      </c>
      <c r="AJ41" s="2" t="s">
        <v>249</v>
      </c>
      <c r="AK41" s="2" t="s">
        <v>230</v>
      </c>
      <c r="AL41" s="2" t="s">
        <v>231</v>
      </c>
      <c r="AM41" s="2" t="s">
        <v>232</v>
      </c>
      <c r="AN41" s="2" t="s">
        <v>914</v>
      </c>
      <c r="AO41" s="2" t="s">
        <v>203</v>
      </c>
      <c r="AP41" s="2" t="s">
        <v>880</v>
      </c>
      <c r="AQ41" s="25">
        <v>0</v>
      </c>
      <c r="AR41" s="25">
        <f>IFERROR((Table1[[#This Row],[Column7]]-Table1[[#This Row],[Column8]])/Table1[[#This Row],[Column7]], 0)</f>
        <v>-9.5</v>
      </c>
      <c r="AS41" s="2">
        <v>47.5</v>
      </c>
      <c r="AT41" s="21">
        <f>Table1[[#This Row],[Quantity]] * Table1[[#This Row],[CostPrice]]</f>
        <v>42</v>
      </c>
      <c r="AU41" s="2">
        <v>42</v>
      </c>
      <c r="AV41" s="13">
        <f>Table1[[#This Row],[Quantity]] * Table1[[#This Row],[UnitPrice]]</f>
        <v>80</v>
      </c>
      <c r="AW41" s="2">
        <v>80</v>
      </c>
      <c r="AX41" s="21">
        <f>Table1[[#This Row],[Column3]] * (Table1[[#This Row],[Column1]]/100)</f>
        <v>0</v>
      </c>
      <c r="AY41" s="2">
        <v>0</v>
      </c>
      <c r="AZ41" s="27">
        <f>Table1[[#This Row],[Column3]] * Table1[[#This Row],[Column4]]</f>
        <v>0</v>
      </c>
      <c r="BA41" s="2">
        <v>80</v>
      </c>
      <c r="BB41" s="15">
        <f>Table1[[#This Row],[Column5]] * (Table1[[#This Row],[Column2]]/100)</f>
        <v>0</v>
      </c>
      <c r="BC41" s="2">
        <v>4</v>
      </c>
      <c r="BD41" s="19">
        <f>Table1[[#This Row],[Column5]] + Table1[[#This Row],[Column6]] + Table1[[#This Row],[ShippingCost]]</f>
        <v>4</v>
      </c>
      <c r="BE41" s="2">
        <v>84</v>
      </c>
      <c r="BF41" s="2" t="s">
        <v>180</v>
      </c>
      <c r="BG41" s="2">
        <f>Table1[[#This Row],[DeliveryDate]]-Table1[[#This Row],[OrderDate]]</f>
        <v>3</v>
      </c>
      <c r="BH41" s="2">
        <v>3</v>
      </c>
      <c r="BI41" s="2" t="str">
        <f>IF(OR(Table1[[#This Row],[CustomerTier]]="Platinum", Table1[[#This Row],[Column7]]&gt;1000), "Yes", "No")</f>
        <v>No</v>
      </c>
      <c r="BJ41" s="2" t="s">
        <v>205</v>
      </c>
      <c r="BK41" s="2" t="str">
        <f>IF(Table1[[#This Row],[Quantity]]&gt;=10, "Yes", "No")</f>
        <v>No</v>
      </c>
      <c r="BL41" s="2" t="s">
        <v>205</v>
      </c>
      <c r="BM41" s="2">
        <f>IF(Table1[[#This Row],[Column12]]="Yes", 5%, 0)</f>
        <v>0</v>
      </c>
      <c r="BN41" s="2">
        <v>0</v>
      </c>
      <c r="BO41" s="2"/>
      <c r="BP41" s="2"/>
      <c r="BQ41" s="2" t="s">
        <v>234</v>
      </c>
      <c r="BR41" s="2" t="s">
        <v>209</v>
      </c>
      <c r="BS41" s="3" t="s">
        <v>210</v>
      </c>
    </row>
    <row r="42" spans="1:71" x14ac:dyDescent="0.25">
      <c r="A42" s="1" t="s">
        <v>531</v>
      </c>
      <c r="B42" s="11">
        <v>45692</v>
      </c>
      <c r="C42" s="11">
        <v>45697</v>
      </c>
      <c r="D42" s="2" t="s">
        <v>371</v>
      </c>
      <c r="E42" s="2" t="s">
        <v>181</v>
      </c>
      <c r="F42" s="2" t="s">
        <v>325</v>
      </c>
      <c r="G42" s="2" t="s">
        <v>326</v>
      </c>
      <c r="H42" s="2" t="s">
        <v>215</v>
      </c>
      <c r="I42" s="2" t="s">
        <v>327</v>
      </c>
      <c r="J42" s="2" t="s">
        <v>217</v>
      </c>
      <c r="K42" s="2" t="s">
        <v>215</v>
      </c>
      <c r="L42" s="2" t="s">
        <v>218</v>
      </c>
      <c r="M42" s="2" t="s">
        <v>328</v>
      </c>
      <c r="N42" s="2" t="s">
        <v>329</v>
      </c>
      <c r="O42" s="11">
        <v>44300</v>
      </c>
      <c r="P42" s="2" t="s">
        <v>532</v>
      </c>
      <c r="Q42" s="2" t="s">
        <v>533</v>
      </c>
      <c r="R42" s="2" t="s">
        <v>284</v>
      </c>
      <c r="S42" s="2" t="s">
        <v>534</v>
      </c>
      <c r="T42" s="2" t="s">
        <v>430</v>
      </c>
      <c r="U42" s="2" t="s">
        <v>431</v>
      </c>
      <c r="V42" s="13">
        <v>180</v>
      </c>
      <c r="W42" s="13">
        <v>104</v>
      </c>
      <c r="X42" s="2">
        <v>18</v>
      </c>
      <c r="Y42" s="2" t="s">
        <v>382</v>
      </c>
      <c r="Z42" s="2" t="s">
        <v>880</v>
      </c>
      <c r="AA42" s="2">
        <v>10</v>
      </c>
      <c r="AB42" s="2">
        <v>2</v>
      </c>
      <c r="AC42" s="2">
        <v>5</v>
      </c>
      <c r="AD42" s="2">
        <v>1</v>
      </c>
      <c r="AE42" s="17">
        <f>Table1[[#This Row],[Discount%]]/100</f>
        <v>0.05</v>
      </c>
      <c r="AF42" s="2">
        <v>5</v>
      </c>
      <c r="AG42" s="17">
        <f>Table1[[#This Row],[Tax%]]/100</f>
        <v>7.0000000000000007E-2</v>
      </c>
      <c r="AH42" s="2">
        <v>7</v>
      </c>
      <c r="AI42" s="23">
        <v>25</v>
      </c>
      <c r="AJ42" s="2" t="s">
        <v>198</v>
      </c>
      <c r="AK42" s="2" t="s">
        <v>199</v>
      </c>
      <c r="AL42" s="2" t="s">
        <v>290</v>
      </c>
      <c r="AM42" s="2" t="s">
        <v>201</v>
      </c>
      <c r="AN42" s="2" t="s">
        <v>915</v>
      </c>
      <c r="AO42" s="2" t="s">
        <v>203</v>
      </c>
      <c r="AP42" s="2" t="s">
        <v>880</v>
      </c>
      <c r="AQ42" s="25">
        <v>0</v>
      </c>
      <c r="AR42" s="25">
        <f>IFERROR((Table1[[#This Row],[Column7]]-Table1[[#This Row],[Column8]])/Table1[[#This Row],[Column7]], 0)</f>
        <v>-1.5235772483981351</v>
      </c>
      <c r="AS42" s="2">
        <v>42.22</v>
      </c>
      <c r="AT42" s="21">
        <f>Table1[[#This Row],[Quantity]] * Table1[[#This Row],[CostPrice]]</f>
        <v>104</v>
      </c>
      <c r="AU42" s="2">
        <v>104</v>
      </c>
      <c r="AV42" s="13">
        <f>Table1[[#This Row],[Quantity]] * Table1[[#This Row],[UnitPrice]]</f>
        <v>180</v>
      </c>
      <c r="AW42" s="2">
        <v>180</v>
      </c>
      <c r="AX42" s="21">
        <f>Table1[[#This Row],[Column3]] * (Table1[[#This Row],[Column1]]/100)</f>
        <v>0.09</v>
      </c>
      <c r="AY42" s="2">
        <v>9</v>
      </c>
      <c r="AZ42" s="27">
        <f>Table1[[#This Row],[Column3]] * Table1[[#This Row],[Column4]]</f>
        <v>16.2</v>
      </c>
      <c r="BA42" s="2">
        <v>171</v>
      </c>
      <c r="BB42" s="15">
        <f>Table1[[#This Row],[Column5]] * (Table1[[#This Row],[Column2]]/100)</f>
        <v>1.1340000000000001E-2</v>
      </c>
      <c r="BC42" s="2">
        <v>11.97</v>
      </c>
      <c r="BD42" s="19">
        <f>Table1[[#This Row],[Column5]] + Table1[[#This Row],[Column6]] + Table1[[#This Row],[ShippingCost]]</f>
        <v>41.21134</v>
      </c>
      <c r="BE42" s="2">
        <v>182.97</v>
      </c>
      <c r="BF42" s="2" t="s">
        <v>371</v>
      </c>
      <c r="BG42" s="2">
        <f>Table1[[#This Row],[DeliveryDate]]-Table1[[#This Row],[OrderDate]]</f>
        <v>5</v>
      </c>
      <c r="BH42" s="2">
        <v>5</v>
      </c>
      <c r="BI42" s="2" t="str">
        <f>IF(OR(Table1[[#This Row],[CustomerTier]]="Platinum", Table1[[#This Row],[Column7]]&gt;1000), "Yes", "No")</f>
        <v>Yes</v>
      </c>
      <c r="BJ42" s="2" t="s">
        <v>205</v>
      </c>
      <c r="BK42" s="2" t="str">
        <f>IF(Table1[[#This Row],[Quantity]]&gt;=10, "Yes", "No")</f>
        <v>No</v>
      </c>
      <c r="BL42" s="2" t="s">
        <v>205</v>
      </c>
      <c r="BM42" s="2">
        <f>IF(Table1[[#This Row],[Column12]]="Yes", 5%, 0)</f>
        <v>0</v>
      </c>
      <c r="BN42" s="2">
        <v>0</v>
      </c>
      <c r="BO42" s="2" t="s">
        <v>291</v>
      </c>
      <c r="BP42" s="2" t="s">
        <v>292</v>
      </c>
      <c r="BQ42" s="2" t="s">
        <v>293</v>
      </c>
      <c r="BR42" s="2" t="s">
        <v>209</v>
      </c>
      <c r="BS42" s="3" t="s">
        <v>210</v>
      </c>
    </row>
    <row r="43" spans="1:71" x14ac:dyDescent="0.25">
      <c r="A43" s="1" t="s">
        <v>535</v>
      </c>
      <c r="B43" s="11">
        <v>45693</v>
      </c>
      <c r="C43" s="11">
        <v>45696</v>
      </c>
      <c r="D43" s="2" t="s">
        <v>180</v>
      </c>
      <c r="E43" s="2" t="s">
        <v>212</v>
      </c>
      <c r="F43" s="2" t="s">
        <v>337</v>
      </c>
      <c r="G43" s="2" t="s">
        <v>338</v>
      </c>
      <c r="H43" s="2" t="s">
        <v>184</v>
      </c>
      <c r="I43" s="2" t="s">
        <v>339</v>
      </c>
      <c r="J43" s="2" t="s">
        <v>340</v>
      </c>
      <c r="K43" s="2" t="s">
        <v>184</v>
      </c>
      <c r="L43" s="2" t="s">
        <v>218</v>
      </c>
      <c r="M43" s="2" t="s">
        <v>341</v>
      </c>
      <c r="N43" s="2" t="s">
        <v>342</v>
      </c>
      <c r="O43" s="11">
        <v>44982</v>
      </c>
      <c r="P43" s="2" t="s">
        <v>536</v>
      </c>
      <c r="Q43" s="2" t="s">
        <v>537</v>
      </c>
      <c r="R43" s="2" t="s">
        <v>402</v>
      </c>
      <c r="S43" s="2" t="s">
        <v>403</v>
      </c>
      <c r="T43" s="2" t="s">
        <v>538</v>
      </c>
      <c r="U43" s="2" t="s">
        <v>405</v>
      </c>
      <c r="V43" s="13">
        <v>32</v>
      </c>
      <c r="W43" s="13">
        <v>17</v>
      </c>
      <c r="X43" s="2">
        <v>0.2</v>
      </c>
      <c r="Y43" s="2" t="s">
        <v>382</v>
      </c>
      <c r="Z43" s="2" t="s">
        <v>880</v>
      </c>
      <c r="AA43" s="2">
        <v>70</v>
      </c>
      <c r="AB43" s="2">
        <v>15</v>
      </c>
      <c r="AC43" s="2">
        <v>1</v>
      </c>
      <c r="AD43" s="2">
        <v>3</v>
      </c>
      <c r="AE43" s="17">
        <f>Table1[[#This Row],[Discount%]]/100</f>
        <v>0</v>
      </c>
      <c r="AF43" s="2">
        <v>0</v>
      </c>
      <c r="AG43" s="17">
        <f>Table1[[#This Row],[Tax%]]/100</f>
        <v>0.05</v>
      </c>
      <c r="AH43" s="2">
        <v>5</v>
      </c>
      <c r="AI43" s="23">
        <v>3</v>
      </c>
      <c r="AJ43" s="2" t="s">
        <v>229</v>
      </c>
      <c r="AK43" s="2" t="s">
        <v>230</v>
      </c>
      <c r="AL43" s="2" t="s">
        <v>250</v>
      </c>
      <c r="AM43" s="2" t="s">
        <v>196</v>
      </c>
      <c r="AN43" s="2" t="s">
        <v>916</v>
      </c>
      <c r="AO43" s="2" t="s">
        <v>203</v>
      </c>
      <c r="AP43" s="2" t="s">
        <v>880</v>
      </c>
      <c r="AQ43" s="25">
        <v>0</v>
      </c>
      <c r="AR43" s="25">
        <f>IFERROR((Table1[[#This Row],[Column7]]-Table1[[#This Row],[Column8]])/Table1[[#This Row],[Column7]], 0)</f>
        <v>-16</v>
      </c>
      <c r="AS43" s="2">
        <v>46.88</v>
      </c>
      <c r="AT43" s="21">
        <f>Table1[[#This Row],[Quantity]] * Table1[[#This Row],[CostPrice]]</f>
        <v>51</v>
      </c>
      <c r="AU43" s="2">
        <v>51</v>
      </c>
      <c r="AV43" s="13">
        <f>Table1[[#This Row],[Quantity]] * Table1[[#This Row],[UnitPrice]]</f>
        <v>96</v>
      </c>
      <c r="AW43" s="2">
        <v>96</v>
      </c>
      <c r="AX43" s="21">
        <f>Table1[[#This Row],[Column3]] * (Table1[[#This Row],[Column1]]/100)</f>
        <v>0</v>
      </c>
      <c r="AY43" s="2">
        <v>0</v>
      </c>
      <c r="AZ43" s="27">
        <f>Table1[[#This Row],[Column3]] * Table1[[#This Row],[Column4]]</f>
        <v>0</v>
      </c>
      <c r="BA43" s="2">
        <v>96</v>
      </c>
      <c r="BB43" s="15">
        <f>Table1[[#This Row],[Column5]] * (Table1[[#This Row],[Column2]]/100)</f>
        <v>0</v>
      </c>
      <c r="BC43" s="2">
        <v>4.8</v>
      </c>
      <c r="BD43" s="19">
        <f>Table1[[#This Row],[Column5]] + Table1[[#This Row],[Column6]] + Table1[[#This Row],[ShippingCost]]</f>
        <v>3</v>
      </c>
      <c r="BE43" s="2">
        <v>100.8</v>
      </c>
      <c r="BF43" s="2" t="s">
        <v>180</v>
      </c>
      <c r="BG43" s="2">
        <f>Table1[[#This Row],[DeliveryDate]]-Table1[[#This Row],[OrderDate]]</f>
        <v>3</v>
      </c>
      <c r="BH43" s="2">
        <v>3</v>
      </c>
      <c r="BI43" s="2" t="str">
        <f>IF(OR(Table1[[#This Row],[CustomerTier]]="Platinum", Table1[[#This Row],[Column7]]&gt;1000), "Yes", "No")</f>
        <v>No</v>
      </c>
      <c r="BJ43" s="2" t="s">
        <v>205</v>
      </c>
      <c r="BK43" s="2" t="str">
        <f>IF(Table1[[#This Row],[Quantity]]&gt;=10, "Yes", "No")</f>
        <v>No</v>
      </c>
      <c r="BL43" s="2" t="s">
        <v>205</v>
      </c>
      <c r="BM43" s="2">
        <f>IF(Table1[[#This Row],[Column12]]="Yes", 5%, 0)</f>
        <v>0</v>
      </c>
      <c r="BN43" s="2">
        <v>0</v>
      </c>
      <c r="BO43" s="2"/>
      <c r="BP43" s="2"/>
      <c r="BQ43" s="2" t="s">
        <v>539</v>
      </c>
      <c r="BR43" s="2" t="s">
        <v>209</v>
      </c>
      <c r="BS43" s="3" t="s">
        <v>210</v>
      </c>
    </row>
    <row r="44" spans="1:71" x14ac:dyDescent="0.25">
      <c r="A44" s="1" t="s">
        <v>540</v>
      </c>
      <c r="B44" s="11">
        <v>45693</v>
      </c>
      <c r="C44" s="11">
        <v>45698</v>
      </c>
      <c r="D44" s="2" t="s">
        <v>180</v>
      </c>
      <c r="E44" s="2" t="s">
        <v>181</v>
      </c>
      <c r="F44" s="2" t="s">
        <v>355</v>
      </c>
      <c r="G44" s="2" t="s">
        <v>356</v>
      </c>
      <c r="H44" s="2" t="s">
        <v>297</v>
      </c>
      <c r="I44" s="2" t="s">
        <v>357</v>
      </c>
      <c r="J44" s="2" t="s">
        <v>358</v>
      </c>
      <c r="K44" s="2" t="s">
        <v>297</v>
      </c>
      <c r="L44" s="2" t="s">
        <v>218</v>
      </c>
      <c r="M44" s="2" t="s">
        <v>359</v>
      </c>
      <c r="N44" s="2" t="s">
        <v>360</v>
      </c>
      <c r="O44" s="11">
        <v>44895</v>
      </c>
      <c r="P44" s="2" t="s">
        <v>541</v>
      </c>
      <c r="Q44" s="2" t="s">
        <v>542</v>
      </c>
      <c r="R44" s="2" t="s">
        <v>265</v>
      </c>
      <c r="S44" s="2" t="s">
        <v>319</v>
      </c>
      <c r="T44" s="2" t="s">
        <v>320</v>
      </c>
      <c r="U44" s="2" t="s">
        <v>321</v>
      </c>
      <c r="V44" s="13">
        <v>145</v>
      </c>
      <c r="W44" s="13">
        <v>80</v>
      </c>
      <c r="X44" s="2">
        <v>2.2000000000000002</v>
      </c>
      <c r="Y44" s="2" t="s">
        <v>530</v>
      </c>
      <c r="Z44" s="2">
        <v>10</v>
      </c>
      <c r="AA44" s="2">
        <v>25</v>
      </c>
      <c r="AB44" s="2">
        <v>5</v>
      </c>
      <c r="AC44" s="2">
        <v>3</v>
      </c>
      <c r="AD44" s="2">
        <v>1</v>
      </c>
      <c r="AE44" s="17">
        <f>Table1[[#This Row],[Discount%]]/100</f>
        <v>0.1</v>
      </c>
      <c r="AF44" s="2">
        <v>10</v>
      </c>
      <c r="AG44" s="17">
        <f>Table1[[#This Row],[Tax%]]/100</f>
        <v>0.06</v>
      </c>
      <c r="AH44" s="2">
        <v>6</v>
      </c>
      <c r="AI44" s="23">
        <v>12</v>
      </c>
      <c r="AJ44" s="2" t="s">
        <v>198</v>
      </c>
      <c r="AK44" s="2" t="s">
        <v>230</v>
      </c>
      <c r="AL44" s="2" t="s">
        <v>348</v>
      </c>
      <c r="AM44" s="2" t="s">
        <v>232</v>
      </c>
      <c r="AN44" s="2" t="s">
        <v>917</v>
      </c>
      <c r="AO44" s="2" t="s">
        <v>203</v>
      </c>
      <c r="AP44" s="2" t="s">
        <v>880</v>
      </c>
      <c r="AQ44" s="25">
        <v>0</v>
      </c>
      <c r="AR44" s="25">
        <f>IFERROR((Table1[[#This Row],[Column7]]-Table1[[#This Row],[Column8]])/Table1[[#This Row],[Column7]], 0)</f>
        <v>-1.4214823013101883</v>
      </c>
      <c r="AS44" s="2">
        <v>44.83</v>
      </c>
      <c r="AT44" s="21">
        <f>Table1[[#This Row],[Quantity]] * Table1[[#This Row],[CostPrice]]</f>
        <v>80</v>
      </c>
      <c r="AU44" s="2">
        <v>80</v>
      </c>
      <c r="AV44" s="13">
        <f>Table1[[#This Row],[Quantity]] * Table1[[#This Row],[UnitPrice]]</f>
        <v>145</v>
      </c>
      <c r="AW44" s="2">
        <v>145</v>
      </c>
      <c r="AX44" s="21">
        <f>Table1[[#This Row],[Column3]] * (Table1[[#This Row],[Column1]]/100)</f>
        <v>0.14499999999999999</v>
      </c>
      <c r="AY44" s="2">
        <v>14.5</v>
      </c>
      <c r="AZ44" s="27">
        <f>Table1[[#This Row],[Column3]] * Table1[[#This Row],[Column4]]</f>
        <v>21.024999999999999</v>
      </c>
      <c r="BA44" s="2">
        <v>130.5</v>
      </c>
      <c r="BB44" s="15">
        <f>Table1[[#This Row],[Column5]] * (Table1[[#This Row],[Column2]]/100)</f>
        <v>1.2614999999999998E-2</v>
      </c>
      <c r="BC44" s="2">
        <v>7.83</v>
      </c>
      <c r="BD44" s="19">
        <f>Table1[[#This Row],[Column5]] + Table1[[#This Row],[Column6]] + Table1[[#This Row],[ShippingCost]]</f>
        <v>33.037615000000002</v>
      </c>
      <c r="BE44" s="2">
        <v>138.33000000000001</v>
      </c>
      <c r="BF44" s="2" t="s">
        <v>180</v>
      </c>
      <c r="BG44" s="2">
        <f>Table1[[#This Row],[DeliveryDate]]-Table1[[#This Row],[OrderDate]]</f>
        <v>5</v>
      </c>
      <c r="BH44" s="2">
        <v>5</v>
      </c>
      <c r="BI44" s="2" t="str">
        <f>IF(OR(Table1[[#This Row],[CustomerTier]]="Platinum", Table1[[#This Row],[Column7]]&gt;1000), "Yes", "No")</f>
        <v>No</v>
      </c>
      <c r="BJ44" s="2" t="s">
        <v>205</v>
      </c>
      <c r="BK44" s="2" t="str">
        <f>IF(Table1[[#This Row],[Quantity]]&gt;=10, "Yes", "No")</f>
        <v>No</v>
      </c>
      <c r="BL44" s="2" t="s">
        <v>205</v>
      </c>
      <c r="BM44" s="2">
        <f>IF(Table1[[#This Row],[Column12]]="Yes", 5%, 0)</f>
        <v>0</v>
      </c>
      <c r="BN44" s="2">
        <v>0</v>
      </c>
      <c r="BO44" s="2" t="s">
        <v>206</v>
      </c>
      <c r="BP44" s="2" t="s">
        <v>207</v>
      </c>
      <c r="BQ44" s="2" t="s">
        <v>273</v>
      </c>
      <c r="BR44" s="2" t="s">
        <v>209</v>
      </c>
      <c r="BS44" s="3" t="s">
        <v>210</v>
      </c>
    </row>
    <row r="45" spans="1:71" x14ac:dyDescent="0.25">
      <c r="A45" s="1" t="s">
        <v>543</v>
      </c>
      <c r="B45" s="11">
        <v>45694</v>
      </c>
      <c r="C45" s="11">
        <v>45697</v>
      </c>
      <c r="D45" s="2" t="s">
        <v>180</v>
      </c>
      <c r="E45" s="2" t="s">
        <v>212</v>
      </c>
      <c r="F45" s="2" t="s">
        <v>372</v>
      </c>
      <c r="G45" s="2" t="s">
        <v>373</v>
      </c>
      <c r="H45" s="2" t="s">
        <v>297</v>
      </c>
      <c r="I45" s="2" t="s">
        <v>374</v>
      </c>
      <c r="J45" s="2" t="s">
        <v>375</v>
      </c>
      <c r="K45" s="2" t="s">
        <v>297</v>
      </c>
      <c r="L45" s="2" t="s">
        <v>218</v>
      </c>
      <c r="M45" s="2" t="s">
        <v>376</v>
      </c>
      <c r="N45" s="2" t="s">
        <v>377</v>
      </c>
      <c r="O45" s="11">
        <v>45033</v>
      </c>
      <c r="P45" s="2" t="s">
        <v>544</v>
      </c>
      <c r="Q45" s="2" t="s">
        <v>545</v>
      </c>
      <c r="R45" s="2" t="s">
        <v>244</v>
      </c>
      <c r="S45" s="2" t="s">
        <v>519</v>
      </c>
      <c r="T45" s="2" t="s">
        <v>546</v>
      </c>
      <c r="U45" s="2" t="s">
        <v>247</v>
      </c>
      <c r="V45" s="13">
        <v>85</v>
      </c>
      <c r="W45" s="13">
        <v>45</v>
      </c>
      <c r="X45" s="2">
        <v>2.1</v>
      </c>
      <c r="Y45" s="2" t="s">
        <v>227</v>
      </c>
      <c r="Z45" s="2" t="s">
        <v>880</v>
      </c>
      <c r="AA45" s="2">
        <v>20</v>
      </c>
      <c r="AB45" s="2">
        <v>5</v>
      </c>
      <c r="AC45" s="2">
        <v>2</v>
      </c>
      <c r="AD45" s="2">
        <v>2</v>
      </c>
      <c r="AE45" s="17">
        <f>Table1[[#This Row],[Discount%]]/100</f>
        <v>0</v>
      </c>
      <c r="AF45" s="2">
        <v>0</v>
      </c>
      <c r="AG45" s="17">
        <f>Table1[[#This Row],[Tax%]]/100</f>
        <v>0.06</v>
      </c>
      <c r="AH45" s="2">
        <v>6</v>
      </c>
      <c r="AI45" s="23">
        <v>8</v>
      </c>
      <c r="AJ45" s="2" t="s">
        <v>249</v>
      </c>
      <c r="AK45" s="2" t="s">
        <v>230</v>
      </c>
      <c r="AL45" s="2" t="s">
        <v>307</v>
      </c>
      <c r="AM45" s="2" t="s">
        <v>196</v>
      </c>
      <c r="AN45" s="2" t="s">
        <v>918</v>
      </c>
      <c r="AO45" s="2" t="s">
        <v>203</v>
      </c>
      <c r="AP45" s="2" t="s">
        <v>880</v>
      </c>
      <c r="AQ45" s="25">
        <v>0</v>
      </c>
      <c r="AR45" s="25">
        <f>IFERROR((Table1[[#This Row],[Column7]]-Table1[[#This Row],[Column8]])/Table1[[#This Row],[Column7]], 0)</f>
        <v>-10.25</v>
      </c>
      <c r="AS45" s="2">
        <v>47.06</v>
      </c>
      <c r="AT45" s="21">
        <f>Table1[[#This Row],[Quantity]] * Table1[[#This Row],[CostPrice]]</f>
        <v>90</v>
      </c>
      <c r="AU45" s="2">
        <v>90</v>
      </c>
      <c r="AV45" s="13">
        <f>Table1[[#This Row],[Quantity]] * Table1[[#This Row],[UnitPrice]]</f>
        <v>170</v>
      </c>
      <c r="AW45" s="2">
        <v>170</v>
      </c>
      <c r="AX45" s="21">
        <f>Table1[[#This Row],[Column3]] * (Table1[[#This Row],[Column1]]/100)</f>
        <v>0</v>
      </c>
      <c r="AY45" s="2">
        <v>0</v>
      </c>
      <c r="AZ45" s="27">
        <f>Table1[[#This Row],[Column3]] * Table1[[#This Row],[Column4]]</f>
        <v>0</v>
      </c>
      <c r="BA45" s="2">
        <v>170</v>
      </c>
      <c r="BB45" s="15">
        <f>Table1[[#This Row],[Column5]] * (Table1[[#This Row],[Column2]]/100)</f>
        <v>0</v>
      </c>
      <c r="BC45" s="2">
        <v>10.199999999999999</v>
      </c>
      <c r="BD45" s="19">
        <f>Table1[[#This Row],[Column5]] + Table1[[#This Row],[Column6]] + Table1[[#This Row],[ShippingCost]]</f>
        <v>8</v>
      </c>
      <c r="BE45" s="2">
        <v>180.2</v>
      </c>
      <c r="BF45" s="2" t="s">
        <v>180</v>
      </c>
      <c r="BG45" s="2">
        <f>Table1[[#This Row],[DeliveryDate]]-Table1[[#This Row],[OrderDate]]</f>
        <v>3</v>
      </c>
      <c r="BH45" s="2">
        <v>3</v>
      </c>
      <c r="BI45" s="2" t="str">
        <f>IF(OR(Table1[[#This Row],[CustomerTier]]="Platinum", Table1[[#This Row],[Column7]]&gt;1000), "Yes", "No")</f>
        <v>No</v>
      </c>
      <c r="BJ45" s="2" t="s">
        <v>205</v>
      </c>
      <c r="BK45" s="2" t="str">
        <f>IF(Table1[[#This Row],[Quantity]]&gt;=10, "Yes", "No")</f>
        <v>No</v>
      </c>
      <c r="BL45" s="2" t="s">
        <v>205</v>
      </c>
      <c r="BM45" s="2">
        <f>IF(Table1[[#This Row],[Column12]]="Yes", 5%, 0)</f>
        <v>0</v>
      </c>
      <c r="BN45" s="2">
        <v>0</v>
      </c>
      <c r="BO45" s="2"/>
      <c r="BP45" s="2"/>
      <c r="BQ45" s="2" t="s">
        <v>254</v>
      </c>
      <c r="BR45" s="2" t="s">
        <v>209</v>
      </c>
      <c r="BS45" s="3" t="s">
        <v>210</v>
      </c>
    </row>
    <row r="46" spans="1:71" x14ac:dyDescent="0.25">
      <c r="A46" s="1" t="s">
        <v>547</v>
      </c>
      <c r="B46" s="11">
        <v>45694</v>
      </c>
      <c r="C46" s="11">
        <v>45699</v>
      </c>
      <c r="D46" s="2" t="s">
        <v>310</v>
      </c>
      <c r="E46" s="2" t="s">
        <v>181</v>
      </c>
      <c r="F46" s="2" t="s">
        <v>213</v>
      </c>
      <c r="G46" s="2" t="s">
        <v>214</v>
      </c>
      <c r="H46" s="2" t="s">
        <v>215</v>
      </c>
      <c r="I46" s="2" t="s">
        <v>216</v>
      </c>
      <c r="J46" s="2" t="s">
        <v>217</v>
      </c>
      <c r="K46" s="2" t="s">
        <v>215</v>
      </c>
      <c r="L46" s="2" t="s">
        <v>218</v>
      </c>
      <c r="M46" s="2" t="s">
        <v>219</v>
      </c>
      <c r="N46" s="2" t="s">
        <v>220</v>
      </c>
      <c r="O46" s="11">
        <v>44362</v>
      </c>
      <c r="P46" s="2" t="s">
        <v>548</v>
      </c>
      <c r="Q46" s="2" t="s">
        <v>549</v>
      </c>
      <c r="R46" s="2" t="s">
        <v>192</v>
      </c>
      <c r="S46" s="2" t="s">
        <v>193</v>
      </c>
      <c r="T46" s="2" t="s">
        <v>550</v>
      </c>
      <c r="U46" s="2" t="s">
        <v>365</v>
      </c>
      <c r="V46" s="13">
        <v>110</v>
      </c>
      <c r="W46" s="13">
        <v>61</v>
      </c>
      <c r="X46" s="2">
        <v>0.4</v>
      </c>
      <c r="Y46" s="2" t="s">
        <v>288</v>
      </c>
      <c r="Z46" s="2" t="s">
        <v>551</v>
      </c>
      <c r="AA46" s="2">
        <v>30</v>
      </c>
      <c r="AB46" s="2">
        <v>8</v>
      </c>
      <c r="AC46" s="2">
        <v>2</v>
      </c>
      <c r="AD46" s="2">
        <v>2</v>
      </c>
      <c r="AE46" s="17">
        <f>Table1[[#This Row],[Discount%]]/100</f>
        <v>0.05</v>
      </c>
      <c r="AF46" s="2">
        <v>5</v>
      </c>
      <c r="AG46" s="17">
        <f>Table1[[#This Row],[Tax%]]/100</f>
        <v>0.05</v>
      </c>
      <c r="AH46" s="2">
        <v>5</v>
      </c>
      <c r="AI46" s="23">
        <v>6</v>
      </c>
      <c r="AJ46" s="2" t="s">
        <v>289</v>
      </c>
      <c r="AK46" s="2" t="s">
        <v>199</v>
      </c>
      <c r="AL46" s="2" t="s">
        <v>367</v>
      </c>
      <c r="AM46" s="2" t="s">
        <v>271</v>
      </c>
      <c r="AN46" s="2" t="s">
        <v>919</v>
      </c>
      <c r="AO46" s="2" t="s">
        <v>203</v>
      </c>
      <c r="AP46" s="2" t="s">
        <v>880</v>
      </c>
      <c r="AQ46" s="25">
        <v>0</v>
      </c>
      <c r="AR46" s="25">
        <f>IFERROR((Table1[[#This Row],[Column7]]-Table1[[#This Row],[Column8]])/Table1[[#This Row],[Column7]], 0)</f>
        <v>-3.0381171782166749</v>
      </c>
      <c r="AS46" s="2">
        <v>44.55</v>
      </c>
      <c r="AT46" s="21">
        <f>Table1[[#This Row],[Quantity]] * Table1[[#This Row],[CostPrice]]</f>
        <v>122</v>
      </c>
      <c r="AU46" s="2">
        <v>122</v>
      </c>
      <c r="AV46" s="13">
        <f>Table1[[#This Row],[Quantity]] * Table1[[#This Row],[UnitPrice]]</f>
        <v>220</v>
      </c>
      <c r="AW46" s="2">
        <v>220</v>
      </c>
      <c r="AX46" s="21">
        <f>Table1[[#This Row],[Column3]] * (Table1[[#This Row],[Column1]]/100)</f>
        <v>0.11</v>
      </c>
      <c r="AY46" s="2">
        <v>11</v>
      </c>
      <c r="AZ46" s="27">
        <f>Table1[[#This Row],[Column3]] * Table1[[#This Row],[Column4]]</f>
        <v>24.2</v>
      </c>
      <c r="BA46" s="2">
        <v>209</v>
      </c>
      <c r="BB46" s="15">
        <f>Table1[[#This Row],[Column5]] * (Table1[[#This Row],[Column2]]/100)</f>
        <v>1.21E-2</v>
      </c>
      <c r="BC46" s="2">
        <v>10.45</v>
      </c>
      <c r="BD46" s="19">
        <f>Table1[[#This Row],[Column5]] + Table1[[#This Row],[Column6]] + Table1[[#This Row],[ShippingCost]]</f>
        <v>30.2121</v>
      </c>
      <c r="BE46" s="2">
        <v>219.45</v>
      </c>
      <c r="BF46" s="2" t="s">
        <v>310</v>
      </c>
      <c r="BG46" s="2">
        <f>Table1[[#This Row],[DeliveryDate]]-Table1[[#This Row],[OrderDate]]</f>
        <v>5</v>
      </c>
      <c r="BH46" s="2">
        <v>5</v>
      </c>
      <c r="BI46" s="2" t="str">
        <f>IF(OR(Table1[[#This Row],[CustomerTier]]="Platinum", Table1[[#This Row],[Column7]]&gt;1000), "Yes", "No")</f>
        <v>No</v>
      </c>
      <c r="BJ46" s="2" t="s">
        <v>204</v>
      </c>
      <c r="BK46" s="2" t="str">
        <f>IF(Table1[[#This Row],[Quantity]]&gt;=10, "Yes", "No")</f>
        <v>No</v>
      </c>
      <c r="BL46" s="2" t="s">
        <v>205</v>
      </c>
      <c r="BM46" s="2">
        <f>IF(Table1[[#This Row],[Column12]]="Yes", 5%, 0)</f>
        <v>0</v>
      </c>
      <c r="BN46" s="2">
        <v>0</v>
      </c>
      <c r="BO46" s="2" t="s">
        <v>252</v>
      </c>
      <c r="BP46" s="2" t="s">
        <v>253</v>
      </c>
      <c r="BQ46" s="2" t="s">
        <v>208</v>
      </c>
      <c r="BR46" s="2" t="s">
        <v>209</v>
      </c>
      <c r="BS46" s="3" t="s">
        <v>210</v>
      </c>
    </row>
    <row r="47" spans="1:71" x14ac:dyDescent="0.25">
      <c r="A47" s="1" t="s">
        <v>552</v>
      </c>
      <c r="B47" s="11">
        <v>45695</v>
      </c>
      <c r="C47" s="11">
        <v>45698</v>
      </c>
      <c r="D47" s="2" t="s">
        <v>180</v>
      </c>
      <c r="E47" s="2" t="s">
        <v>212</v>
      </c>
      <c r="F47" s="2" t="s">
        <v>257</v>
      </c>
      <c r="G47" s="2" t="s">
        <v>258</v>
      </c>
      <c r="H47" s="2" t="s">
        <v>184</v>
      </c>
      <c r="I47" s="2" t="s">
        <v>259</v>
      </c>
      <c r="J47" s="2" t="s">
        <v>260</v>
      </c>
      <c r="K47" s="2" t="s">
        <v>184</v>
      </c>
      <c r="L47" s="2" t="s">
        <v>218</v>
      </c>
      <c r="M47" s="2" t="s">
        <v>261</v>
      </c>
      <c r="N47" s="2" t="s">
        <v>262</v>
      </c>
      <c r="O47" s="11">
        <v>44140</v>
      </c>
      <c r="P47" s="2" t="s">
        <v>553</v>
      </c>
      <c r="Q47" s="2" t="s">
        <v>554</v>
      </c>
      <c r="R47" s="2" t="s">
        <v>265</v>
      </c>
      <c r="S47" s="2" t="s">
        <v>224</v>
      </c>
      <c r="T47" s="2" t="s">
        <v>267</v>
      </c>
      <c r="U47" s="2" t="s">
        <v>268</v>
      </c>
      <c r="V47" s="13">
        <v>48</v>
      </c>
      <c r="W47" s="13">
        <v>25</v>
      </c>
      <c r="X47" s="2">
        <v>0.5</v>
      </c>
      <c r="Y47" s="2" t="s">
        <v>288</v>
      </c>
      <c r="Z47" s="2" t="s">
        <v>228</v>
      </c>
      <c r="AA47" s="2">
        <v>65</v>
      </c>
      <c r="AB47" s="2">
        <v>15</v>
      </c>
      <c r="AC47" s="2">
        <v>2</v>
      </c>
      <c r="AD47" s="2">
        <v>2</v>
      </c>
      <c r="AE47" s="17">
        <f>Table1[[#This Row],[Discount%]]/100</f>
        <v>0</v>
      </c>
      <c r="AF47" s="2">
        <v>0</v>
      </c>
      <c r="AG47" s="17">
        <f>Table1[[#This Row],[Tax%]]/100</f>
        <v>0.06</v>
      </c>
      <c r="AH47" s="2">
        <v>6</v>
      </c>
      <c r="AI47" s="23">
        <v>4</v>
      </c>
      <c r="AJ47" s="2" t="s">
        <v>366</v>
      </c>
      <c r="AK47" s="2" t="s">
        <v>230</v>
      </c>
      <c r="AL47" s="2" t="s">
        <v>231</v>
      </c>
      <c r="AM47" s="2" t="s">
        <v>232</v>
      </c>
      <c r="AN47" s="2" t="s">
        <v>920</v>
      </c>
      <c r="AO47" s="2" t="s">
        <v>203</v>
      </c>
      <c r="AP47" s="2" t="s">
        <v>880</v>
      </c>
      <c r="AQ47" s="25">
        <v>0</v>
      </c>
      <c r="AR47" s="25">
        <f>IFERROR((Table1[[#This Row],[Column7]]-Table1[[#This Row],[Column8]])/Table1[[#This Row],[Column7]], 0)</f>
        <v>-11.5</v>
      </c>
      <c r="AS47" s="2">
        <v>47.92</v>
      </c>
      <c r="AT47" s="21">
        <f>Table1[[#This Row],[Quantity]] * Table1[[#This Row],[CostPrice]]</f>
        <v>50</v>
      </c>
      <c r="AU47" s="2">
        <v>50</v>
      </c>
      <c r="AV47" s="13">
        <f>Table1[[#This Row],[Quantity]] * Table1[[#This Row],[UnitPrice]]</f>
        <v>96</v>
      </c>
      <c r="AW47" s="2">
        <v>96</v>
      </c>
      <c r="AX47" s="21">
        <f>Table1[[#This Row],[Column3]] * (Table1[[#This Row],[Column1]]/100)</f>
        <v>0</v>
      </c>
      <c r="AY47" s="2">
        <v>0</v>
      </c>
      <c r="AZ47" s="27">
        <f>Table1[[#This Row],[Column3]] * Table1[[#This Row],[Column4]]</f>
        <v>0</v>
      </c>
      <c r="BA47" s="2">
        <v>96</v>
      </c>
      <c r="BB47" s="15">
        <f>Table1[[#This Row],[Column5]] * (Table1[[#This Row],[Column2]]/100)</f>
        <v>0</v>
      </c>
      <c r="BC47" s="2">
        <v>5.76</v>
      </c>
      <c r="BD47" s="19">
        <f>Table1[[#This Row],[Column5]] + Table1[[#This Row],[Column6]] + Table1[[#This Row],[ShippingCost]]</f>
        <v>4</v>
      </c>
      <c r="BE47" s="2">
        <v>101.76</v>
      </c>
      <c r="BF47" s="2" t="s">
        <v>180</v>
      </c>
      <c r="BG47" s="2">
        <f>Table1[[#This Row],[DeliveryDate]]-Table1[[#This Row],[OrderDate]]</f>
        <v>3</v>
      </c>
      <c r="BH47" s="2">
        <v>3</v>
      </c>
      <c r="BI47" s="2" t="str">
        <f>IF(OR(Table1[[#This Row],[CustomerTier]]="Platinum", Table1[[#This Row],[Column7]]&gt;1000), "Yes", "No")</f>
        <v>No</v>
      </c>
      <c r="BJ47" s="2" t="s">
        <v>205</v>
      </c>
      <c r="BK47" s="2" t="str">
        <f>IF(Table1[[#This Row],[Quantity]]&gt;=10, "Yes", "No")</f>
        <v>No</v>
      </c>
      <c r="BL47" s="2" t="s">
        <v>205</v>
      </c>
      <c r="BM47" s="2">
        <f>IF(Table1[[#This Row],[Column12]]="Yes", 5%, 0)</f>
        <v>0</v>
      </c>
      <c r="BN47" s="2">
        <v>0</v>
      </c>
      <c r="BO47" s="2"/>
      <c r="BP47" s="2"/>
      <c r="BQ47" s="2" t="s">
        <v>273</v>
      </c>
      <c r="BR47" s="2" t="s">
        <v>209</v>
      </c>
      <c r="BS47" s="3" t="s">
        <v>210</v>
      </c>
    </row>
    <row r="48" spans="1:71" x14ac:dyDescent="0.25">
      <c r="A48" s="1" t="s">
        <v>555</v>
      </c>
      <c r="B48" s="11">
        <v>45695</v>
      </c>
      <c r="C48" s="11">
        <v>45700</v>
      </c>
      <c r="D48" s="2" t="s">
        <v>180</v>
      </c>
      <c r="E48" s="2" t="s">
        <v>181</v>
      </c>
      <c r="F48" s="2" t="s">
        <v>275</v>
      </c>
      <c r="G48" s="2" t="s">
        <v>276</v>
      </c>
      <c r="H48" s="2" t="s">
        <v>277</v>
      </c>
      <c r="I48" s="2" t="s">
        <v>278</v>
      </c>
      <c r="J48" s="2" t="s">
        <v>279</v>
      </c>
      <c r="K48" s="2" t="s">
        <v>277</v>
      </c>
      <c r="L48" s="2" t="s">
        <v>187</v>
      </c>
      <c r="M48" s="2" t="s">
        <v>280</v>
      </c>
      <c r="N48" s="2" t="s">
        <v>281</v>
      </c>
      <c r="O48" s="11">
        <v>43508</v>
      </c>
      <c r="P48" s="2" t="s">
        <v>556</v>
      </c>
      <c r="Q48" s="2" t="s">
        <v>557</v>
      </c>
      <c r="R48" s="2" t="s">
        <v>192</v>
      </c>
      <c r="S48" s="2" t="s">
        <v>558</v>
      </c>
      <c r="T48" s="2" t="s">
        <v>194</v>
      </c>
      <c r="U48" s="2" t="s">
        <v>195</v>
      </c>
      <c r="V48" s="13">
        <v>900</v>
      </c>
      <c r="W48" s="13">
        <v>540</v>
      </c>
      <c r="X48" s="2">
        <v>0.3</v>
      </c>
      <c r="Y48" s="2" t="s">
        <v>288</v>
      </c>
      <c r="Z48" s="2" t="s">
        <v>559</v>
      </c>
      <c r="AA48" s="2">
        <v>20</v>
      </c>
      <c r="AB48" s="2">
        <v>5</v>
      </c>
      <c r="AC48" s="2">
        <v>2</v>
      </c>
      <c r="AD48" s="2">
        <v>1</v>
      </c>
      <c r="AE48" s="17">
        <f>Table1[[#This Row],[Discount%]]/100</f>
        <v>0.05</v>
      </c>
      <c r="AF48" s="2">
        <v>5</v>
      </c>
      <c r="AG48" s="17">
        <f>Table1[[#This Row],[Tax%]]/100</f>
        <v>0.08</v>
      </c>
      <c r="AH48" s="2">
        <v>8</v>
      </c>
      <c r="AI48" s="23">
        <v>10</v>
      </c>
      <c r="AJ48" s="2" t="s">
        <v>198</v>
      </c>
      <c r="AK48" s="2" t="s">
        <v>199</v>
      </c>
      <c r="AL48" s="2" t="s">
        <v>200</v>
      </c>
      <c r="AM48" s="2" t="s">
        <v>201</v>
      </c>
      <c r="AN48" s="2" t="s">
        <v>921</v>
      </c>
      <c r="AO48" s="2" t="s">
        <v>203</v>
      </c>
      <c r="AP48" s="2" t="s">
        <v>880</v>
      </c>
      <c r="AQ48" s="25">
        <v>0</v>
      </c>
      <c r="AR48" s="25">
        <f>IFERROR((Table1[[#This Row],[Column7]]-Table1[[#This Row],[Column8]])/Table1[[#This Row],[Column7]], 0)</f>
        <v>-0.30018973139043248</v>
      </c>
      <c r="AS48" s="2">
        <v>40</v>
      </c>
      <c r="AT48" s="21">
        <f>Table1[[#This Row],[Quantity]] * Table1[[#This Row],[CostPrice]]</f>
        <v>540</v>
      </c>
      <c r="AU48" s="2">
        <v>540</v>
      </c>
      <c r="AV48" s="13">
        <f>Table1[[#This Row],[Quantity]] * Table1[[#This Row],[UnitPrice]]</f>
        <v>900</v>
      </c>
      <c r="AW48" s="2">
        <v>900</v>
      </c>
      <c r="AX48" s="21">
        <f>Table1[[#This Row],[Column3]] * (Table1[[#This Row],[Column1]]/100)</f>
        <v>0.45</v>
      </c>
      <c r="AY48" s="2">
        <v>45</v>
      </c>
      <c r="AZ48" s="27">
        <f>Table1[[#This Row],[Column3]] * Table1[[#This Row],[Column4]]</f>
        <v>405</v>
      </c>
      <c r="BA48" s="2">
        <v>855</v>
      </c>
      <c r="BB48" s="15">
        <f>Table1[[#This Row],[Column5]] * (Table1[[#This Row],[Column2]]/100)</f>
        <v>0.32400000000000001</v>
      </c>
      <c r="BC48" s="2">
        <v>68.400000000000006</v>
      </c>
      <c r="BD48" s="19">
        <f>Table1[[#This Row],[Column5]] + Table1[[#This Row],[Column6]] + Table1[[#This Row],[ShippingCost]]</f>
        <v>415.32400000000001</v>
      </c>
      <c r="BE48" s="2">
        <v>923.4</v>
      </c>
      <c r="BF48" s="2" t="s">
        <v>180</v>
      </c>
      <c r="BG48" s="2">
        <f>Table1[[#This Row],[DeliveryDate]]-Table1[[#This Row],[OrderDate]]</f>
        <v>5</v>
      </c>
      <c r="BH48" s="2">
        <v>5</v>
      </c>
      <c r="BI48" s="2" t="str">
        <f>IF(OR(Table1[[#This Row],[CustomerTier]]="Platinum", Table1[[#This Row],[Column7]]&gt;1000), "Yes", "No")</f>
        <v>Yes</v>
      </c>
      <c r="BJ48" s="2" t="s">
        <v>205</v>
      </c>
      <c r="BK48" s="2" t="str">
        <f>IF(Table1[[#This Row],[Quantity]]&gt;=10, "Yes", "No")</f>
        <v>No</v>
      </c>
      <c r="BL48" s="2" t="s">
        <v>205</v>
      </c>
      <c r="BM48" s="2">
        <f>IF(Table1[[#This Row],[Column12]]="Yes", 5%, 0)</f>
        <v>0</v>
      </c>
      <c r="BN48" s="2">
        <v>0</v>
      </c>
      <c r="BO48" s="2" t="s">
        <v>352</v>
      </c>
      <c r="BP48" s="2" t="s">
        <v>353</v>
      </c>
      <c r="BQ48" s="2" t="s">
        <v>208</v>
      </c>
      <c r="BR48" s="2" t="s">
        <v>209</v>
      </c>
      <c r="BS48" s="3" t="s">
        <v>210</v>
      </c>
    </row>
    <row r="49" spans="1:71" x14ac:dyDescent="0.25">
      <c r="A49" s="1" t="s">
        <v>560</v>
      </c>
      <c r="B49" s="11">
        <v>45696</v>
      </c>
      <c r="C49" s="11">
        <v>45699</v>
      </c>
      <c r="D49" s="2" t="s">
        <v>180</v>
      </c>
      <c r="E49" s="2" t="s">
        <v>212</v>
      </c>
      <c r="F49" s="2" t="s">
        <v>236</v>
      </c>
      <c r="G49" s="2" t="s">
        <v>237</v>
      </c>
      <c r="H49" s="2" t="s">
        <v>215</v>
      </c>
      <c r="I49" s="2" t="s">
        <v>238</v>
      </c>
      <c r="J49" s="2" t="s">
        <v>239</v>
      </c>
      <c r="K49" s="2" t="s">
        <v>215</v>
      </c>
      <c r="L49" s="2" t="s">
        <v>218</v>
      </c>
      <c r="M49" s="2" t="s">
        <v>240</v>
      </c>
      <c r="N49" s="2" t="s">
        <v>241</v>
      </c>
      <c r="O49" s="11">
        <v>44814</v>
      </c>
      <c r="P49" s="2" t="s">
        <v>561</v>
      </c>
      <c r="Q49" s="2" t="s">
        <v>562</v>
      </c>
      <c r="R49" s="2" t="s">
        <v>244</v>
      </c>
      <c r="S49" s="2" t="s">
        <v>563</v>
      </c>
      <c r="T49" s="2" t="s">
        <v>564</v>
      </c>
      <c r="U49" s="2" t="s">
        <v>247</v>
      </c>
      <c r="V49" s="13">
        <v>18</v>
      </c>
      <c r="W49" s="13">
        <v>9</v>
      </c>
      <c r="X49" s="2">
        <v>0.8</v>
      </c>
      <c r="Y49" s="2" t="s">
        <v>382</v>
      </c>
      <c r="Z49" s="2" t="s">
        <v>880</v>
      </c>
      <c r="AA49" s="2">
        <v>150</v>
      </c>
      <c r="AB49" s="2">
        <v>30</v>
      </c>
      <c r="AC49" s="2">
        <v>2</v>
      </c>
      <c r="AD49" s="2">
        <v>6</v>
      </c>
      <c r="AE49" s="17">
        <f>Table1[[#This Row],[Discount%]]/100</f>
        <v>0</v>
      </c>
      <c r="AF49" s="2">
        <v>0</v>
      </c>
      <c r="AG49" s="17">
        <f>Table1[[#This Row],[Tax%]]/100</f>
        <v>0.05</v>
      </c>
      <c r="AH49" s="2">
        <v>5</v>
      </c>
      <c r="AI49" s="23">
        <v>4</v>
      </c>
      <c r="AJ49" s="2" t="s">
        <v>249</v>
      </c>
      <c r="AK49" s="2" t="s">
        <v>230</v>
      </c>
      <c r="AL49" s="2" t="s">
        <v>322</v>
      </c>
      <c r="AM49" s="2" t="s">
        <v>232</v>
      </c>
      <c r="AN49" s="2" t="s">
        <v>922</v>
      </c>
      <c r="AO49" s="2" t="s">
        <v>203</v>
      </c>
      <c r="AP49" s="2" t="s">
        <v>880</v>
      </c>
      <c r="AQ49" s="25">
        <v>0</v>
      </c>
      <c r="AR49" s="25">
        <f>IFERROR((Table1[[#This Row],[Column7]]-Table1[[#This Row],[Column8]])/Table1[[#This Row],[Column7]], 0)</f>
        <v>-12.5</v>
      </c>
      <c r="AS49" s="2">
        <v>50</v>
      </c>
      <c r="AT49" s="21">
        <f>Table1[[#This Row],[Quantity]] * Table1[[#This Row],[CostPrice]]</f>
        <v>54</v>
      </c>
      <c r="AU49" s="2">
        <v>54</v>
      </c>
      <c r="AV49" s="13">
        <f>Table1[[#This Row],[Quantity]] * Table1[[#This Row],[UnitPrice]]</f>
        <v>108</v>
      </c>
      <c r="AW49" s="2">
        <v>108</v>
      </c>
      <c r="AX49" s="21">
        <f>Table1[[#This Row],[Column3]] * (Table1[[#This Row],[Column1]]/100)</f>
        <v>0</v>
      </c>
      <c r="AY49" s="2">
        <v>0</v>
      </c>
      <c r="AZ49" s="27">
        <f>Table1[[#This Row],[Column3]] * Table1[[#This Row],[Column4]]</f>
        <v>0</v>
      </c>
      <c r="BA49" s="2">
        <v>108</v>
      </c>
      <c r="BB49" s="15">
        <f>Table1[[#This Row],[Column5]] * (Table1[[#This Row],[Column2]]/100)</f>
        <v>0</v>
      </c>
      <c r="BC49" s="2">
        <v>5.4</v>
      </c>
      <c r="BD49" s="19">
        <f>Table1[[#This Row],[Column5]] + Table1[[#This Row],[Column6]] + Table1[[#This Row],[ShippingCost]]</f>
        <v>4</v>
      </c>
      <c r="BE49" s="2">
        <v>113.4</v>
      </c>
      <c r="BF49" s="2" t="s">
        <v>180</v>
      </c>
      <c r="BG49" s="2">
        <f>Table1[[#This Row],[DeliveryDate]]-Table1[[#This Row],[OrderDate]]</f>
        <v>3</v>
      </c>
      <c r="BH49" s="2">
        <v>3</v>
      </c>
      <c r="BI49" s="2" t="str">
        <f>IF(OR(Table1[[#This Row],[CustomerTier]]="Platinum", Table1[[#This Row],[Column7]]&gt;1000), "Yes", "No")</f>
        <v>No</v>
      </c>
      <c r="BJ49" s="2" t="s">
        <v>205</v>
      </c>
      <c r="BK49" s="2" t="str">
        <f>IF(Table1[[#This Row],[Quantity]]&gt;=10, "Yes", "No")</f>
        <v>No</v>
      </c>
      <c r="BL49" s="2" t="s">
        <v>204</v>
      </c>
      <c r="BM49" s="2">
        <f>IF(Table1[[#This Row],[Column12]]="Yes", 5%, 0)</f>
        <v>0</v>
      </c>
      <c r="BN49" s="2">
        <v>10</v>
      </c>
      <c r="BO49" s="2" t="s">
        <v>369</v>
      </c>
      <c r="BP49" s="2" t="s">
        <v>173</v>
      </c>
      <c r="BQ49" s="2" t="s">
        <v>254</v>
      </c>
      <c r="BR49" s="2" t="s">
        <v>209</v>
      </c>
      <c r="BS49" s="3" t="s">
        <v>210</v>
      </c>
    </row>
    <row r="50" spans="1:71" x14ac:dyDescent="0.25">
      <c r="A50" s="1" t="s">
        <v>565</v>
      </c>
      <c r="B50" s="11">
        <v>45696</v>
      </c>
      <c r="C50" s="11">
        <v>45701</v>
      </c>
      <c r="D50" s="2" t="s">
        <v>371</v>
      </c>
      <c r="E50" s="2" t="s">
        <v>181</v>
      </c>
      <c r="F50" s="2" t="s">
        <v>182</v>
      </c>
      <c r="G50" s="2" t="s">
        <v>183</v>
      </c>
      <c r="H50" s="2" t="s">
        <v>184</v>
      </c>
      <c r="I50" s="2" t="s">
        <v>185</v>
      </c>
      <c r="J50" s="2" t="s">
        <v>186</v>
      </c>
      <c r="K50" s="2" t="s">
        <v>184</v>
      </c>
      <c r="L50" s="2" t="s">
        <v>187</v>
      </c>
      <c r="M50" s="2" t="s">
        <v>188</v>
      </c>
      <c r="N50" s="2" t="s">
        <v>189</v>
      </c>
      <c r="O50" s="11">
        <v>43891</v>
      </c>
      <c r="P50" s="2" t="s">
        <v>566</v>
      </c>
      <c r="Q50" s="2" t="s">
        <v>567</v>
      </c>
      <c r="R50" s="2" t="s">
        <v>363</v>
      </c>
      <c r="S50" s="2" t="s">
        <v>568</v>
      </c>
      <c r="T50" s="2" t="s">
        <v>569</v>
      </c>
      <c r="U50" s="2" t="s">
        <v>388</v>
      </c>
      <c r="V50" s="13">
        <v>110</v>
      </c>
      <c r="W50" s="13">
        <v>60</v>
      </c>
      <c r="X50" s="2">
        <v>3.5</v>
      </c>
      <c r="Y50" s="2" t="s">
        <v>288</v>
      </c>
      <c r="Z50" s="2" t="s">
        <v>570</v>
      </c>
      <c r="AA50" s="2">
        <v>18</v>
      </c>
      <c r="AB50" s="2">
        <v>4</v>
      </c>
      <c r="AC50" s="2">
        <v>3</v>
      </c>
      <c r="AD50" s="2">
        <v>1</v>
      </c>
      <c r="AE50" s="17">
        <f>Table1[[#This Row],[Discount%]]/100</f>
        <v>0</v>
      </c>
      <c r="AF50" s="2">
        <v>0</v>
      </c>
      <c r="AG50" s="17">
        <f>Table1[[#This Row],[Tax%]]/100</f>
        <v>0.06</v>
      </c>
      <c r="AH50" s="2">
        <v>6</v>
      </c>
      <c r="AI50" s="23">
        <v>12</v>
      </c>
      <c r="AJ50" s="2" t="s">
        <v>229</v>
      </c>
      <c r="AK50" s="2" t="s">
        <v>199</v>
      </c>
      <c r="AL50" s="2" t="s">
        <v>270</v>
      </c>
      <c r="AM50" s="2" t="s">
        <v>271</v>
      </c>
      <c r="AN50" s="2" t="s">
        <v>923</v>
      </c>
      <c r="AO50" s="2" t="s">
        <v>203</v>
      </c>
      <c r="AP50" s="2" t="s">
        <v>880</v>
      </c>
      <c r="AQ50" s="25">
        <v>0</v>
      </c>
      <c r="AR50" s="25">
        <f>IFERROR((Table1[[#This Row],[Column7]]-Table1[[#This Row],[Column8]])/Table1[[#This Row],[Column7]], 0)</f>
        <v>-4</v>
      </c>
      <c r="AS50" s="2">
        <v>45.45</v>
      </c>
      <c r="AT50" s="21">
        <f>Table1[[#This Row],[Quantity]] * Table1[[#This Row],[CostPrice]]</f>
        <v>60</v>
      </c>
      <c r="AU50" s="2">
        <v>60</v>
      </c>
      <c r="AV50" s="13">
        <f>Table1[[#This Row],[Quantity]] * Table1[[#This Row],[UnitPrice]]</f>
        <v>110</v>
      </c>
      <c r="AW50" s="2">
        <v>110</v>
      </c>
      <c r="AX50" s="21">
        <f>Table1[[#This Row],[Column3]] * (Table1[[#This Row],[Column1]]/100)</f>
        <v>0</v>
      </c>
      <c r="AY50" s="2">
        <v>0</v>
      </c>
      <c r="AZ50" s="27">
        <f>Table1[[#This Row],[Column3]] * Table1[[#This Row],[Column4]]</f>
        <v>0</v>
      </c>
      <c r="BA50" s="2">
        <v>110</v>
      </c>
      <c r="BB50" s="15">
        <f>Table1[[#This Row],[Column5]] * (Table1[[#This Row],[Column2]]/100)</f>
        <v>0</v>
      </c>
      <c r="BC50" s="2">
        <v>6.6</v>
      </c>
      <c r="BD50" s="19">
        <f>Table1[[#This Row],[Column5]] + Table1[[#This Row],[Column6]] + Table1[[#This Row],[ShippingCost]]</f>
        <v>12</v>
      </c>
      <c r="BE50" s="2">
        <v>116.6</v>
      </c>
      <c r="BF50" s="2" t="s">
        <v>371</v>
      </c>
      <c r="BG50" s="2">
        <f>Table1[[#This Row],[DeliveryDate]]-Table1[[#This Row],[OrderDate]]</f>
        <v>5</v>
      </c>
      <c r="BH50" s="2">
        <v>5</v>
      </c>
      <c r="BI50" s="2" t="str">
        <f>IF(OR(Table1[[#This Row],[CustomerTier]]="Platinum", Table1[[#This Row],[Column7]]&gt;1000), "Yes", "No")</f>
        <v>No</v>
      </c>
      <c r="BJ50" s="2" t="s">
        <v>205</v>
      </c>
      <c r="BK50" s="2" t="str">
        <f>IF(Table1[[#This Row],[Quantity]]&gt;=10, "Yes", "No")</f>
        <v>No</v>
      </c>
      <c r="BL50" s="2" t="s">
        <v>205</v>
      </c>
      <c r="BM50" s="2">
        <f>IF(Table1[[#This Row],[Column12]]="Yes", 5%, 0)</f>
        <v>0</v>
      </c>
      <c r="BN50" s="2">
        <v>0</v>
      </c>
      <c r="BO50" s="2"/>
      <c r="BP50" s="2"/>
      <c r="BQ50" s="2" t="s">
        <v>234</v>
      </c>
      <c r="BR50" s="2" t="s">
        <v>209</v>
      </c>
      <c r="BS50" s="3" t="s">
        <v>210</v>
      </c>
    </row>
    <row r="51" spans="1:71" x14ac:dyDescent="0.25">
      <c r="A51" s="1" t="s">
        <v>571</v>
      </c>
      <c r="B51" s="11">
        <v>45697</v>
      </c>
      <c r="C51" s="11">
        <v>45700</v>
      </c>
      <c r="D51" s="2" t="s">
        <v>180</v>
      </c>
      <c r="E51" s="2" t="s">
        <v>212</v>
      </c>
      <c r="F51" s="2" t="s">
        <v>295</v>
      </c>
      <c r="G51" s="2" t="s">
        <v>296</v>
      </c>
      <c r="H51" s="2" t="s">
        <v>297</v>
      </c>
      <c r="I51" s="2" t="s">
        <v>298</v>
      </c>
      <c r="J51" s="2" t="s">
        <v>299</v>
      </c>
      <c r="K51" s="2" t="s">
        <v>297</v>
      </c>
      <c r="L51" s="2" t="s">
        <v>187</v>
      </c>
      <c r="M51" s="2" t="s">
        <v>300</v>
      </c>
      <c r="N51" s="2" t="s">
        <v>301</v>
      </c>
      <c r="O51" s="11">
        <v>43332</v>
      </c>
      <c r="P51" s="2" t="s">
        <v>572</v>
      </c>
      <c r="Q51" s="2" t="s">
        <v>573</v>
      </c>
      <c r="R51" s="2" t="s">
        <v>285</v>
      </c>
      <c r="S51" s="2" t="s">
        <v>266</v>
      </c>
      <c r="T51" s="2" t="s">
        <v>574</v>
      </c>
      <c r="U51" s="2" t="s">
        <v>287</v>
      </c>
      <c r="V51" s="13">
        <v>95</v>
      </c>
      <c r="W51" s="13">
        <v>52</v>
      </c>
      <c r="X51" s="2">
        <v>3.2</v>
      </c>
      <c r="Y51" s="2" t="s">
        <v>288</v>
      </c>
      <c r="Z51" s="2" t="s">
        <v>880</v>
      </c>
      <c r="AA51" s="2">
        <v>15</v>
      </c>
      <c r="AB51" s="2">
        <v>4</v>
      </c>
      <c r="AC51" s="2">
        <v>2</v>
      </c>
      <c r="AD51" s="2">
        <v>1</v>
      </c>
      <c r="AE51" s="17">
        <f>Table1[[#This Row],[Discount%]]/100</f>
        <v>0</v>
      </c>
      <c r="AF51" s="2">
        <v>0</v>
      </c>
      <c r="AG51" s="17">
        <f>Table1[[#This Row],[Tax%]]/100</f>
        <v>0.06</v>
      </c>
      <c r="AH51" s="2">
        <v>6</v>
      </c>
      <c r="AI51" s="23">
        <v>8</v>
      </c>
      <c r="AJ51" s="2" t="s">
        <v>198</v>
      </c>
      <c r="AK51" s="2" t="s">
        <v>199</v>
      </c>
      <c r="AL51" s="2" t="s">
        <v>290</v>
      </c>
      <c r="AM51" s="2" t="s">
        <v>201</v>
      </c>
      <c r="AN51" s="2" t="s">
        <v>924</v>
      </c>
      <c r="AO51" s="2" t="s">
        <v>203</v>
      </c>
      <c r="AP51" s="2" t="s">
        <v>880</v>
      </c>
      <c r="AQ51" s="25">
        <v>0</v>
      </c>
      <c r="AR51" s="25">
        <f>IFERROR((Table1[[#This Row],[Column7]]-Table1[[#This Row],[Column8]])/Table1[[#This Row],[Column7]], 0)</f>
        <v>-5.5</v>
      </c>
      <c r="AS51" s="2">
        <v>45.26</v>
      </c>
      <c r="AT51" s="21">
        <f>Table1[[#This Row],[Quantity]] * Table1[[#This Row],[CostPrice]]</f>
        <v>52</v>
      </c>
      <c r="AU51" s="2">
        <v>52</v>
      </c>
      <c r="AV51" s="13">
        <f>Table1[[#This Row],[Quantity]] * Table1[[#This Row],[UnitPrice]]</f>
        <v>95</v>
      </c>
      <c r="AW51" s="2">
        <v>95</v>
      </c>
      <c r="AX51" s="21">
        <f>Table1[[#This Row],[Column3]] * (Table1[[#This Row],[Column1]]/100)</f>
        <v>0</v>
      </c>
      <c r="AY51" s="2">
        <v>0</v>
      </c>
      <c r="AZ51" s="27">
        <f>Table1[[#This Row],[Column3]] * Table1[[#This Row],[Column4]]</f>
        <v>0</v>
      </c>
      <c r="BA51" s="2">
        <v>95</v>
      </c>
      <c r="BB51" s="15">
        <f>Table1[[#This Row],[Column5]] * (Table1[[#This Row],[Column2]]/100)</f>
        <v>0</v>
      </c>
      <c r="BC51" s="2">
        <v>5.7</v>
      </c>
      <c r="BD51" s="19">
        <f>Table1[[#This Row],[Column5]] + Table1[[#This Row],[Column6]] + Table1[[#This Row],[ShippingCost]]</f>
        <v>8</v>
      </c>
      <c r="BE51" s="2">
        <v>100.7</v>
      </c>
      <c r="BF51" s="2" t="s">
        <v>180</v>
      </c>
      <c r="BG51" s="2">
        <f>Table1[[#This Row],[DeliveryDate]]-Table1[[#This Row],[OrderDate]]</f>
        <v>3</v>
      </c>
      <c r="BH51" s="2">
        <v>3</v>
      </c>
      <c r="BI51" s="2" t="str">
        <f>IF(OR(Table1[[#This Row],[CustomerTier]]="Platinum", Table1[[#This Row],[Column7]]&gt;1000), "Yes", "No")</f>
        <v>Yes</v>
      </c>
      <c r="BJ51" s="2" t="s">
        <v>205</v>
      </c>
      <c r="BK51" s="2" t="str">
        <f>IF(Table1[[#This Row],[Quantity]]&gt;=10, "Yes", "No")</f>
        <v>No</v>
      </c>
      <c r="BL51" s="2" t="s">
        <v>205</v>
      </c>
      <c r="BM51" s="2">
        <f>IF(Table1[[#This Row],[Column12]]="Yes", 5%, 0)</f>
        <v>0</v>
      </c>
      <c r="BN51" s="2">
        <v>0</v>
      </c>
      <c r="BO51" s="2"/>
      <c r="BP51" s="2"/>
      <c r="BQ51" s="2" t="s">
        <v>293</v>
      </c>
      <c r="BR51" s="2" t="s">
        <v>209</v>
      </c>
      <c r="BS51" s="3" t="s">
        <v>210</v>
      </c>
    </row>
    <row r="52" spans="1:71" x14ac:dyDescent="0.25">
      <c r="A52" s="1" t="s">
        <v>575</v>
      </c>
      <c r="B52" s="11">
        <v>45697</v>
      </c>
      <c r="C52" s="11">
        <v>45702</v>
      </c>
      <c r="D52" s="2" t="s">
        <v>180</v>
      </c>
      <c r="E52" s="2" t="s">
        <v>181</v>
      </c>
      <c r="F52" s="2" t="s">
        <v>311</v>
      </c>
      <c r="G52" s="2" t="s">
        <v>312</v>
      </c>
      <c r="H52" s="2" t="s">
        <v>184</v>
      </c>
      <c r="I52" s="2" t="s">
        <v>313</v>
      </c>
      <c r="J52" s="2" t="s">
        <v>314</v>
      </c>
      <c r="K52" s="2" t="s">
        <v>184</v>
      </c>
      <c r="L52" s="2" t="s">
        <v>218</v>
      </c>
      <c r="M52" s="2" t="s">
        <v>315</v>
      </c>
      <c r="N52" s="2" t="s">
        <v>316</v>
      </c>
      <c r="O52" s="11">
        <v>44745</v>
      </c>
      <c r="P52" s="2" t="s">
        <v>576</v>
      </c>
      <c r="Q52" s="2" t="s">
        <v>577</v>
      </c>
      <c r="R52" s="2" t="s">
        <v>578</v>
      </c>
      <c r="S52" s="2" t="s">
        <v>579</v>
      </c>
      <c r="T52" s="2" t="s">
        <v>580</v>
      </c>
      <c r="U52" s="2" t="s">
        <v>581</v>
      </c>
      <c r="V52" s="13">
        <v>6</v>
      </c>
      <c r="W52" s="13">
        <v>3</v>
      </c>
      <c r="X52" s="2">
        <v>0.5</v>
      </c>
      <c r="Y52" s="2"/>
      <c r="Z52" s="2" t="s">
        <v>880</v>
      </c>
      <c r="AA52" s="2">
        <v>500</v>
      </c>
      <c r="AB52" s="2">
        <v>100</v>
      </c>
      <c r="AC52" s="2">
        <v>1</v>
      </c>
      <c r="AD52" s="2">
        <v>12</v>
      </c>
      <c r="AE52" s="17">
        <f>Table1[[#This Row],[Discount%]]/100</f>
        <v>0</v>
      </c>
      <c r="AF52" s="2">
        <v>0</v>
      </c>
      <c r="AG52" s="17">
        <f>Table1[[#This Row],[Tax%]]/100</f>
        <v>0.04</v>
      </c>
      <c r="AH52" s="2">
        <v>4</v>
      </c>
      <c r="AI52" s="23">
        <v>2</v>
      </c>
      <c r="AJ52" s="2" t="s">
        <v>249</v>
      </c>
      <c r="AK52" s="2" t="s">
        <v>230</v>
      </c>
      <c r="AL52" s="2" t="s">
        <v>250</v>
      </c>
      <c r="AM52" s="2" t="s">
        <v>196</v>
      </c>
      <c r="AN52" s="2" t="s">
        <v>925</v>
      </c>
      <c r="AO52" s="2" t="s">
        <v>203</v>
      </c>
      <c r="AP52" s="2" t="s">
        <v>880</v>
      </c>
      <c r="AQ52" s="25">
        <v>0</v>
      </c>
      <c r="AR52" s="25">
        <f>IFERROR((Table1[[#This Row],[Column7]]-Table1[[#This Row],[Column8]])/Table1[[#This Row],[Column7]], 0)</f>
        <v>-17</v>
      </c>
      <c r="AS52" s="2">
        <v>50</v>
      </c>
      <c r="AT52" s="21">
        <f>Table1[[#This Row],[Quantity]] * Table1[[#This Row],[CostPrice]]</f>
        <v>36</v>
      </c>
      <c r="AU52" s="2">
        <v>36</v>
      </c>
      <c r="AV52" s="13">
        <f>Table1[[#This Row],[Quantity]] * Table1[[#This Row],[UnitPrice]]</f>
        <v>72</v>
      </c>
      <c r="AW52" s="2">
        <v>72</v>
      </c>
      <c r="AX52" s="21">
        <f>Table1[[#This Row],[Column3]] * (Table1[[#This Row],[Column1]]/100)</f>
        <v>0</v>
      </c>
      <c r="AY52" s="2">
        <v>0</v>
      </c>
      <c r="AZ52" s="27">
        <f>Table1[[#This Row],[Column3]] * Table1[[#This Row],[Column4]]</f>
        <v>0</v>
      </c>
      <c r="BA52" s="2">
        <v>72</v>
      </c>
      <c r="BB52" s="15">
        <f>Table1[[#This Row],[Column5]] * (Table1[[#This Row],[Column2]]/100)</f>
        <v>0</v>
      </c>
      <c r="BC52" s="2">
        <v>2.88</v>
      </c>
      <c r="BD52" s="19">
        <f>Table1[[#This Row],[Column5]] + Table1[[#This Row],[Column6]] + Table1[[#This Row],[ShippingCost]]</f>
        <v>2</v>
      </c>
      <c r="BE52" s="2">
        <v>74.88</v>
      </c>
      <c r="BF52" s="2" t="s">
        <v>180</v>
      </c>
      <c r="BG52" s="2">
        <f>Table1[[#This Row],[DeliveryDate]]-Table1[[#This Row],[OrderDate]]</f>
        <v>5</v>
      </c>
      <c r="BH52" s="2">
        <v>5</v>
      </c>
      <c r="BI52" s="2" t="str">
        <f>IF(OR(Table1[[#This Row],[CustomerTier]]="Platinum", Table1[[#This Row],[Column7]]&gt;1000), "Yes", "No")</f>
        <v>No</v>
      </c>
      <c r="BJ52" s="2" t="s">
        <v>205</v>
      </c>
      <c r="BK52" s="2" t="str">
        <f>IF(Table1[[#This Row],[Quantity]]&gt;=10, "Yes", "No")</f>
        <v>Yes</v>
      </c>
      <c r="BL52" s="2" t="s">
        <v>204</v>
      </c>
      <c r="BM52" s="2">
        <f>IF(Table1[[#This Row],[Column12]]="Yes", 5%, 0)</f>
        <v>0.05</v>
      </c>
      <c r="BN52" s="2">
        <v>15</v>
      </c>
      <c r="BO52" s="2" t="s">
        <v>369</v>
      </c>
      <c r="BP52" s="2" t="s">
        <v>173</v>
      </c>
      <c r="BQ52" s="2" t="s">
        <v>582</v>
      </c>
      <c r="BR52" s="2" t="s">
        <v>209</v>
      </c>
      <c r="BS52" s="3" t="s">
        <v>210</v>
      </c>
    </row>
    <row r="53" spans="1:71" x14ac:dyDescent="0.25">
      <c r="A53" s="1" t="s">
        <v>583</v>
      </c>
      <c r="B53" s="11">
        <v>45698</v>
      </c>
      <c r="C53" s="11">
        <v>45701</v>
      </c>
      <c r="D53" s="2" t="s">
        <v>180</v>
      </c>
      <c r="E53" s="2" t="s">
        <v>212</v>
      </c>
      <c r="F53" s="2" t="s">
        <v>325</v>
      </c>
      <c r="G53" s="2" t="s">
        <v>326</v>
      </c>
      <c r="H53" s="2" t="s">
        <v>215</v>
      </c>
      <c r="I53" s="2" t="s">
        <v>327</v>
      </c>
      <c r="J53" s="2" t="s">
        <v>217</v>
      </c>
      <c r="K53" s="2" t="s">
        <v>215</v>
      </c>
      <c r="L53" s="2" t="s">
        <v>218</v>
      </c>
      <c r="M53" s="2" t="s">
        <v>328</v>
      </c>
      <c r="N53" s="2" t="s">
        <v>329</v>
      </c>
      <c r="O53" s="11">
        <v>44300</v>
      </c>
      <c r="P53" s="2" t="s">
        <v>584</v>
      </c>
      <c r="Q53" s="2" t="s">
        <v>585</v>
      </c>
      <c r="R53" s="2" t="s">
        <v>586</v>
      </c>
      <c r="S53" s="2" t="s">
        <v>587</v>
      </c>
      <c r="T53" s="2" t="s">
        <v>588</v>
      </c>
      <c r="U53" s="2" t="s">
        <v>388</v>
      </c>
      <c r="V53" s="13">
        <v>85</v>
      </c>
      <c r="W53" s="13">
        <v>45</v>
      </c>
      <c r="X53" s="2">
        <v>0.1</v>
      </c>
      <c r="Y53" s="2" t="s">
        <v>271</v>
      </c>
      <c r="Z53" s="2" t="s">
        <v>880</v>
      </c>
      <c r="AA53" s="2">
        <v>25</v>
      </c>
      <c r="AB53" s="2">
        <v>5</v>
      </c>
      <c r="AC53" s="2">
        <v>2</v>
      </c>
      <c r="AD53" s="2">
        <v>1</v>
      </c>
      <c r="AE53" s="17">
        <f>Table1[[#This Row],[Discount%]]/100</f>
        <v>0</v>
      </c>
      <c r="AF53" s="2">
        <v>0</v>
      </c>
      <c r="AG53" s="17">
        <f>Table1[[#This Row],[Tax%]]/100</f>
        <v>0.06</v>
      </c>
      <c r="AH53" s="2">
        <v>6</v>
      </c>
      <c r="AI53" s="23">
        <v>3</v>
      </c>
      <c r="AJ53" s="2" t="s">
        <v>366</v>
      </c>
      <c r="AK53" s="2" t="s">
        <v>230</v>
      </c>
      <c r="AL53" s="2" t="s">
        <v>231</v>
      </c>
      <c r="AM53" s="2" t="s">
        <v>232</v>
      </c>
      <c r="AN53" s="2" t="s">
        <v>926</v>
      </c>
      <c r="AO53" s="2" t="s">
        <v>350</v>
      </c>
      <c r="AP53" s="2" t="s">
        <v>589</v>
      </c>
      <c r="AQ53" s="25">
        <v>25</v>
      </c>
      <c r="AR53" s="25">
        <f>IFERROR((Table1[[#This Row],[Column7]]-Table1[[#This Row],[Column8]])/Table1[[#This Row],[Column7]], 0)</f>
        <v>-14</v>
      </c>
      <c r="AS53" s="2">
        <v>47.06</v>
      </c>
      <c r="AT53" s="21">
        <f>Table1[[#This Row],[Quantity]] * Table1[[#This Row],[CostPrice]]</f>
        <v>45</v>
      </c>
      <c r="AU53" s="2">
        <v>45</v>
      </c>
      <c r="AV53" s="13">
        <f>Table1[[#This Row],[Quantity]] * Table1[[#This Row],[UnitPrice]]</f>
        <v>85</v>
      </c>
      <c r="AW53" s="2">
        <v>85</v>
      </c>
      <c r="AX53" s="21">
        <f>Table1[[#This Row],[Column3]] * (Table1[[#This Row],[Column1]]/100)</f>
        <v>0</v>
      </c>
      <c r="AY53" s="2">
        <v>0</v>
      </c>
      <c r="AZ53" s="27">
        <f>Table1[[#This Row],[Column3]] * Table1[[#This Row],[Column4]]</f>
        <v>0</v>
      </c>
      <c r="BA53" s="2">
        <v>85</v>
      </c>
      <c r="BB53" s="15">
        <f>Table1[[#This Row],[Column5]] * (Table1[[#This Row],[Column2]]/100)</f>
        <v>0</v>
      </c>
      <c r="BC53" s="2">
        <v>5.0999999999999996</v>
      </c>
      <c r="BD53" s="19">
        <f>Table1[[#This Row],[Column5]] + Table1[[#This Row],[Column6]] + Table1[[#This Row],[ShippingCost]]</f>
        <v>3</v>
      </c>
      <c r="BE53" s="2">
        <v>90.1</v>
      </c>
      <c r="BF53" s="2" t="s">
        <v>180</v>
      </c>
      <c r="BG53" s="2">
        <f>Table1[[#This Row],[DeliveryDate]]-Table1[[#This Row],[OrderDate]]</f>
        <v>3</v>
      </c>
      <c r="BH53" s="2">
        <v>3</v>
      </c>
      <c r="BI53" s="2" t="str">
        <f>IF(OR(Table1[[#This Row],[CustomerTier]]="Platinum", Table1[[#This Row],[Column7]]&gt;1000), "Yes", "No")</f>
        <v>No</v>
      </c>
      <c r="BJ53" s="2" t="s">
        <v>205</v>
      </c>
      <c r="BK53" s="2" t="str">
        <f>IF(Table1[[#This Row],[Quantity]]&gt;=10, "Yes", "No")</f>
        <v>No</v>
      </c>
      <c r="BL53" s="2" t="s">
        <v>205</v>
      </c>
      <c r="BM53" s="2">
        <f>IF(Table1[[#This Row],[Column12]]="Yes", 5%, 0)</f>
        <v>0</v>
      </c>
      <c r="BN53" s="2">
        <v>0</v>
      </c>
      <c r="BO53" s="2" t="s">
        <v>206</v>
      </c>
      <c r="BP53" s="2"/>
      <c r="BQ53" s="2" t="s">
        <v>539</v>
      </c>
      <c r="BR53" s="2" t="s">
        <v>255</v>
      </c>
      <c r="BS53" s="3" t="s">
        <v>210</v>
      </c>
    </row>
    <row r="54" spans="1:71" x14ac:dyDescent="0.25">
      <c r="A54" s="1" t="s">
        <v>590</v>
      </c>
      <c r="B54" s="11">
        <v>45698</v>
      </c>
      <c r="C54" s="11">
        <v>45703</v>
      </c>
      <c r="D54" s="2" t="s">
        <v>310</v>
      </c>
      <c r="E54" s="2" t="s">
        <v>181</v>
      </c>
      <c r="F54" s="2" t="s">
        <v>337</v>
      </c>
      <c r="G54" s="2" t="s">
        <v>338</v>
      </c>
      <c r="H54" s="2" t="s">
        <v>184</v>
      </c>
      <c r="I54" s="2" t="s">
        <v>339</v>
      </c>
      <c r="J54" s="2" t="s">
        <v>340</v>
      </c>
      <c r="K54" s="2" t="s">
        <v>184</v>
      </c>
      <c r="L54" s="2" t="s">
        <v>218</v>
      </c>
      <c r="M54" s="2" t="s">
        <v>341</v>
      </c>
      <c r="N54" s="2" t="s">
        <v>342</v>
      </c>
      <c r="O54" s="11">
        <v>44982</v>
      </c>
      <c r="P54" s="2" t="s">
        <v>591</v>
      </c>
      <c r="Q54" s="2" t="s">
        <v>592</v>
      </c>
      <c r="R54" s="2" t="s">
        <v>244</v>
      </c>
      <c r="S54" s="2" t="s">
        <v>245</v>
      </c>
      <c r="T54" s="2" t="s">
        <v>593</v>
      </c>
      <c r="U54" s="2" t="s">
        <v>247</v>
      </c>
      <c r="V54" s="13">
        <v>35</v>
      </c>
      <c r="W54" s="13">
        <v>18</v>
      </c>
      <c r="X54" s="2">
        <v>1.2</v>
      </c>
      <c r="Y54" s="2" t="s">
        <v>432</v>
      </c>
      <c r="Z54" s="2" t="s">
        <v>880</v>
      </c>
      <c r="AA54" s="2">
        <v>60</v>
      </c>
      <c r="AB54" s="2">
        <v>15</v>
      </c>
      <c r="AC54" s="2">
        <v>2</v>
      </c>
      <c r="AD54" s="2">
        <v>2</v>
      </c>
      <c r="AE54" s="17">
        <f>Table1[[#This Row],[Discount%]]/100</f>
        <v>0.05</v>
      </c>
      <c r="AF54" s="2">
        <v>5</v>
      </c>
      <c r="AG54" s="17">
        <f>Table1[[#This Row],[Tax%]]/100</f>
        <v>0.05</v>
      </c>
      <c r="AH54" s="2">
        <v>5</v>
      </c>
      <c r="AI54" s="23">
        <v>5</v>
      </c>
      <c r="AJ54" s="2" t="s">
        <v>198</v>
      </c>
      <c r="AK54" s="2" t="s">
        <v>230</v>
      </c>
      <c r="AL54" s="2" t="s">
        <v>307</v>
      </c>
      <c r="AM54" s="2" t="s">
        <v>196</v>
      </c>
      <c r="AN54" s="2" t="s">
        <v>927</v>
      </c>
      <c r="AO54" s="2" t="s">
        <v>203</v>
      </c>
      <c r="AP54" s="2" t="s">
        <v>880</v>
      </c>
      <c r="AQ54" s="25">
        <v>0</v>
      </c>
      <c r="AR54" s="25">
        <f>IFERROR((Table1[[#This Row],[Column7]]-Table1[[#This Row],[Column8]])/Table1[[#This Row],[Column7]], 0)</f>
        <v>-3.8314203369244653</v>
      </c>
      <c r="AS54" s="2">
        <v>48.57</v>
      </c>
      <c r="AT54" s="21">
        <f>Table1[[#This Row],[Quantity]] * Table1[[#This Row],[CostPrice]]</f>
        <v>36</v>
      </c>
      <c r="AU54" s="2">
        <v>36</v>
      </c>
      <c r="AV54" s="13">
        <f>Table1[[#This Row],[Quantity]] * Table1[[#This Row],[UnitPrice]]</f>
        <v>70</v>
      </c>
      <c r="AW54" s="2">
        <v>70</v>
      </c>
      <c r="AX54" s="21">
        <f>Table1[[#This Row],[Column3]] * (Table1[[#This Row],[Column1]]/100)</f>
        <v>3.5000000000000003E-2</v>
      </c>
      <c r="AY54" s="2">
        <v>3.5</v>
      </c>
      <c r="AZ54" s="27">
        <f>Table1[[#This Row],[Column3]] * Table1[[#This Row],[Column4]]</f>
        <v>2.4500000000000002</v>
      </c>
      <c r="BA54" s="2">
        <v>66.5</v>
      </c>
      <c r="BB54" s="15">
        <f>Table1[[#This Row],[Column5]] * (Table1[[#This Row],[Column2]]/100)</f>
        <v>1.2250000000000002E-3</v>
      </c>
      <c r="BC54" s="2">
        <v>3.33</v>
      </c>
      <c r="BD54" s="19">
        <f>Table1[[#This Row],[Column5]] + Table1[[#This Row],[Column6]] + Table1[[#This Row],[ShippingCost]]</f>
        <v>7.451225</v>
      </c>
      <c r="BE54" s="2">
        <v>69.83</v>
      </c>
      <c r="BF54" s="2" t="s">
        <v>310</v>
      </c>
      <c r="BG54" s="2">
        <f>Table1[[#This Row],[DeliveryDate]]-Table1[[#This Row],[OrderDate]]</f>
        <v>5</v>
      </c>
      <c r="BH54" s="2">
        <v>5</v>
      </c>
      <c r="BI54" s="2" t="str">
        <f>IF(OR(Table1[[#This Row],[CustomerTier]]="Platinum", Table1[[#This Row],[Column7]]&gt;1000), "Yes", "No")</f>
        <v>No</v>
      </c>
      <c r="BJ54" s="2" t="s">
        <v>205</v>
      </c>
      <c r="BK54" s="2" t="str">
        <f>IF(Table1[[#This Row],[Quantity]]&gt;=10, "Yes", "No")</f>
        <v>No</v>
      </c>
      <c r="BL54" s="2" t="s">
        <v>205</v>
      </c>
      <c r="BM54" s="2">
        <f>IF(Table1[[#This Row],[Column12]]="Yes", 5%, 0)</f>
        <v>0</v>
      </c>
      <c r="BN54" s="2">
        <v>0</v>
      </c>
      <c r="BO54" s="2" t="s">
        <v>252</v>
      </c>
      <c r="BP54" s="2" t="s">
        <v>253</v>
      </c>
      <c r="BQ54" s="2" t="s">
        <v>254</v>
      </c>
      <c r="BR54" s="2" t="s">
        <v>209</v>
      </c>
      <c r="BS54" s="3" t="s">
        <v>210</v>
      </c>
    </row>
    <row r="55" spans="1:71" x14ac:dyDescent="0.25">
      <c r="A55" s="1" t="s">
        <v>594</v>
      </c>
      <c r="B55" s="11">
        <v>45699</v>
      </c>
      <c r="C55" s="11">
        <v>45702</v>
      </c>
      <c r="D55" s="2" t="s">
        <v>180</v>
      </c>
      <c r="E55" s="2" t="s">
        <v>212</v>
      </c>
      <c r="F55" s="2" t="s">
        <v>355</v>
      </c>
      <c r="G55" s="2" t="s">
        <v>356</v>
      </c>
      <c r="H55" s="2" t="s">
        <v>297</v>
      </c>
      <c r="I55" s="2" t="s">
        <v>357</v>
      </c>
      <c r="J55" s="2" t="s">
        <v>358</v>
      </c>
      <c r="K55" s="2" t="s">
        <v>297</v>
      </c>
      <c r="L55" s="2" t="s">
        <v>218</v>
      </c>
      <c r="M55" s="2" t="s">
        <v>359</v>
      </c>
      <c r="N55" s="2" t="s">
        <v>360</v>
      </c>
      <c r="O55" s="11">
        <v>44895</v>
      </c>
      <c r="P55" s="2" t="s">
        <v>595</v>
      </c>
      <c r="Q55" s="2" t="s">
        <v>596</v>
      </c>
      <c r="R55" s="2" t="s">
        <v>244</v>
      </c>
      <c r="S55" s="2" t="s">
        <v>332</v>
      </c>
      <c r="T55" s="2" t="s">
        <v>597</v>
      </c>
      <c r="U55" s="2" t="s">
        <v>247</v>
      </c>
      <c r="V55" s="13">
        <v>75</v>
      </c>
      <c r="W55" s="13">
        <v>41</v>
      </c>
      <c r="X55" s="2">
        <v>2.5</v>
      </c>
      <c r="Y55" s="2" t="s">
        <v>382</v>
      </c>
      <c r="Z55" s="2" t="s">
        <v>880</v>
      </c>
      <c r="AA55" s="2">
        <v>22</v>
      </c>
      <c r="AB55" s="2">
        <v>5</v>
      </c>
      <c r="AC55" s="2">
        <v>2</v>
      </c>
      <c r="AD55" s="2">
        <v>1</v>
      </c>
      <c r="AE55" s="17">
        <f>Table1[[#This Row],[Discount%]]/100</f>
        <v>0</v>
      </c>
      <c r="AF55" s="2">
        <v>0</v>
      </c>
      <c r="AG55" s="17">
        <f>Table1[[#This Row],[Tax%]]/100</f>
        <v>0.06</v>
      </c>
      <c r="AH55" s="2">
        <v>6</v>
      </c>
      <c r="AI55" s="23">
        <v>8</v>
      </c>
      <c r="AJ55" s="2" t="s">
        <v>289</v>
      </c>
      <c r="AK55" s="2" t="s">
        <v>199</v>
      </c>
      <c r="AL55" s="2" t="s">
        <v>200</v>
      </c>
      <c r="AM55" s="2" t="s">
        <v>201</v>
      </c>
      <c r="AN55" s="2" t="s">
        <v>928</v>
      </c>
      <c r="AO55" s="2" t="s">
        <v>203</v>
      </c>
      <c r="AP55" s="2" t="s">
        <v>880</v>
      </c>
      <c r="AQ55" s="25">
        <v>0</v>
      </c>
      <c r="AR55" s="25">
        <f>IFERROR((Table1[[#This Row],[Column7]]-Table1[[#This Row],[Column8]])/Table1[[#This Row],[Column7]], 0)</f>
        <v>-4.125</v>
      </c>
      <c r="AS55" s="2">
        <v>45.33</v>
      </c>
      <c r="AT55" s="21">
        <f>Table1[[#This Row],[Quantity]] * Table1[[#This Row],[CostPrice]]</f>
        <v>41</v>
      </c>
      <c r="AU55" s="2">
        <v>41</v>
      </c>
      <c r="AV55" s="13">
        <f>Table1[[#This Row],[Quantity]] * Table1[[#This Row],[UnitPrice]]</f>
        <v>75</v>
      </c>
      <c r="AW55" s="2">
        <v>75</v>
      </c>
      <c r="AX55" s="21">
        <f>Table1[[#This Row],[Column3]] * (Table1[[#This Row],[Column1]]/100)</f>
        <v>0</v>
      </c>
      <c r="AY55" s="2">
        <v>0</v>
      </c>
      <c r="AZ55" s="27">
        <f>Table1[[#This Row],[Column3]] * Table1[[#This Row],[Column4]]</f>
        <v>0</v>
      </c>
      <c r="BA55" s="2">
        <v>75</v>
      </c>
      <c r="BB55" s="15">
        <f>Table1[[#This Row],[Column5]] * (Table1[[#This Row],[Column2]]/100)</f>
        <v>0</v>
      </c>
      <c r="BC55" s="2">
        <v>4.5</v>
      </c>
      <c r="BD55" s="19">
        <f>Table1[[#This Row],[Column5]] + Table1[[#This Row],[Column6]] + Table1[[#This Row],[ShippingCost]]</f>
        <v>8</v>
      </c>
      <c r="BE55" s="2">
        <v>79.5</v>
      </c>
      <c r="BF55" s="2" t="s">
        <v>180</v>
      </c>
      <c r="BG55" s="2">
        <f>Table1[[#This Row],[DeliveryDate]]-Table1[[#This Row],[OrderDate]]</f>
        <v>3</v>
      </c>
      <c r="BH55" s="2">
        <v>3</v>
      </c>
      <c r="BI55" s="2" t="str">
        <f>IF(OR(Table1[[#This Row],[CustomerTier]]="Platinum", Table1[[#This Row],[Column7]]&gt;1000), "Yes", "No")</f>
        <v>Yes</v>
      </c>
      <c r="BJ55" s="2" t="s">
        <v>205</v>
      </c>
      <c r="BK55" s="2" t="str">
        <f>IF(Table1[[#This Row],[Quantity]]&gt;=10, "Yes", "No")</f>
        <v>No</v>
      </c>
      <c r="BL55" s="2" t="s">
        <v>205</v>
      </c>
      <c r="BM55" s="2">
        <f>IF(Table1[[#This Row],[Column12]]="Yes", 5%, 0)</f>
        <v>0</v>
      </c>
      <c r="BN55" s="2">
        <v>0</v>
      </c>
      <c r="BO55" s="2"/>
      <c r="BP55" s="2"/>
      <c r="BQ55" s="2" t="s">
        <v>254</v>
      </c>
      <c r="BR55" s="2" t="s">
        <v>209</v>
      </c>
      <c r="BS55" s="3" t="s">
        <v>210</v>
      </c>
    </row>
    <row r="56" spans="1:71" x14ac:dyDescent="0.25">
      <c r="A56" s="1" t="s">
        <v>598</v>
      </c>
      <c r="B56" s="11">
        <v>45699</v>
      </c>
      <c r="C56" s="11">
        <v>45704</v>
      </c>
      <c r="D56" s="2" t="s">
        <v>180</v>
      </c>
      <c r="E56" s="2" t="s">
        <v>181</v>
      </c>
      <c r="F56" s="2" t="s">
        <v>372</v>
      </c>
      <c r="G56" s="2" t="s">
        <v>373</v>
      </c>
      <c r="H56" s="2" t="s">
        <v>297</v>
      </c>
      <c r="I56" s="2" t="s">
        <v>374</v>
      </c>
      <c r="J56" s="2" t="s">
        <v>375</v>
      </c>
      <c r="K56" s="2" t="s">
        <v>297</v>
      </c>
      <c r="L56" s="2" t="s">
        <v>218</v>
      </c>
      <c r="M56" s="2" t="s">
        <v>376</v>
      </c>
      <c r="N56" s="2" t="s">
        <v>377</v>
      </c>
      <c r="O56" s="11">
        <v>45033</v>
      </c>
      <c r="P56" s="2" t="s">
        <v>599</v>
      </c>
      <c r="Q56" s="2" t="s">
        <v>600</v>
      </c>
      <c r="R56" s="2" t="s">
        <v>402</v>
      </c>
      <c r="S56" s="2" t="s">
        <v>601</v>
      </c>
      <c r="T56" s="2" t="s">
        <v>602</v>
      </c>
      <c r="U56" s="2" t="s">
        <v>405</v>
      </c>
      <c r="V56" s="13">
        <v>12</v>
      </c>
      <c r="W56" s="13">
        <v>6</v>
      </c>
      <c r="X56" s="2">
        <v>0.4</v>
      </c>
      <c r="Y56" s="2" t="s">
        <v>382</v>
      </c>
      <c r="Z56" s="2" t="s">
        <v>880</v>
      </c>
      <c r="AA56" s="2">
        <v>200</v>
      </c>
      <c r="AB56" s="2">
        <v>40</v>
      </c>
      <c r="AC56" s="2">
        <v>1</v>
      </c>
      <c r="AD56" s="2">
        <v>8</v>
      </c>
      <c r="AE56" s="17">
        <f>Table1[[#This Row],[Discount%]]/100</f>
        <v>0</v>
      </c>
      <c r="AF56" s="2">
        <v>0</v>
      </c>
      <c r="AG56" s="17">
        <f>Table1[[#This Row],[Tax%]]/100</f>
        <v>0.05</v>
      </c>
      <c r="AH56" s="2">
        <v>5</v>
      </c>
      <c r="AI56" s="23">
        <v>3</v>
      </c>
      <c r="AJ56" s="2" t="s">
        <v>229</v>
      </c>
      <c r="AK56" s="2" t="s">
        <v>230</v>
      </c>
      <c r="AL56" s="2" t="s">
        <v>348</v>
      </c>
      <c r="AM56" s="2" t="s">
        <v>232</v>
      </c>
      <c r="AN56" s="2" t="s">
        <v>929</v>
      </c>
      <c r="AO56" s="2" t="s">
        <v>203</v>
      </c>
      <c r="AP56" s="2" t="s">
        <v>880</v>
      </c>
      <c r="AQ56" s="25">
        <v>0</v>
      </c>
      <c r="AR56" s="25">
        <f>IFERROR((Table1[[#This Row],[Column7]]-Table1[[#This Row],[Column8]])/Table1[[#This Row],[Column7]], 0)</f>
        <v>-15</v>
      </c>
      <c r="AS56" s="2">
        <v>50</v>
      </c>
      <c r="AT56" s="21">
        <f>Table1[[#This Row],[Quantity]] * Table1[[#This Row],[CostPrice]]</f>
        <v>48</v>
      </c>
      <c r="AU56" s="2">
        <v>48</v>
      </c>
      <c r="AV56" s="13">
        <f>Table1[[#This Row],[Quantity]] * Table1[[#This Row],[UnitPrice]]</f>
        <v>96</v>
      </c>
      <c r="AW56" s="2">
        <v>96</v>
      </c>
      <c r="AX56" s="21">
        <f>Table1[[#This Row],[Column3]] * (Table1[[#This Row],[Column1]]/100)</f>
        <v>0</v>
      </c>
      <c r="AY56" s="2">
        <v>0</v>
      </c>
      <c r="AZ56" s="27">
        <f>Table1[[#This Row],[Column3]] * Table1[[#This Row],[Column4]]</f>
        <v>0</v>
      </c>
      <c r="BA56" s="2">
        <v>96</v>
      </c>
      <c r="BB56" s="15">
        <f>Table1[[#This Row],[Column5]] * (Table1[[#This Row],[Column2]]/100)</f>
        <v>0</v>
      </c>
      <c r="BC56" s="2">
        <v>4.8</v>
      </c>
      <c r="BD56" s="19">
        <f>Table1[[#This Row],[Column5]] + Table1[[#This Row],[Column6]] + Table1[[#This Row],[ShippingCost]]</f>
        <v>3</v>
      </c>
      <c r="BE56" s="2">
        <v>100.8</v>
      </c>
      <c r="BF56" s="2" t="s">
        <v>180</v>
      </c>
      <c r="BG56" s="2">
        <f>Table1[[#This Row],[DeliveryDate]]-Table1[[#This Row],[OrderDate]]</f>
        <v>5</v>
      </c>
      <c r="BH56" s="2">
        <v>5</v>
      </c>
      <c r="BI56" s="2" t="str">
        <f>IF(OR(Table1[[#This Row],[CustomerTier]]="Platinum", Table1[[#This Row],[Column7]]&gt;1000), "Yes", "No")</f>
        <v>No</v>
      </c>
      <c r="BJ56" s="2" t="s">
        <v>205</v>
      </c>
      <c r="BK56" s="2" t="str">
        <f>IF(Table1[[#This Row],[Quantity]]&gt;=10, "Yes", "No")</f>
        <v>No</v>
      </c>
      <c r="BL56" s="2" t="s">
        <v>204</v>
      </c>
      <c r="BM56" s="2">
        <f>IF(Table1[[#This Row],[Column12]]="Yes", 5%, 0)</f>
        <v>0</v>
      </c>
      <c r="BN56" s="2">
        <v>5</v>
      </c>
      <c r="BO56" s="2" t="s">
        <v>369</v>
      </c>
      <c r="BP56" s="2" t="s">
        <v>173</v>
      </c>
      <c r="BQ56" s="2" t="s">
        <v>539</v>
      </c>
      <c r="BR56" s="2" t="s">
        <v>209</v>
      </c>
      <c r="BS56" s="3" t="s">
        <v>210</v>
      </c>
    </row>
    <row r="57" spans="1:71" x14ac:dyDescent="0.25">
      <c r="A57" s="1" t="s">
        <v>603</v>
      </c>
      <c r="B57" s="11">
        <v>45700</v>
      </c>
      <c r="C57" s="11">
        <v>45703</v>
      </c>
      <c r="D57" s="2" t="s">
        <v>180</v>
      </c>
      <c r="E57" s="2" t="s">
        <v>212</v>
      </c>
      <c r="F57" s="2" t="s">
        <v>213</v>
      </c>
      <c r="G57" s="2" t="s">
        <v>214</v>
      </c>
      <c r="H57" s="2" t="s">
        <v>215</v>
      </c>
      <c r="I57" s="2" t="s">
        <v>216</v>
      </c>
      <c r="J57" s="2" t="s">
        <v>217</v>
      </c>
      <c r="K57" s="2" t="s">
        <v>215</v>
      </c>
      <c r="L57" s="2" t="s">
        <v>218</v>
      </c>
      <c r="M57" s="2" t="s">
        <v>219</v>
      </c>
      <c r="N57" s="2" t="s">
        <v>220</v>
      </c>
      <c r="O57" s="11">
        <v>44362</v>
      </c>
      <c r="P57" s="2" t="s">
        <v>604</v>
      </c>
      <c r="Q57" s="2" t="s">
        <v>605</v>
      </c>
      <c r="R57" s="2" t="s">
        <v>192</v>
      </c>
      <c r="S57" s="2" t="s">
        <v>363</v>
      </c>
      <c r="T57" s="2" t="s">
        <v>364</v>
      </c>
      <c r="U57" s="2" t="s">
        <v>365</v>
      </c>
      <c r="V57" s="13">
        <v>70</v>
      </c>
      <c r="W57" s="13">
        <v>38</v>
      </c>
      <c r="X57" s="2">
        <v>0.2</v>
      </c>
      <c r="Y57" s="2" t="s">
        <v>288</v>
      </c>
      <c r="Z57" s="2" t="s">
        <v>880</v>
      </c>
      <c r="AA57" s="2">
        <v>45</v>
      </c>
      <c r="AB57" s="2">
        <v>10</v>
      </c>
      <c r="AC57" s="2">
        <v>2</v>
      </c>
      <c r="AD57" s="2">
        <v>2</v>
      </c>
      <c r="AE57" s="17">
        <f>Table1[[#This Row],[Discount%]]/100</f>
        <v>0</v>
      </c>
      <c r="AF57" s="2">
        <v>0</v>
      </c>
      <c r="AG57" s="17">
        <f>Table1[[#This Row],[Tax%]]/100</f>
        <v>0.05</v>
      </c>
      <c r="AH57" s="2">
        <v>5</v>
      </c>
      <c r="AI57" s="23">
        <v>4</v>
      </c>
      <c r="AJ57" s="2" t="s">
        <v>198</v>
      </c>
      <c r="AK57" s="2" t="s">
        <v>230</v>
      </c>
      <c r="AL57" s="2" t="s">
        <v>322</v>
      </c>
      <c r="AM57" s="2" t="s">
        <v>232</v>
      </c>
      <c r="AN57" s="2" t="s">
        <v>930</v>
      </c>
      <c r="AO57" s="2" t="s">
        <v>203</v>
      </c>
      <c r="AP57" s="2" t="s">
        <v>880</v>
      </c>
      <c r="AQ57" s="25">
        <v>0</v>
      </c>
      <c r="AR57" s="25">
        <f>IFERROR((Table1[[#This Row],[Column7]]-Table1[[#This Row],[Column8]])/Table1[[#This Row],[Column7]], 0)</f>
        <v>-18</v>
      </c>
      <c r="AS57" s="2">
        <v>45.71</v>
      </c>
      <c r="AT57" s="21">
        <f>Table1[[#This Row],[Quantity]] * Table1[[#This Row],[CostPrice]]</f>
        <v>76</v>
      </c>
      <c r="AU57" s="2">
        <v>76</v>
      </c>
      <c r="AV57" s="13">
        <f>Table1[[#This Row],[Quantity]] * Table1[[#This Row],[UnitPrice]]</f>
        <v>140</v>
      </c>
      <c r="AW57" s="2">
        <v>140</v>
      </c>
      <c r="AX57" s="21">
        <f>Table1[[#This Row],[Column3]] * (Table1[[#This Row],[Column1]]/100)</f>
        <v>0</v>
      </c>
      <c r="AY57" s="2">
        <v>0</v>
      </c>
      <c r="AZ57" s="27">
        <f>Table1[[#This Row],[Column3]] * Table1[[#This Row],[Column4]]</f>
        <v>0</v>
      </c>
      <c r="BA57" s="2">
        <v>140</v>
      </c>
      <c r="BB57" s="15">
        <f>Table1[[#This Row],[Column5]] * (Table1[[#This Row],[Column2]]/100)</f>
        <v>0</v>
      </c>
      <c r="BC57" s="2">
        <v>7</v>
      </c>
      <c r="BD57" s="19">
        <f>Table1[[#This Row],[Column5]] + Table1[[#This Row],[Column6]] + Table1[[#This Row],[ShippingCost]]</f>
        <v>4</v>
      </c>
      <c r="BE57" s="2">
        <v>147</v>
      </c>
      <c r="BF57" s="2" t="s">
        <v>180</v>
      </c>
      <c r="BG57" s="2">
        <f>Table1[[#This Row],[DeliveryDate]]-Table1[[#This Row],[OrderDate]]</f>
        <v>3</v>
      </c>
      <c r="BH57" s="2">
        <v>3</v>
      </c>
      <c r="BI57" s="2" t="str">
        <f>IF(OR(Table1[[#This Row],[CustomerTier]]="Platinum", Table1[[#This Row],[Column7]]&gt;1000), "Yes", "No")</f>
        <v>No</v>
      </c>
      <c r="BJ57" s="2" t="s">
        <v>205</v>
      </c>
      <c r="BK57" s="2" t="str">
        <f>IF(Table1[[#This Row],[Quantity]]&gt;=10, "Yes", "No")</f>
        <v>No</v>
      </c>
      <c r="BL57" s="2" t="s">
        <v>205</v>
      </c>
      <c r="BM57" s="2">
        <f>IF(Table1[[#This Row],[Column12]]="Yes", 5%, 0)</f>
        <v>0</v>
      </c>
      <c r="BN57" s="2">
        <v>0</v>
      </c>
      <c r="BO57" s="2"/>
      <c r="BP57" s="2"/>
      <c r="BQ57" s="2" t="s">
        <v>208</v>
      </c>
      <c r="BR57" s="2" t="s">
        <v>209</v>
      </c>
      <c r="BS57" s="3" t="s">
        <v>210</v>
      </c>
    </row>
    <row r="58" spans="1:71" x14ac:dyDescent="0.25">
      <c r="A58" s="1" t="s">
        <v>606</v>
      </c>
      <c r="B58" s="11">
        <v>45700</v>
      </c>
      <c r="C58" s="11">
        <v>45705</v>
      </c>
      <c r="D58" s="2" t="s">
        <v>371</v>
      </c>
      <c r="E58" s="2" t="s">
        <v>181</v>
      </c>
      <c r="F58" s="2" t="s">
        <v>257</v>
      </c>
      <c r="G58" s="2" t="s">
        <v>258</v>
      </c>
      <c r="H58" s="2" t="s">
        <v>184</v>
      </c>
      <c r="I58" s="2" t="s">
        <v>259</v>
      </c>
      <c r="J58" s="2" t="s">
        <v>260</v>
      </c>
      <c r="K58" s="2" t="s">
        <v>184</v>
      </c>
      <c r="L58" s="2" t="s">
        <v>218</v>
      </c>
      <c r="M58" s="2" t="s">
        <v>261</v>
      </c>
      <c r="N58" s="2" t="s">
        <v>262</v>
      </c>
      <c r="O58" s="11">
        <v>44140</v>
      </c>
      <c r="P58" s="2" t="s">
        <v>607</v>
      </c>
      <c r="Q58" s="2" t="s">
        <v>608</v>
      </c>
      <c r="R58" s="2" t="s">
        <v>244</v>
      </c>
      <c r="S58" s="2" t="s">
        <v>245</v>
      </c>
      <c r="T58" s="2" t="s">
        <v>609</v>
      </c>
      <c r="U58" s="2" t="s">
        <v>247</v>
      </c>
      <c r="V58" s="13">
        <v>30</v>
      </c>
      <c r="W58" s="13">
        <v>16</v>
      </c>
      <c r="X58" s="2">
        <v>0.5</v>
      </c>
      <c r="Y58" s="2" t="s">
        <v>610</v>
      </c>
      <c r="Z58" s="2" t="s">
        <v>880</v>
      </c>
      <c r="AA58" s="2">
        <v>80</v>
      </c>
      <c r="AB58" s="2">
        <v>20</v>
      </c>
      <c r="AC58" s="2">
        <v>2</v>
      </c>
      <c r="AD58" s="2">
        <v>4</v>
      </c>
      <c r="AE58" s="17">
        <f>Table1[[#This Row],[Discount%]]/100</f>
        <v>0</v>
      </c>
      <c r="AF58" s="2">
        <v>0</v>
      </c>
      <c r="AG58" s="17">
        <f>Table1[[#This Row],[Tax%]]/100</f>
        <v>0.06</v>
      </c>
      <c r="AH58" s="2">
        <v>6</v>
      </c>
      <c r="AI58" s="23">
        <v>6</v>
      </c>
      <c r="AJ58" s="2" t="s">
        <v>249</v>
      </c>
      <c r="AK58" s="2" t="s">
        <v>199</v>
      </c>
      <c r="AL58" s="2" t="s">
        <v>367</v>
      </c>
      <c r="AM58" s="2" t="s">
        <v>271</v>
      </c>
      <c r="AN58" s="2" t="s">
        <v>931</v>
      </c>
      <c r="AO58" s="2" t="s">
        <v>203</v>
      </c>
      <c r="AP58" s="2" t="s">
        <v>880</v>
      </c>
      <c r="AQ58" s="25">
        <v>0</v>
      </c>
      <c r="AR58" s="25">
        <f>IFERROR((Table1[[#This Row],[Column7]]-Table1[[#This Row],[Column8]])/Table1[[#This Row],[Column7]], 0)</f>
        <v>-9.6666666666666661</v>
      </c>
      <c r="AS58" s="2">
        <v>46.67</v>
      </c>
      <c r="AT58" s="21">
        <f>Table1[[#This Row],[Quantity]] * Table1[[#This Row],[CostPrice]]</f>
        <v>64</v>
      </c>
      <c r="AU58" s="2">
        <v>64</v>
      </c>
      <c r="AV58" s="13">
        <f>Table1[[#This Row],[Quantity]] * Table1[[#This Row],[UnitPrice]]</f>
        <v>120</v>
      </c>
      <c r="AW58" s="2">
        <v>120</v>
      </c>
      <c r="AX58" s="21">
        <f>Table1[[#This Row],[Column3]] * (Table1[[#This Row],[Column1]]/100)</f>
        <v>0</v>
      </c>
      <c r="AY58" s="2">
        <v>0</v>
      </c>
      <c r="AZ58" s="27">
        <f>Table1[[#This Row],[Column3]] * Table1[[#This Row],[Column4]]</f>
        <v>0</v>
      </c>
      <c r="BA58" s="2">
        <v>120</v>
      </c>
      <c r="BB58" s="15">
        <f>Table1[[#This Row],[Column5]] * (Table1[[#This Row],[Column2]]/100)</f>
        <v>0</v>
      </c>
      <c r="BC58" s="2">
        <v>7.2</v>
      </c>
      <c r="BD58" s="19">
        <f>Table1[[#This Row],[Column5]] + Table1[[#This Row],[Column6]] + Table1[[#This Row],[ShippingCost]]</f>
        <v>6</v>
      </c>
      <c r="BE58" s="2">
        <v>127.2</v>
      </c>
      <c r="BF58" s="2" t="s">
        <v>371</v>
      </c>
      <c r="BG58" s="2">
        <f>Table1[[#This Row],[DeliveryDate]]-Table1[[#This Row],[OrderDate]]</f>
        <v>5</v>
      </c>
      <c r="BH58" s="2">
        <v>5</v>
      </c>
      <c r="BI58" s="2" t="str">
        <f>IF(OR(Table1[[#This Row],[CustomerTier]]="Platinum", Table1[[#This Row],[Column7]]&gt;1000), "Yes", "No")</f>
        <v>No</v>
      </c>
      <c r="BJ58" s="2" t="s">
        <v>205</v>
      </c>
      <c r="BK58" s="2" t="str">
        <f>IF(Table1[[#This Row],[Quantity]]&gt;=10, "Yes", "No")</f>
        <v>No</v>
      </c>
      <c r="BL58" s="2" t="s">
        <v>205</v>
      </c>
      <c r="BM58" s="2">
        <f>IF(Table1[[#This Row],[Column12]]="Yes", 5%, 0)</f>
        <v>0</v>
      </c>
      <c r="BN58" s="2">
        <v>0</v>
      </c>
      <c r="BO58" s="2"/>
      <c r="BP58" s="2"/>
      <c r="BQ58" s="2" t="s">
        <v>254</v>
      </c>
      <c r="BR58" s="2" t="s">
        <v>209</v>
      </c>
      <c r="BS58" s="3" t="s">
        <v>210</v>
      </c>
    </row>
    <row r="59" spans="1:71" x14ac:dyDescent="0.25">
      <c r="A59" s="1" t="s">
        <v>611</v>
      </c>
      <c r="B59" s="11">
        <v>45701</v>
      </c>
      <c r="C59" s="11">
        <v>45704</v>
      </c>
      <c r="D59" s="2" t="s">
        <v>180</v>
      </c>
      <c r="E59" s="2" t="s">
        <v>212</v>
      </c>
      <c r="F59" s="2" t="s">
        <v>275</v>
      </c>
      <c r="G59" s="2" t="s">
        <v>276</v>
      </c>
      <c r="H59" s="2" t="s">
        <v>277</v>
      </c>
      <c r="I59" s="2" t="s">
        <v>278</v>
      </c>
      <c r="J59" s="2" t="s">
        <v>279</v>
      </c>
      <c r="K59" s="2" t="s">
        <v>277</v>
      </c>
      <c r="L59" s="2" t="s">
        <v>187</v>
      </c>
      <c r="M59" s="2" t="s">
        <v>280</v>
      </c>
      <c r="N59" s="2" t="s">
        <v>281</v>
      </c>
      <c r="O59" s="11">
        <v>43508</v>
      </c>
      <c r="P59" s="2" t="s">
        <v>612</v>
      </c>
      <c r="Q59" s="2" t="s">
        <v>613</v>
      </c>
      <c r="R59" s="2" t="s">
        <v>265</v>
      </c>
      <c r="S59" s="2" t="s">
        <v>499</v>
      </c>
      <c r="T59" s="2" t="s">
        <v>500</v>
      </c>
      <c r="U59" s="2" t="s">
        <v>268</v>
      </c>
      <c r="V59" s="13">
        <v>28</v>
      </c>
      <c r="W59" s="13">
        <v>15</v>
      </c>
      <c r="X59" s="2">
        <v>0.9</v>
      </c>
      <c r="Y59" s="2" t="s">
        <v>530</v>
      </c>
      <c r="Z59" s="2" t="s">
        <v>880</v>
      </c>
      <c r="AA59" s="2">
        <v>40</v>
      </c>
      <c r="AB59" s="2">
        <v>10</v>
      </c>
      <c r="AC59" s="2">
        <v>1</v>
      </c>
      <c r="AD59" s="2">
        <v>3</v>
      </c>
      <c r="AE59" s="17">
        <f>Table1[[#This Row],[Discount%]]/100</f>
        <v>0</v>
      </c>
      <c r="AF59" s="2">
        <v>0</v>
      </c>
      <c r="AG59" s="17">
        <f>Table1[[#This Row],[Tax%]]/100</f>
        <v>0.05</v>
      </c>
      <c r="AH59" s="2">
        <v>5</v>
      </c>
      <c r="AI59" s="23">
        <v>4</v>
      </c>
      <c r="AJ59" s="2" t="s">
        <v>366</v>
      </c>
      <c r="AK59" s="2" t="s">
        <v>230</v>
      </c>
      <c r="AL59" s="2" t="s">
        <v>231</v>
      </c>
      <c r="AM59" s="2" t="s">
        <v>232</v>
      </c>
      <c r="AN59" s="2" t="s">
        <v>932</v>
      </c>
      <c r="AO59" s="2" t="s">
        <v>203</v>
      </c>
      <c r="AP59" s="2" t="s">
        <v>880</v>
      </c>
      <c r="AQ59" s="25">
        <v>0</v>
      </c>
      <c r="AR59" s="25">
        <f>IFERROR((Table1[[#This Row],[Column7]]-Table1[[#This Row],[Column8]])/Table1[[#This Row],[Column7]], 0)</f>
        <v>-10.25</v>
      </c>
      <c r="AS59" s="2">
        <v>46.43</v>
      </c>
      <c r="AT59" s="21">
        <f>Table1[[#This Row],[Quantity]] * Table1[[#This Row],[CostPrice]]</f>
        <v>45</v>
      </c>
      <c r="AU59" s="2">
        <v>45</v>
      </c>
      <c r="AV59" s="13">
        <f>Table1[[#This Row],[Quantity]] * Table1[[#This Row],[UnitPrice]]</f>
        <v>84</v>
      </c>
      <c r="AW59" s="2">
        <v>84</v>
      </c>
      <c r="AX59" s="21">
        <f>Table1[[#This Row],[Column3]] * (Table1[[#This Row],[Column1]]/100)</f>
        <v>0</v>
      </c>
      <c r="AY59" s="2">
        <v>0</v>
      </c>
      <c r="AZ59" s="27">
        <f>Table1[[#This Row],[Column3]] * Table1[[#This Row],[Column4]]</f>
        <v>0</v>
      </c>
      <c r="BA59" s="2">
        <v>84</v>
      </c>
      <c r="BB59" s="15">
        <f>Table1[[#This Row],[Column5]] * (Table1[[#This Row],[Column2]]/100)</f>
        <v>0</v>
      </c>
      <c r="BC59" s="2">
        <v>4.2</v>
      </c>
      <c r="BD59" s="19">
        <f>Table1[[#This Row],[Column5]] + Table1[[#This Row],[Column6]] + Table1[[#This Row],[ShippingCost]]</f>
        <v>4</v>
      </c>
      <c r="BE59" s="2">
        <v>88.2</v>
      </c>
      <c r="BF59" s="2" t="s">
        <v>180</v>
      </c>
      <c r="BG59" s="2">
        <f>Table1[[#This Row],[DeliveryDate]]-Table1[[#This Row],[OrderDate]]</f>
        <v>3</v>
      </c>
      <c r="BH59" s="2">
        <v>3</v>
      </c>
      <c r="BI59" s="2" t="str">
        <f>IF(OR(Table1[[#This Row],[CustomerTier]]="Platinum", Table1[[#This Row],[Column7]]&gt;1000), "Yes", "No")</f>
        <v>No</v>
      </c>
      <c r="BJ59" s="2" t="s">
        <v>205</v>
      </c>
      <c r="BK59" s="2" t="str">
        <f>IF(Table1[[#This Row],[Quantity]]&gt;=10, "Yes", "No")</f>
        <v>No</v>
      </c>
      <c r="BL59" s="2" t="s">
        <v>205</v>
      </c>
      <c r="BM59" s="2">
        <f>IF(Table1[[#This Row],[Column12]]="Yes", 5%, 0)</f>
        <v>0</v>
      </c>
      <c r="BN59" s="2">
        <v>0</v>
      </c>
      <c r="BO59" s="2"/>
      <c r="BP59" s="2"/>
      <c r="BQ59" s="2" t="s">
        <v>273</v>
      </c>
      <c r="BR59" s="2" t="s">
        <v>209</v>
      </c>
      <c r="BS59" s="3" t="s">
        <v>210</v>
      </c>
    </row>
    <row r="60" spans="1:71" x14ac:dyDescent="0.25">
      <c r="A60" s="1" t="s">
        <v>614</v>
      </c>
      <c r="B60" s="11">
        <v>45701</v>
      </c>
      <c r="C60" s="11">
        <v>45706</v>
      </c>
      <c r="D60" s="2" t="s">
        <v>180</v>
      </c>
      <c r="E60" s="2" t="s">
        <v>181</v>
      </c>
      <c r="F60" s="2" t="s">
        <v>236</v>
      </c>
      <c r="G60" s="2" t="s">
        <v>237</v>
      </c>
      <c r="H60" s="2" t="s">
        <v>215</v>
      </c>
      <c r="I60" s="2" t="s">
        <v>238</v>
      </c>
      <c r="J60" s="2" t="s">
        <v>239</v>
      </c>
      <c r="K60" s="2" t="s">
        <v>215</v>
      </c>
      <c r="L60" s="2" t="s">
        <v>218</v>
      </c>
      <c r="M60" s="2" t="s">
        <v>240</v>
      </c>
      <c r="N60" s="2" t="s">
        <v>241</v>
      </c>
      <c r="O60" s="11">
        <v>44814</v>
      </c>
      <c r="P60" s="2" t="s">
        <v>615</v>
      </c>
      <c r="Q60" s="2" t="s">
        <v>616</v>
      </c>
      <c r="R60" s="2" t="s">
        <v>363</v>
      </c>
      <c r="S60" s="2" t="s">
        <v>224</v>
      </c>
      <c r="T60" s="2" t="s">
        <v>617</v>
      </c>
      <c r="U60" s="2" t="s">
        <v>388</v>
      </c>
      <c r="V60" s="13">
        <v>40</v>
      </c>
      <c r="W60" s="13">
        <v>21</v>
      </c>
      <c r="X60" s="2">
        <v>0.2</v>
      </c>
      <c r="Y60" s="2" t="s">
        <v>530</v>
      </c>
      <c r="Z60" s="2">
        <v>32</v>
      </c>
      <c r="AA60" s="2">
        <v>55</v>
      </c>
      <c r="AB60" s="2">
        <v>12</v>
      </c>
      <c r="AC60" s="2">
        <v>1</v>
      </c>
      <c r="AD60" s="2">
        <v>2</v>
      </c>
      <c r="AE60" s="17">
        <f>Table1[[#This Row],[Discount%]]/100</f>
        <v>0</v>
      </c>
      <c r="AF60" s="2">
        <v>0</v>
      </c>
      <c r="AG60" s="17">
        <f>Table1[[#This Row],[Tax%]]/100</f>
        <v>0.05</v>
      </c>
      <c r="AH60" s="2">
        <v>5</v>
      </c>
      <c r="AI60" s="23">
        <v>3</v>
      </c>
      <c r="AJ60" s="2" t="s">
        <v>229</v>
      </c>
      <c r="AK60" s="2" t="s">
        <v>230</v>
      </c>
      <c r="AL60" s="2" t="s">
        <v>250</v>
      </c>
      <c r="AM60" s="2" t="s">
        <v>196</v>
      </c>
      <c r="AN60" s="2" t="s">
        <v>933</v>
      </c>
      <c r="AO60" s="2" t="s">
        <v>203</v>
      </c>
      <c r="AP60" s="2" t="s">
        <v>880</v>
      </c>
      <c r="AQ60" s="25">
        <v>0</v>
      </c>
      <c r="AR60" s="25">
        <f>IFERROR((Table1[[#This Row],[Column7]]-Table1[[#This Row],[Column8]])/Table1[[#This Row],[Column7]], 0)</f>
        <v>-13</v>
      </c>
      <c r="AS60" s="2">
        <v>47.5</v>
      </c>
      <c r="AT60" s="21">
        <f>Table1[[#This Row],[Quantity]] * Table1[[#This Row],[CostPrice]]</f>
        <v>42</v>
      </c>
      <c r="AU60" s="2">
        <v>42</v>
      </c>
      <c r="AV60" s="13">
        <f>Table1[[#This Row],[Quantity]] * Table1[[#This Row],[UnitPrice]]</f>
        <v>80</v>
      </c>
      <c r="AW60" s="2">
        <v>80</v>
      </c>
      <c r="AX60" s="21">
        <f>Table1[[#This Row],[Column3]] * (Table1[[#This Row],[Column1]]/100)</f>
        <v>0</v>
      </c>
      <c r="AY60" s="2">
        <v>0</v>
      </c>
      <c r="AZ60" s="27">
        <f>Table1[[#This Row],[Column3]] * Table1[[#This Row],[Column4]]</f>
        <v>0</v>
      </c>
      <c r="BA60" s="2">
        <v>80</v>
      </c>
      <c r="BB60" s="15">
        <f>Table1[[#This Row],[Column5]] * (Table1[[#This Row],[Column2]]/100)</f>
        <v>0</v>
      </c>
      <c r="BC60" s="2">
        <v>4</v>
      </c>
      <c r="BD60" s="19">
        <f>Table1[[#This Row],[Column5]] + Table1[[#This Row],[Column6]] + Table1[[#This Row],[ShippingCost]]</f>
        <v>3</v>
      </c>
      <c r="BE60" s="2">
        <v>84</v>
      </c>
      <c r="BF60" s="2" t="s">
        <v>180</v>
      </c>
      <c r="BG60" s="2">
        <f>Table1[[#This Row],[DeliveryDate]]-Table1[[#This Row],[OrderDate]]</f>
        <v>5</v>
      </c>
      <c r="BH60" s="2">
        <v>5</v>
      </c>
      <c r="BI60" s="2" t="str">
        <f>IF(OR(Table1[[#This Row],[CustomerTier]]="Platinum", Table1[[#This Row],[Column7]]&gt;1000), "Yes", "No")</f>
        <v>No</v>
      </c>
      <c r="BJ60" s="2" t="s">
        <v>205</v>
      </c>
      <c r="BK60" s="2" t="str">
        <f>IF(Table1[[#This Row],[Quantity]]&gt;=10, "Yes", "No")</f>
        <v>No</v>
      </c>
      <c r="BL60" s="2" t="s">
        <v>205</v>
      </c>
      <c r="BM60" s="2">
        <f>IF(Table1[[#This Row],[Column12]]="Yes", 5%, 0)</f>
        <v>0</v>
      </c>
      <c r="BN60" s="2">
        <v>0</v>
      </c>
      <c r="BO60" s="2" t="s">
        <v>206</v>
      </c>
      <c r="BP60" s="2" t="s">
        <v>207</v>
      </c>
      <c r="BQ60" s="2" t="s">
        <v>234</v>
      </c>
      <c r="BR60" s="2" t="s">
        <v>209</v>
      </c>
      <c r="BS60" s="3" t="s">
        <v>210</v>
      </c>
    </row>
    <row r="61" spans="1:71" x14ac:dyDescent="0.25">
      <c r="A61" s="1" t="s">
        <v>618</v>
      </c>
      <c r="B61" s="11">
        <v>45702</v>
      </c>
      <c r="C61" s="11">
        <v>45705</v>
      </c>
      <c r="D61" s="2" t="s">
        <v>180</v>
      </c>
      <c r="E61" s="2" t="s">
        <v>212</v>
      </c>
      <c r="F61" s="2" t="s">
        <v>182</v>
      </c>
      <c r="G61" s="2" t="s">
        <v>183</v>
      </c>
      <c r="H61" s="2" t="s">
        <v>184</v>
      </c>
      <c r="I61" s="2" t="s">
        <v>185</v>
      </c>
      <c r="J61" s="2" t="s">
        <v>186</v>
      </c>
      <c r="K61" s="2" t="s">
        <v>184</v>
      </c>
      <c r="L61" s="2" t="s">
        <v>187</v>
      </c>
      <c r="M61" s="2" t="s">
        <v>188</v>
      </c>
      <c r="N61" s="2" t="s">
        <v>189</v>
      </c>
      <c r="O61" s="11">
        <v>43891</v>
      </c>
      <c r="P61" s="2" t="s">
        <v>619</v>
      </c>
      <c r="Q61" s="2" t="s">
        <v>620</v>
      </c>
      <c r="R61" s="2" t="s">
        <v>244</v>
      </c>
      <c r="S61" s="2" t="s">
        <v>245</v>
      </c>
      <c r="T61" s="2" t="s">
        <v>621</v>
      </c>
      <c r="U61" s="2" t="s">
        <v>247</v>
      </c>
      <c r="V61" s="13">
        <v>45</v>
      </c>
      <c r="W61" s="13">
        <v>24</v>
      </c>
      <c r="X61" s="2">
        <v>1.2</v>
      </c>
      <c r="Y61" s="2" t="s">
        <v>288</v>
      </c>
      <c r="Z61" s="2" t="s">
        <v>622</v>
      </c>
      <c r="AA61" s="2">
        <v>35</v>
      </c>
      <c r="AB61" s="2">
        <v>8</v>
      </c>
      <c r="AC61" s="2">
        <v>2</v>
      </c>
      <c r="AD61" s="2">
        <v>2</v>
      </c>
      <c r="AE61" s="17">
        <f>Table1[[#This Row],[Discount%]]/100</f>
        <v>0</v>
      </c>
      <c r="AF61" s="2">
        <v>0</v>
      </c>
      <c r="AG61" s="17">
        <f>Table1[[#This Row],[Tax%]]/100</f>
        <v>0.06</v>
      </c>
      <c r="AH61" s="2">
        <v>6</v>
      </c>
      <c r="AI61" s="23">
        <v>4</v>
      </c>
      <c r="AJ61" s="2" t="s">
        <v>198</v>
      </c>
      <c r="AK61" s="2" t="s">
        <v>230</v>
      </c>
      <c r="AL61" s="2" t="s">
        <v>307</v>
      </c>
      <c r="AM61" s="2" t="s">
        <v>196</v>
      </c>
      <c r="AN61" s="2" t="s">
        <v>934</v>
      </c>
      <c r="AO61" s="2" t="s">
        <v>203</v>
      </c>
      <c r="AP61" s="2" t="s">
        <v>880</v>
      </c>
      <c r="AQ61" s="25">
        <v>0</v>
      </c>
      <c r="AR61" s="25">
        <f>IFERROR((Table1[[#This Row],[Column7]]-Table1[[#This Row],[Column8]])/Table1[[#This Row],[Column7]], 0)</f>
        <v>-11</v>
      </c>
      <c r="AS61" s="2">
        <v>46.67</v>
      </c>
      <c r="AT61" s="21">
        <f>Table1[[#This Row],[Quantity]] * Table1[[#This Row],[CostPrice]]</f>
        <v>48</v>
      </c>
      <c r="AU61" s="2">
        <v>48</v>
      </c>
      <c r="AV61" s="13">
        <f>Table1[[#This Row],[Quantity]] * Table1[[#This Row],[UnitPrice]]</f>
        <v>90</v>
      </c>
      <c r="AW61" s="2">
        <v>90</v>
      </c>
      <c r="AX61" s="21">
        <f>Table1[[#This Row],[Column3]] * (Table1[[#This Row],[Column1]]/100)</f>
        <v>0</v>
      </c>
      <c r="AY61" s="2">
        <v>0</v>
      </c>
      <c r="AZ61" s="27">
        <f>Table1[[#This Row],[Column3]] * Table1[[#This Row],[Column4]]</f>
        <v>0</v>
      </c>
      <c r="BA61" s="2">
        <v>90</v>
      </c>
      <c r="BB61" s="15">
        <f>Table1[[#This Row],[Column5]] * (Table1[[#This Row],[Column2]]/100)</f>
        <v>0</v>
      </c>
      <c r="BC61" s="2">
        <v>5.4</v>
      </c>
      <c r="BD61" s="19">
        <f>Table1[[#This Row],[Column5]] + Table1[[#This Row],[Column6]] + Table1[[#This Row],[ShippingCost]]</f>
        <v>4</v>
      </c>
      <c r="BE61" s="2">
        <v>95.4</v>
      </c>
      <c r="BF61" s="2" t="s">
        <v>180</v>
      </c>
      <c r="BG61" s="2">
        <f>Table1[[#This Row],[DeliveryDate]]-Table1[[#This Row],[OrderDate]]</f>
        <v>3</v>
      </c>
      <c r="BH61" s="2">
        <v>3</v>
      </c>
      <c r="BI61" s="2" t="str">
        <f>IF(OR(Table1[[#This Row],[CustomerTier]]="Platinum", Table1[[#This Row],[Column7]]&gt;1000), "Yes", "No")</f>
        <v>No</v>
      </c>
      <c r="BJ61" s="2" t="s">
        <v>205</v>
      </c>
      <c r="BK61" s="2" t="str">
        <f>IF(Table1[[#This Row],[Quantity]]&gt;=10, "Yes", "No")</f>
        <v>No</v>
      </c>
      <c r="BL61" s="2" t="s">
        <v>205</v>
      </c>
      <c r="BM61" s="2">
        <f>IF(Table1[[#This Row],[Column12]]="Yes", 5%, 0)</f>
        <v>0</v>
      </c>
      <c r="BN61" s="2">
        <v>0</v>
      </c>
      <c r="BO61" s="2"/>
      <c r="BP61" s="2"/>
      <c r="BQ61" s="2" t="s">
        <v>254</v>
      </c>
      <c r="BR61" s="2" t="s">
        <v>209</v>
      </c>
      <c r="BS61" s="3" t="s">
        <v>210</v>
      </c>
    </row>
    <row r="62" spans="1:71" x14ac:dyDescent="0.25">
      <c r="A62" s="1" t="s">
        <v>623</v>
      </c>
      <c r="B62" s="11">
        <v>45702</v>
      </c>
      <c r="C62" s="11">
        <v>45707</v>
      </c>
      <c r="D62" s="2" t="s">
        <v>310</v>
      </c>
      <c r="E62" s="2" t="s">
        <v>181</v>
      </c>
      <c r="F62" s="2" t="s">
        <v>295</v>
      </c>
      <c r="G62" s="2" t="s">
        <v>296</v>
      </c>
      <c r="H62" s="2" t="s">
        <v>297</v>
      </c>
      <c r="I62" s="2" t="s">
        <v>298</v>
      </c>
      <c r="J62" s="2" t="s">
        <v>299</v>
      </c>
      <c r="K62" s="2" t="s">
        <v>297</v>
      </c>
      <c r="L62" s="2" t="s">
        <v>187</v>
      </c>
      <c r="M62" s="2" t="s">
        <v>300</v>
      </c>
      <c r="N62" s="2" t="s">
        <v>301</v>
      </c>
      <c r="O62" s="11">
        <v>43332</v>
      </c>
      <c r="P62" s="2" t="s">
        <v>624</v>
      </c>
      <c r="Q62" s="2" t="s">
        <v>625</v>
      </c>
      <c r="R62" s="2" t="s">
        <v>192</v>
      </c>
      <c r="S62" s="2" t="s">
        <v>363</v>
      </c>
      <c r="T62" s="2" t="s">
        <v>626</v>
      </c>
      <c r="U62" s="2" t="s">
        <v>365</v>
      </c>
      <c r="V62" s="13">
        <v>35</v>
      </c>
      <c r="W62" s="13">
        <v>18</v>
      </c>
      <c r="X62" s="2">
        <v>0.2</v>
      </c>
      <c r="Y62" s="2" t="s">
        <v>288</v>
      </c>
      <c r="Z62" s="2" t="s">
        <v>627</v>
      </c>
      <c r="AA62" s="2">
        <v>60</v>
      </c>
      <c r="AB62" s="2">
        <v>15</v>
      </c>
      <c r="AC62" s="2">
        <v>1</v>
      </c>
      <c r="AD62" s="2">
        <v>2</v>
      </c>
      <c r="AE62" s="17">
        <f>Table1[[#This Row],[Discount%]]/100</f>
        <v>0</v>
      </c>
      <c r="AF62" s="2">
        <v>0</v>
      </c>
      <c r="AG62" s="17">
        <f>Table1[[#This Row],[Tax%]]/100</f>
        <v>0.05</v>
      </c>
      <c r="AH62" s="2">
        <v>5</v>
      </c>
      <c r="AI62" s="23">
        <v>3</v>
      </c>
      <c r="AJ62" s="2" t="s">
        <v>289</v>
      </c>
      <c r="AK62" s="2" t="s">
        <v>199</v>
      </c>
      <c r="AL62" s="2" t="s">
        <v>270</v>
      </c>
      <c r="AM62" s="2" t="s">
        <v>271</v>
      </c>
      <c r="AN62" s="2" t="s">
        <v>935</v>
      </c>
      <c r="AO62" s="2" t="s">
        <v>203</v>
      </c>
      <c r="AP62" s="2" t="s">
        <v>880</v>
      </c>
      <c r="AQ62" s="25">
        <v>0</v>
      </c>
      <c r="AR62" s="25">
        <f>IFERROR((Table1[[#This Row],[Column7]]-Table1[[#This Row],[Column8]])/Table1[[#This Row],[Column7]], 0)</f>
        <v>-11</v>
      </c>
      <c r="AS62" s="2">
        <v>48.57</v>
      </c>
      <c r="AT62" s="21">
        <f>Table1[[#This Row],[Quantity]] * Table1[[#This Row],[CostPrice]]</f>
        <v>36</v>
      </c>
      <c r="AU62" s="2">
        <v>36</v>
      </c>
      <c r="AV62" s="13">
        <f>Table1[[#This Row],[Quantity]] * Table1[[#This Row],[UnitPrice]]</f>
        <v>70</v>
      </c>
      <c r="AW62" s="2">
        <v>70</v>
      </c>
      <c r="AX62" s="21">
        <f>Table1[[#This Row],[Column3]] * (Table1[[#This Row],[Column1]]/100)</f>
        <v>0</v>
      </c>
      <c r="AY62" s="2">
        <v>0</v>
      </c>
      <c r="AZ62" s="27">
        <f>Table1[[#This Row],[Column3]] * Table1[[#This Row],[Column4]]</f>
        <v>0</v>
      </c>
      <c r="BA62" s="2">
        <v>70</v>
      </c>
      <c r="BB62" s="15">
        <f>Table1[[#This Row],[Column5]] * (Table1[[#This Row],[Column2]]/100)</f>
        <v>0</v>
      </c>
      <c r="BC62" s="2">
        <v>3.5</v>
      </c>
      <c r="BD62" s="19">
        <f>Table1[[#This Row],[Column5]] + Table1[[#This Row],[Column6]] + Table1[[#This Row],[ShippingCost]]</f>
        <v>3</v>
      </c>
      <c r="BE62" s="2">
        <v>73.5</v>
      </c>
      <c r="BF62" s="2" t="s">
        <v>310</v>
      </c>
      <c r="BG62" s="2">
        <f>Table1[[#This Row],[DeliveryDate]]-Table1[[#This Row],[OrderDate]]</f>
        <v>5</v>
      </c>
      <c r="BH62" s="2">
        <v>5</v>
      </c>
      <c r="BI62" s="2" t="str">
        <f>IF(OR(Table1[[#This Row],[CustomerTier]]="Platinum", Table1[[#This Row],[Column7]]&gt;1000), "Yes", "No")</f>
        <v>No</v>
      </c>
      <c r="BJ62" s="2" t="s">
        <v>205</v>
      </c>
      <c r="BK62" s="2" t="str">
        <f>IF(Table1[[#This Row],[Quantity]]&gt;=10, "Yes", "No")</f>
        <v>No</v>
      </c>
      <c r="BL62" s="2" t="s">
        <v>205</v>
      </c>
      <c r="BM62" s="2">
        <f>IF(Table1[[#This Row],[Column12]]="Yes", 5%, 0)</f>
        <v>0</v>
      </c>
      <c r="BN62" s="2">
        <v>0</v>
      </c>
      <c r="BO62" s="2"/>
      <c r="BP62" s="2"/>
      <c r="BQ62" s="2" t="s">
        <v>208</v>
      </c>
      <c r="BR62" s="2" t="s">
        <v>209</v>
      </c>
      <c r="BS62" s="3" t="s">
        <v>210</v>
      </c>
    </row>
    <row r="63" spans="1:71" x14ac:dyDescent="0.25">
      <c r="A63" s="1" t="s">
        <v>628</v>
      </c>
      <c r="B63" s="11">
        <v>45703</v>
      </c>
      <c r="C63" s="11">
        <v>45706</v>
      </c>
      <c r="D63" s="2" t="s">
        <v>180</v>
      </c>
      <c r="E63" s="2" t="s">
        <v>212</v>
      </c>
      <c r="F63" s="2" t="s">
        <v>311</v>
      </c>
      <c r="G63" s="2" t="s">
        <v>312</v>
      </c>
      <c r="H63" s="2" t="s">
        <v>184</v>
      </c>
      <c r="I63" s="2" t="s">
        <v>313</v>
      </c>
      <c r="J63" s="2" t="s">
        <v>314</v>
      </c>
      <c r="K63" s="2" t="s">
        <v>184</v>
      </c>
      <c r="L63" s="2" t="s">
        <v>218</v>
      </c>
      <c r="M63" s="2" t="s">
        <v>315</v>
      </c>
      <c r="N63" s="2" t="s">
        <v>316</v>
      </c>
      <c r="O63" s="11">
        <v>44745</v>
      </c>
      <c r="P63" s="2" t="s">
        <v>629</v>
      </c>
      <c r="Q63" s="2" t="s">
        <v>630</v>
      </c>
      <c r="R63" s="2" t="s">
        <v>244</v>
      </c>
      <c r="S63" s="2" t="s">
        <v>631</v>
      </c>
      <c r="T63" s="2" t="s">
        <v>632</v>
      </c>
      <c r="U63" s="2" t="s">
        <v>247</v>
      </c>
      <c r="V63" s="13">
        <v>22</v>
      </c>
      <c r="W63" s="13">
        <v>11</v>
      </c>
      <c r="X63" s="2">
        <v>1.2</v>
      </c>
      <c r="Y63" s="2" t="s">
        <v>633</v>
      </c>
      <c r="Z63" s="2" t="s">
        <v>634</v>
      </c>
      <c r="AA63" s="2">
        <v>45</v>
      </c>
      <c r="AB63" s="2">
        <v>10</v>
      </c>
      <c r="AC63" s="2">
        <v>2</v>
      </c>
      <c r="AD63" s="2">
        <v>3</v>
      </c>
      <c r="AE63" s="17">
        <f>Table1[[#This Row],[Discount%]]/100</f>
        <v>0</v>
      </c>
      <c r="AF63" s="2">
        <v>0</v>
      </c>
      <c r="AG63" s="17">
        <f>Table1[[#This Row],[Tax%]]/100</f>
        <v>0.05</v>
      </c>
      <c r="AH63" s="2">
        <v>5</v>
      </c>
      <c r="AI63" s="23">
        <v>4</v>
      </c>
      <c r="AJ63" s="2" t="s">
        <v>249</v>
      </c>
      <c r="AK63" s="2" t="s">
        <v>230</v>
      </c>
      <c r="AL63" s="2" t="s">
        <v>348</v>
      </c>
      <c r="AM63" s="2" t="s">
        <v>232</v>
      </c>
      <c r="AN63" s="2" t="s">
        <v>936</v>
      </c>
      <c r="AO63" s="2" t="s">
        <v>203</v>
      </c>
      <c r="AP63" s="2" t="s">
        <v>880</v>
      </c>
      <c r="AQ63" s="25">
        <v>0</v>
      </c>
      <c r="AR63" s="25">
        <f>IFERROR((Table1[[#This Row],[Column7]]-Table1[[#This Row],[Column8]])/Table1[[#This Row],[Column7]], 0)</f>
        <v>-7.25</v>
      </c>
      <c r="AS63" s="2">
        <v>50</v>
      </c>
      <c r="AT63" s="21">
        <f>Table1[[#This Row],[Quantity]] * Table1[[#This Row],[CostPrice]]</f>
        <v>33</v>
      </c>
      <c r="AU63" s="2">
        <v>33</v>
      </c>
      <c r="AV63" s="13">
        <f>Table1[[#This Row],[Quantity]] * Table1[[#This Row],[UnitPrice]]</f>
        <v>66</v>
      </c>
      <c r="AW63" s="2">
        <v>66</v>
      </c>
      <c r="AX63" s="21">
        <f>Table1[[#This Row],[Column3]] * (Table1[[#This Row],[Column1]]/100)</f>
        <v>0</v>
      </c>
      <c r="AY63" s="2">
        <v>0</v>
      </c>
      <c r="AZ63" s="27">
        <f>Table1[[#This Row],[Column3]] * Table1[[#This Row],[Column4]]</f>
        <v>0</v>
      </c>
      <c r="BA63" s="2">
        <v>66</v>
      </c>
      <c r="BB63" s="15">
        <f>Table1[[#This Row],[Column5]] * (Table1[[#This Row],[Column2]]/100)</f>
        <v>0</v>
      </c>
      <c r="BC63" s="2">
        <v>3.3</v>
      </c>
      <c r="BD63" s="19">
        <f>Table1[[#This Row],[Column5]] + Table1[[#This Row],[Column6]] + Table1[[#This Row],[ShippingCost]]</f>
        <v>4</v>
      </c>
      <c r="BE63" s="2">
        <v>69.3</v>
      </c>
      <c r="BF63" s="2" t="s">
        <v>180</v>
      </c>
      <c r="BG63" s="2">
        <f>Table1[[#This Row],[DeliveryDate]]-Table1[[#This Row],[OrderDate]]</f>
        <v>3</v>
      </c>
      <c r="BH63" s="2">
        <v>3</v>
      </c>
      <c r="BI63" s="2" t="str">
        <f>IF(OR(Table1[[#This Row],[CustomerTier]]="Platinum", Table1[[#This Row],[Column7]]&gt;1000), "Yes", "No")</f>
        <v>No</v>
      </c>
      <c r="BJ63" s="2" t="s">
        <v>205</v>
      </c>
      <c r="BK63" s="2" t="str">
        <f>IF(Table1[[#This Row],[Quantity]]&gt;=10, "Yes", "No")</f>
        <v>No</v>
      </c>
      <c r="BL63" s="2" t="s">
        <v>205</v>
      </c>
      <c r="BM63" s="2">
        <f>IF(Table1[[#This Row],[Column12]]="Yes", 5%, 0)</f>
        <v>0</v>
      </c>
      <c r="BN63" s="2">
        <v>0</v>
      </c>
      <c r="BO63" s="2"/>
      <c r="BP63" s="2"/>
      <c r="BQ63" s="2" t="s">
        <v>254</v>
      </c>
      <c r="BR63" s="2" t="s">
        <v>209</v>
      </c>
      <c r="BS63" s="3" t="s">
        <v>210</v>
      </c>
    </row>
    <row r="64" spans="1:71" x14ac:dyDescent="0.25">
      <c r="A64" s="1" t="s">
        <v>635</v>
      </c>
      <c r="B64" s="11">
        <v>45703</v>
      </c>
      <c r="C64" s="11">
        <v>45708</v>
      </c>
      <c r="D64" s="2" t="s">
        <v>180</v>
      </c>
      <c r="E64" s="2" t="s">
        <v>181</v>
      </c>
      <c r="F64" s="2" t="s">
        <v>325</v>
      </c>
      <c r="G64" s="2" t="s">
        <v>326</v>
      </c>
      <c r="H64" s="2" t="s">
        <v>215</v>
      </c>
      <c r="I64" s="2" t="s">
        <v>327</v>
      </c>
      <c r="J64" s="2" t="s">
        <v>217</v>
      </c>
      <c r="K64" s="2" t="s">
        <v>215</v>
      </c>
      <c r="L64" s="2" t="s">
        <v>218</v>
      </c>
      <c r="M64" s="2" t="s">
        <v>328</v>
      </c>
      <c r="N64" s="2" t="s">
        <v>329</v>
      </c>
      <c r="O64" s="11">
        <v>44300</v>
      </c>
      <c r="P64" s="2" t="s">
        <v>636</v>
      </c>
      <c r="Q64" s="2" t="s">
        <v>637</v>
      </c>
      <c r="R64" s="2" t="s">
        <v>192</v>
      </c>
      <c r="S64" s="2" t="s">
        <v>193</v>
      </c>
      <c r="T64" s="2" t="s">
        <v>550</v>
      </c>
      <c r="U64" s="2" t="s">
        <v>365</v>
      </c>
      <c r="V64" s="13">
        <v>18</v>
      </c>
      <c r="W64" s="13">
        <v>9</v>
      </c>
      <c r="X64" s="2">
        <v>0.05</v>
      </c>
      <c r="Y64" s="2" t="s">
        <v>288</v>
      </c>
      <c r="Z64" s="2" t="s">
        <v>638</v>
      </c>
      <c r="AA64" s="2">
        <v>200</v>
      </c>
      <c r="AB64" s="2">
        <v>40</v>
      </c>
      <c r="AC64" s="2">
        <v>1</v>
      </c>
      <c r="AD64" s="2">
        <v>5</v>
      </c>
      <c r="AE64" s="17">
        <f>Table1[[#This Row],[Discount%]]/100</f>
        <v>0</v>
      </c>
      <c r="AF64" s="2">
        <v>0</v>
      </c>
      <c r="AG64" s="17">
        <f>Table1[[#This Row],[Tax%]]/100</f>
        <v>0.05</v>
      </c>
      <c r="AH64" s="2">
        <v>5</v>
      </c>
      <c r="AI64" s="23">
        <v>2</v>
      </c>
      <c r="AJ64" s="2" t="s">
        <v>366</v>
      </c>
      <c r="AK64" s="2" t="s">
        <v>199</v>
      </c>
      <c r="AL64" s="2" t="s">
        <v>290</v>
      </c>
      <c r="AM64" s="2" t="s">
        <v>201</v>
      </c>
      <c r="AN64" s="2" t="s">
        <v>937</v>
      </c>
      <c r="AO64" s="2" t="s">
        <v>203</v>
      </c>
      <c r="AP64" s="2" t="s">
        <v>880</v>
      </c>
      <c r="AQ64" s="25">
        <v>0</v>
      </c>
      <c r="AR64" s="25">
        <f>IFERROR((Table1[[#This Row],[Column7]]-Table1[[#This Row],[Column8]])/Table1[[#This Row],[Column7]], 0)</f>
        <v>-21.5</v>
      </c>
      <c r="AS64" s="2">
        <v>50</v>
      </c>
      <c r="AT64" s="21">
        <f>Table1[[#This Row],[Quantity]] * Table1[[#This Row],[CostPrice]]</f>
        <v>45</v>
      </c>
      <c r="AU64" s="2">
        <v>45</v>
      </c>
      <c r="AV64" s="13">
        <f>Table1[[#This Row],[Quantity]] * Table1[[#This Row],[UnitPrice]]</f>
        <v>90</v>
      </c>
      <c r="AW64" s="2">
        <v>90</v>
      </c>
      <c r="AX64" s="21">
        <f>Table1[[#This Row],[Column3]] * (Table1[[#This Row],[Column1]]/100)</f>
        <v>0</v>
      </c>
      <c r="AY64" s="2">
        <v>0</v>
      </c>
      <c r="AZ64" s="27">
        <f>Table1[[#This Row],[Column3]] * Table1[[#This Row],[Column4]]</f>
        <v>0</v>
      </c>
      <c r="BA64" s="2">
        <v>90</v>
      </c>
      <c r="BB64" s="15">
        <f>Table1[[#This Row],[Column5]] * (Table1[[#This Row],[Column2]]/100)</f>
        <v>0</v>
      </c>
      <c r="BC64" s="2">
        <v>4.5</v>
      </c>
      <c r="BD64" s="19">
        <f>Table1[[#This Row],[Column5]] + Table1[[#This Row],[Column6]] + Table1[[#This Row],[ShippingCost]]</f>
        <v>2</v>
      </c>
      <c r="BE64" s="2">
        <v>94.5</v>
      </c>
      <c r="BF64" s="2" t="s">
        <v>180</v>
      </c>
      <c r="BG64" s="2">
        <f>Table1[[#This Row],[DeliveryDate]]-Table1[[#This Row],[OrderDate]]</f>
        <v>5</v>
      </c>
      <c r="BH64" s="2">
        <v>5</v>
      </c>
      <c r="BI64" s="2" t="str">
        <f>IF(OR(Table1[[#This Row],[CustomerTier]]="Platinum", Table1[[#This Row],[Column7]]&gt;1000), "Yes", "No")</f>
        <v>Yes</v>
      </c>
      <c r="BJ64" s="2" t="s">
        <v>205</v>
      </c>
      <c r="BK64" s="2" t="str">
        <f>IF(Table1[[#This Row],[Quantity]]&gt;=10, "Yes", "No")</f>
        <v>No</v>
      </c>
      <c r="BL64" s="2" t="s">
        <v>204</v>
      </c>
      <c r="BM64" s="2">
        <f>IF(Table1[[#This Row],[Column12]]="Yes", 5%, 0)</f>
        <v>0</v>
      </c>
      <c r="BN64" s="2">
        <v>0</v>
      </c>
      <c r="BO64" s="2" t="s">
        <v>369</v>
      </c>
      <c r="BP64" s="2" t="s">
        <v>173</v>
      </c>
      <c r="BQ64" s="2" t="s">
        <v>208</v>
      </c>
      <c r="BR64" s="2" t="s">
        <v>209</v>
      </c>
      <c r="BS64" s="3" t="s">
        <v>210</v>
      </c>
    </row>
    <row r="65" spans="1:71" x14ac:dyDescent="0.25">
      <c r="A65" s="1" t="s">
        <v>639</v>
      </c>
      <c r="B65" s="11">
        <v>45704</v>
      </c>
      <c r="C65" s="11">
        <v>45707</v>
      </c>
      <c r="D65" s="2" t="s">
        <v>180</v>
      </c>
      <c r="E65" s="2" t="s">
        <v>212</v>
      </c>
      <c r="F65" s="2" t="s">
        <v>337</v>
      </c>
      <c r="G65" s="2" t="s">
        <v>338</v>
      </c>
      <c r="H65" s="2" t="s">
        <v>184</v>
      </c>
      <c r="I65" s="2" t="s">
        <v>339</v>
      </c>
      <c r="J65" s="2" t="s">
        <v>340</v>
      </c>
      <c r="K65" s="2" t="s">
        <v>184</v>
      </c>
      <c r="L65" s="2" t="s">
        <v>218</v>
      </c>
      <c r="M65" s="2" t="s">
        <v>341</v>
      </c>
      <c r="N65" s="2" t="s">
        <v>342</v>
      </c>
      <c r="O65" s="11">
        <v>44982</v>
      </c>
      <c r="P65" s="2" t="s">
        <v>640</v>
      </c>
      <c r="Q65" s="2" t="s">
        <v>641</v>
      </c>
      <c r="R65" s="2" t="s">
        <v>244</v>
      </c>
      <c r="S65" s="2" t="s">
        <v>332</v>
      </c>
      <c r="T65" s="2" t="s">
        <v>642</v>
      </c>
      <c r="U65" s="2" t="s">
        <v>247</v>
      </c>
      <c r="V65" s="13">
        <v>110</v>
      </c>
      <c r="W65" s="13">
        <v>63</v>
      </c>
      <c r="X65" s="2">
        <v>12</v>
      </c>
      <c r="Y65" s="2" t="s">
        <v>382</v>
      </c>
      <c r="Z65" s="2" t="s">
        <v>880</v>
      </c>
      <c r="AA65" s="2">
        <v>18</v>
      </c>
      <c r="AB65" s="2">
        <v>4</v>
      </c>
      <c r="AC65" s="2">
        <v>3</v>
      </c>
      <c r="AD65" s="2">
        <v>1</v>
      </c>
      <c r="AE65" s="17">
        <f>Table1[[#This Row],[Discount%]]/100</f>
        <v>0.05</v>
      </c>
      <c r="AF65" s="2">
        <v>5</v>
      </c>
      <c r="AG65" s="17">
        <f>Table1[[#This Row],[Tax%]]/100</f>
        <v>0.06</v>
      </c>
      <c r="AH65" s="2">
        <v>6</v>
      </c>
      <c r="AI65" s="23">
        <v>12</v>
      </c>
      <c r="AJ65" s="2" t="s">
        <v>198</v>
      </c>
      <c r="AK65" s="2" t="s">
        <v>230</v>
      </c>
      <c r="AL65" s="2" t="s">
        <v>231</v>
      </c>
      <c r="AM65" s="2" t="s">
        <v>232</v>
      </c>
      <c r="AN65" s="2" t="s">
        <v>938</v>
      </c>
      <c r="AO65" s="2" t="s">
        <v>203</v>
      </c>
      <c r="AP65" s="2" t="s">
        <v>880</v>
      </c>
      <c r="AQ65" s="25">
        <v>0</v>
      </c>
      <c r="AR65" s="25">
        <f>IFERROR((Table1[[#This Row],[Column7]]-Table1[[#This Row],[Column8]])/Table1[[#This Row],[Column7]], 0)</f>
        <v>-2.4896029219608469</v>
      </c>
      <c r="AS65" s="2">
        <v>42.73</v>
      </c>
      <c r="AT65" s="21">
        <f>Table1[[#This Row],[Quantity]] * Table1[[#This Row],[CostPrice]]</f>
        <v>63</v>
      </c>
      <c r="AU65" s="2">
        <v>63</v>
      </c>
      <c r="AV65" s="13">
        <f>Table1[[#This Row],[Quantity]] * Table1[[#This Row],[UnitPrice]]</f>
        <v>110</v>
      </c>
      <c r="AW65" s="2">
        <v>110</v>
      </c>
      <c r="AX65" s="21">
        <f>Table1[[#This Row],[Column3]] * (Table1[[#This Row],[Column1]]/100)</f>
        <v>5.5E-2</v>
      </c>
      <c r="AY65" s="2">
        <v>5.5</v>
      </c>
      <c r="AZ65" s="27">
        <f>Table1[[#This Row],[Column3]] * Table1[[#This Row],[Column4]]</f>
        <v>6.05</v>
      </c>
      <c r="BA65" s="2">
        <v>104.5</v>
      </c>
      <c r="BB65" s="15">
        <f>Table1[[#This Row],[Column5]] * (Table1[[#This Row],[Column2]]/100)</f>
        <v>3.6299999999999995E-3</v>
      </c>
      <c r="BC65" s="2">
        <v>6.27</v>
      </c>
      <c r="BD65" s="19">
        <f>Table1[[#This Row],[Column5]] + Table1[[#This Row],[Column6]] + Table1[[#This Row],[ShippingCost]]</f>
        <v>18.053629999999998</v>
      </c>
      <c r="BE65" s="2">
        <v>110.77</v>
      </c>
      <c r="BF65" s="2" t="s">
        <v>180</v>
      </c>
      <c r="BG65" s="2">
        <f>Table1[[#This Row],[DeliveryDate]]-Table1[[#This Row],[OrderDate]]</f>
        <v>3</v>
      </c>
      <c r="BH65" s="2">
        <v>3</v>
      </c>
      <c r="BI65" s="2" t="str">
        <f>IF(OR(Table1[[#This Row],[CustomerTier]]="Platinum", Table1[[#This Row],[Column7]]&gt;1000), "Yes", "No")</f>
        <v>No</v>
      </c>
      <c r="BJ65" s="2" t="s">
        <v>205</v>
      </c>
      <c r="BK65" s="2" t="str">
        <f>IF(Table1[[#This Row],[Quantity]]&gt;=10, "Yes", "No")</f>
        <v>No</v>
      </c>
      <c r="BL65" s="2" t="s">
        <v>205</v>
      </c>
      <c r="BM65" s="2">
        <f>IF(Table1[[#This Row],[Column12]]="Yes", 5%, 0)</f>
        <v>0</v>
      </c>
      <c r="BN65" s="2">
        <v>0</v>
      </c>
      <c r="BO65" s="2" t="s">
        <v>252</v>
      </c>
      <c r="BP65" s="2" t="s">
        <v>253</v>
      </c>
      <c r="BQ65" s="2" t="s">
        <v>254</v>
      </c>
      <c r="BR65" s="2" t="s">
        <v>209</v>
      </c>
      <c r="BS65" s="3" t="s">
        <v>210</v>
      </c>
    </row>
    <row r="66" spans="1:71" x14ac:dyDescent="0.25">
      <c r="A66" s="1" t="s">
        <v>643</v>
      </c>
      <c r="B66" s="11">
        <v>45704</v>
      </c>
      <c r="C66" s="11">
        <v>45709</v>
      </c>
      <c r="D66" s="2" t="s">
        <v>371</v>
      </c>
      <c r="E66" s="2" t="s">
        <v>181</v>
      </c>
      <c r="F66" s="2" t="s">
        <v>355</v>
      </c>
      <c r="G66" s="2" t="s">
        <v>356</v>
      </c>
      <c r="H66" s="2" t="s">
        <v>297</v>
      </c>
      <c r="I66" s="2" t="s">
        <v>357</v>
      </c>
      <c r="J66" s="2" t="s">
        <v>358</v>
      </c>
      <c r="K66" s="2" t="s">
        <v>297</v>
      </c>
      <c r="L66" s="2" t="s">
        <v>218</v>
      </c>
      <c r="M66" s="2" t="s">
        <v>359</v>
      </c>
      <c r="N66" s="2" t="s">
        <v>360</v>
      </c>
      <c r="O66" s="11">
        <v>44895</v>
      </c>
      <c r="P66" s="2" t="s">
        <v>644</v>
      </c>
      <c r="Q66" s="2" t="s">
        <v>645</v>
      </c>
      <c r="R66" s="2" t="s">
        <v>223</v>
      </c>
      <c r="S66" s="2" t="s">
        <v>224</v>
      </c>
      <c r="T66" s="2" t="s">
        <v>225</v>
      </c>
      <c r="U66" s="2" t="s">
        <v>226</v>
      </c>
      <c r="V66" s="13">
        <v>8</v>
      </c>
      <c r="W66" s="13">
        <v>4</v>
      </c>
      <c r="X66" s="2">
        <v>0.1</v>
      </c>
      <c r="Y66" s="2" t="s">
        <v>382</v>
      </c>
      <c r="Z66" s="2" t="s">
        <v>646</v>
      </c>
      <c r="AA66" s="2">
        <v>400</v>
      </c>
      <c r="AB66" s="2">
        <v>80</v>
      </c>
      <c r="AC66" s="2">
        <v>1</v>
      </c>
      <c r="AD66" s="2">
        <v>15</v>
      </c>
      <c r="AE66" s="17">
        <f>Table1[[#This Row],[Discount%]]/100</f>
        <v>0</v>
      </c>
      <c r="AF66" s="2">
        <v>0</v>
      </c>
      <c r="AG66" s="17">
        <f>Table1[[#This Row],[Tax%]]/100</f>
        <v>0.04</v>
      </c>
      <c r="AH66" s="2">
        <v>4</v>
      </c>
      <c r="AI66" s="23">
        <v>2</v>
      </c>
      <c r="AJ66" s="2" t="s">
        <v>229</v>
      </c>
      <c r="AK66" s="2" t="s">
        <v>230</v>
      </c>
      <c r="AL66" s="2" t="s">
        <v>250</v>
      </c>
      <c r="AM66" s="2" t="s">
        <v>196</v>
      </c>
      <c r="AN66" s="2" t="s">
        <v>939</v>
      </c>
      <c r="AO66" s="2" t="s">
        <v>203</v>
      </c>
      <c r="AP66" s="2" t="s">
        <v>880</v>
      </c>
      <c r="AQ66" s="25">
        <v>0</v>
      </c>
      <c r="AR66" s="25">
        <f>IFERROR((Table1[[#This Row],[Column7]]-Table1[[#This Row],[Column8]])/Table1[[#This Row],[Column7]], 0)</f>
        <v>-29</v>
      </c>
      <c r="AS66" s="2">
        <v>50</v>
      </c>
      <c r="AT66" s="21">
        <f>Table1[[#This Row],[Quantity]] * Table1[[#This Row],[CostPrice]]</f>
        <v>60</v>
      </c>
      <c r="AU66" s="2">
        <v>60</v>
      </c>
      <c r="AV66" s="13">
        <f>Table1[[#This Row],[Quantity]] * Table1[[#This Row],[UnitPrice]]</f>
        <v>120</v>
      </c>
      <c r="AW66" s="2">
        <v>120</v>
      </c>
      <c r="AX66" s="21">
        <f>Table1[[#This Row],[Column3]] * (Table1[[#This Row],[Column1]]/100)</f>
        <v>0</v>
      </c>
      <c r="AY66" s="2">
        <v>0</v>
      </c>
      <c r="AZ66" s="27">
        <f>Table1[[#This Row],[Column3]] * Table1[[#This Row],[Column4]]</f>
        <v>0</v>
      </c>
      <c r="BA66" s="2">
        <v>120</v>
      </c>
      <c r="BB66" s="15">
        <f>Table1[[#This Row],[Column5]] * (Table1[[#This Row],[Column2]]/100)</f>
        <v>0</v>
      </c>
      <c r="BC66" s="2">
        <v>4.8</v>
      </c>
      <c r="BD66" s="19">
        <f>Table1[[#This Row],[Column5]] + Table1[[#This Row],[Column6]] + Table1[[#This Row],[ShippingCost]]</f>
        <v>2</v>
      </c>
      <c r="BE66" s="2">
        <v>124.8</v>
      </c>
      <c r="BF66" s="2" t="s">
        <v>371</v>
      </c>
      <c r="BG66" s="2">
        <f>Table1[[#This Row],[DeliveryDate]]-Table1[[#This Row],[OrderDate]]</f>
        <v>5</v>
      </c>
      <c r="BH66" s="2">
        <v>5</v>
      </c>
      <c r="BI66" s="2" t="str">
        <f>IF(OR(Table1[[#This Row],[CustomerTier]]="Platinum", Table1[[#This Row],[Column7]]&gt;1000), "Yes", "No")</f>
        <v>No</v>
      </c>
      <c r="BJ66" s="2" t="s">
        <v>205</v>
      </c>
      <c r="BK66" s="2" t="str">
        <f>IF(Table1[[#This Row],[Quantity]]&gt;=10, "Yes", "No")</f>
        <v>Yes</v>
      </c>
      <c r="BL66" s="2" t="s">
        <v>204</v>
      </c>
      <c r="BM66" s="2">
        <f>IF(Table1[[#This Row],[Column12]]="Yes", 5%, 0)</f>
        <v>0.05</v>
      </c>
      <c r="BN66" s="2">
        <v>20</v>
      </c>
      <c r="BO66" s="2" t="s">
        <v>369</v>
      </c>
      <c r="BP66" s="2" t="s">
        <v>173</v>
      </c>
      <c r="BQ66" s="2" t="s">
        <v>234</v>
      </c>
      <c r="BR66" s="2" t="s">
        <v>209</v>
      </c>
      <c r="BS66" s="3" t="s">
        <v>210</v>
      </c>
    </row>
    <row r="67" spans="1:71" x14ac:dyDescent="0.25">
      <c r="A67" s="1" t="s">
        <v>647</v>
      </c>
      <c r="B67" s="11">
        <v>45705</v>
      </c>
      <c r="C67" s="11">
        <v>45708</v>
      </c>
      <c r="D67" s="2" t="s">
        <v>180</v>
      </c>
      <c r="E67" s="2" t="s">
        <v>212</v>
      </c>
      <c r="F67" s="2" t="s">
        <v>372</v>
      </c>
      <c r="G67" s="2" t="s">
        <v>373</v>
      </c>
      <c r="H67" s="2" t="s">
        <v>297</v>
      </c>
      <c r="I67" s="2" t="s">
        <v>374</v>
      </c>
      <c r="J67" s="2" t="s">
        <v>375</v>
      </c>
      <c r="K67" s="2" t="s">
        <v>297</v>
      </c>
      <c r="L67" s="2" t="s">
        <v>218</v>
      </c>
      <c r="M67" s="2" t="s">
        <v>376</v>
      </c>
      <c r="N67" s="2" t="s">
        <v>377</v>
      </c>
      <c r="O67" s="11">
        <v>45033</v>
      </c>
      <c r="P67" s="2" t="s">
        <v>648</v>
      </c>
      <c r="Q67" s="2" t="s">
        <v>649</v>
      </c>
      <c r="R67" s="2" t="s">
        <v>650</v>
      </c>
      <c r="S67" s="2" t="s">
        <v>651</v>
      </c>
      <c r="T67" s="2" t="s">
        <v>652</v>
      </c>
      <c r="U67" s="2" t="s">
        <v>653</v>
      </c>
      <c r="V67" s="13">
        <v>65</v>
      </c>
      <c r="W67" s="13">
        <v>36</v>
      </c>
      <c r="X67" s="2">
        <v>2.5</v>
      </c>
      <c r="Y67" s="2" t="s">
        <v>288</v>
      </c>
      <c r="Z67" s="2" t="s">
        <v>880</v>
      </c>
      <c r="AA67" s="2">
        <v>20</v>
      </c>
      <c r="AB67" s="2">
        <v>5</v>
      </c>
      <c r="AC67" s="2">
        <v>2</v>
      </c>
      <c r="AD67" s="2">
        <v>1</v>
      </c>
      <c r="AE67" s="17">
        <f>Table1[[#This Row],[Discount%]]/100</f>
        <v>0</v>
      </c>
      <c r="AF67" s="2">
        <v>0</v>
      </c>
      <c r="AG67" s="17">
        <f>Table1[[#This Row],[Tax%]]/100</f>
        <v>0.06</v>
      </c>
      <c r="AH67" s="2">
        <v>6</v>
      </c>
      <c r="AI67" s="23">
        <v>6</v>
      </c>
      <c r="AJ67" s="2" t="s">
        <v>249</v>
      </c>
      <c r="AK67" s="2" t="s">
        <v>199</v>
      </c>
      <c r="AL67" s="2" t="s">
        <v>200</v>
      </c>
      <c r="AM67" s="2" t="s">
        <v>201</v>
      </c>
      <c r="AN67" s="2" t="s">
        <v>940</v>
      </c>
      <c r="AO67" s="2" t="s">
        <v>203</v>
      </c>
      <c r="AP67" s="2" t="s">
        <v>880</v>
      </c>
      <c r="AQ67" s="25">
        <v>0</v>
      </c>
      <c r="AR67" s="25">
        <f>IFERROR((Table1[[#This Row],[Column7]]-Table1[[#This Row],[Column8]])/Table1[[#This Row],[Column7]], 0)</f>
        <v>-5</v>
      </c>
      <c r="AS67" s="2">
        <v>44.62</v>
      </c>
      <c r="AT67" s="21">
        <f>Table1[[#This Row],[Quantity]] * Table1[[#This Row],[CostPrice]]</f>
        <v>36</v>
      </c>
      <c r="AU67" s="2">
        <v>36</v>
      </c>
      <c r="AV67" s="13">
        <f>Table1[[#This Row],[Quantity]] * Table1[[#This Row],[UnitPrice]]</f>
        <v>65</v>
      </c>
      <c r="AW67" s="2">
        <v>65</v>
      </c>
      <c r="AX67" s="21">
        <f>Table1[[#This Row],[Column3]] * (Table1[[#This Row],[Column1]]/100)</f>
        <v>0</v>
      </c>
      <c r="AY67" s="2">
        <v>0</v>
      </c>
      <c r="AZ67" s="27">
        <f>Table1[[#This Row],[Column3]] * Table1[[#This Row],[Column4]]</f>
        <v>0</v>
      </c>
      <c r="BA67" s="2">
        <v>65</v>
      </c>
      <c r="BB67" s="15">
        <f>Table1[[#This Row],[Column5]] * (Table1[[#This Row],[Column2]]/100)</f>
        <v>0</v>
      </c>
      <c r="BC67" s="2">
        <v>3.9</v>
      </c>
      <c r="BD67" s="19">
        <f>Table1[[#This Row],[Column5]] + Table1[[#This Row],[Column6]] + Table1[[#This Row],[ShippingCost]]</f>
        <v>6</v>
      </c>
      <c r="BE67" s="2">
        <v>68.900000000000006</v>
      </c>
      <c r="BF67" s="2" t="s">
        <v>180</v>
      </c>
      <c r="BG67" s="2">
        <f>Table1[[#This Row],[DeliveryDate]]-Table1[[#This Row],[OrderDate]]</f>
        <v>3</v>
      </c>
      <c r="BH67" s="2">
        <v>3</v>
      </c>
      <c r="BI67" s="2" t="str">
        <f>IF(OR(Table1[[#This Row],[CustomerTier]]="Platinum", Table1[[#This Row],[Column7]]&gt;1000), "Yes", "No")</f>
        <v>Yes</v>
      </c>
      <c r="BJ67" s="2" t="s">
        <v>205</v>
      </c>
      <c r="BK67" s="2" t="str">
        <f>IF(Table1[[#This Row],[Quantity]]&gt;=10, "Yes", "No")</f>
        <v>No</v>
      </c>
      <c r="BL67" s="2" t="s">
        <v>205</v>
      </c>
      <c r="BM67" s="2">
        <f>IF(Table1[[#This Row],[Column12]]="Yes", 5%, 0)</f>
        <v>0</v>
      </c>
      <c r="BN67" s="2">
        <v>0</v>
      </c>
      <c r="BO67" s="2"/>
      <c r="BP67" s="2"/>
      <c r="BQ67" s="2" t="s">
        <v>654</v>
      </c>
      <c r="BR67" s="2" t="s">
        <v>209</v>
      </c>
      <c r="BS67" s="3" t="s">
        <v>210</v>
      </c>
    </row>
    <row r="68" spans="1:71" x14ac:dyDescent="0.25">
      <c r="A68" s="1" t="s">
        <v>655</v>
      </c>
      <c r="B68" s="11">
        <v>45705</v>
      </c>
      <c r="C68" s="11">
        <v>45710</v>
      </c>
      <c r="D68" s="2" t="s">
        <v>180</v>
      </c>
      <c r="E68" s="2" t="s">
        <v>181</v>
      </c>
      <c r="F68" s="2" t="s">
        <v>213</v>
      </c>
      <c r="G68" s="2" t="s">
        <v>214</v>
      </c>
      <c r="H68" s="2" t="s">
        <v>215</v>
      </c>
      <c r="I68" s="2" t="s">
        <v>216</v>
      </c>
      <c r="J68" s="2" t="s">
        <v>217</v>
      </c>
      <c r="K68" s="2" t="s">
        <v>215</v>
      </c>
      <c r="L68" s="2" t="s">
        <v>218</v>
      </c>
      <c r="M68" s="2" t="s">
        <v>219</v>
      </c>
      <c r="N68" s="2" t="s">
        <v>220</v>
      </c>
      <c r="O68" s="11">
        <v>44362</v>
      </c>
      <c r="P68" s="2" t="s">
        <v>656</v>
      </c>
      <c r="Q68" s="2" t="s">
        <v>657</v>
      </c>
      <c r="R68" s="2" t="s">
        <v>244</v>
      </c>
      <c r="S68" s="2" t="s">
        <v>519</v>
      </c>
      <c r="T68" s="2" t="s">
        <v>658</v>
      </c>
      <c r="U68" s="2" t="s">
        <v>247</v>
      </c>
      <c r="V68" s="13">
        <v>28</v>
      </c>
      <c r="W68" s="13">
        <v>15</v>
      </c>
      <c r="X68" s="2">
        <v>0.8</v>
      </c>
      <c r="Y68" s="2" t="s">
        <v>659</v>
      </c>
      <c r="Z68" s="2" t="s">
        <v>880</v>
      </c>
      <c r="AA68" s="2">
        <v>40</v>
      </c>
      <c r="AB68" s="2">
        <v>10</v>
      </c>
      <c r="AC68" s="2">
        <v>2</v>
      </c>
      <c r="AD68" s="2">
        <v>2</v>
      </c>
      <c r="AE68" s="17">
        <f>Table1[[#This Row],[Discount%]]/100</f>
        <v>0</v>
      </c>
      <c r="AF68" s="2">
        <v>0</v>
      </c>
      <c r="AG68" s="17">
        <f>Table1[[#This Row],[Tax%]]/100</f>
        <v>0.05</v>
      </c>
      <c r="AH68" s="2">
        <v>5</v>
      </c>
      <c r="AI68" s="23">
        <v>4</v>
      </c>
      <c r="AJ68" s="2" t="s">
        <v>198</v>
      </c>
      <c r="AK68" s="2" t="s">
        <v>230</v>
      </c>
      <c r="AL68" s="2" t="s">
        <v>322</v>
      </c>
      <c r="AM68" s="2" t="s">
        <v>232</v>
      </c>
      <c r="AN68" s="2" t="s">
        <v>941</v>
      </c>
      <c r="AO68" s="2" t="s">
        <v>203</v>
      </c>
      <c r="AP68" s="2" t="s">
        <v>880</v>
      </c>
      <c r="AQ68" s="25">
        <v>0</v>
      </c>
      <c r="AR68" s="25">
        <f>IFERROR((Table1[[#This Row],[Column7]]-Table1[[#This Row],[Column8]])/Table1[[#This Row],[Column7]], 0)</f>
        <v>-6.5</v>
      </c>
      <c r="AS68" s="2">
        <v>46.43</v>
      </c>
      <c r="AT68" s="21">
        <f>Table1[[#This Row],[Quantity]] * Table1[[#This Row],[CostPrice]]</f>
        <v>30</v>
      </c>
      <c r="AU68" s="2">
        <v>30</v>
      </c>
      <c r="AV68" s="13">
        <f>Table1[[#This Row],[Quantity]] * Table1[[#This Row],[UnitPrice]]</f>
        <v>56</v>
      </c>
      <c r="AW68" s="2">
        <v>56</v>
      </c>
      <c r="AX68" s="21">
        <f>Table1[[#This Row],[Column3]] * (Table1[[#This Row],[Column1]]/100)</f>
        <v>0</v>
      </c>
      <c r="AY68" s="2">
        <v>0</v>
      </c>
      <c r="AZ68" s="27">
        <f>Table1[[#This Row],[Column3]] * Table1[[#This Row],[Column4]]</f>
        <v>0</v>
      </c>
      <c r="BA68" s="2">
        <v>56</v>
      </c>
      <c r="BB68" s="15">
        <f>Table1[[#This Row],[Column5]] * (Table1[[#This Row],[Column2]]/100)</f>
        <v>0</v>
      </c>
      <c r="BC68" s="2">
        <v>2.8</v>
      </c>
      <c r="BD68" s="19">
        <f>Table1[[#This Row],[Column5]] + Table1[[#This Row],[Column6]] + Table1[[#This Row],[ShippingCost]]</f>
        <v>4</v>
      </c>
      <c r="BE68" s="2">
        <v>58.8</v>
      </c>
      <c r="BF68" s="2" t="s">
        <v>180</v>
      </c>
      <c r="BG68" s="2">
        <f>Table1[[#This Row],[DeliveryDate]]-Table1[[#This Row],[OrderDate]]</f>
        <v>5</v>
      </c>
      <c r="BH68" s="2">
        <v>5</v>
      </c>
      <c r="BI68" s="2" t="str">
        <f>IF(OR(Table1[[#This Row],[CustomerTier]]="Platinum", Table1[[#This Row],[Column7]]&gt;1000), "Yes", "No")</f>
        <v>No</v>
      </c>
      <c r="BJ68" s="2" t="s">
        <v>205</v>
      </c>
      <c r="BK68" s="2" t="str">
        <f>IF(Table1[[#This Row],[Quantity]]&gt;=10, "Yes", "No")</f>
        <v>No</v>
      </c>
      <c r="BL68" s="2" t="s">
        <v>205</v>
      </c>
      <c r="BM68" s="2">
        <f>IF(Table1[[#This Row],[Column12]]="Yes", 5%, 0)</f>
        <v>0</v>
      </c>
      <c r="BN68" s="2">
        <v>0</v>
      </c>
      <c r="BO68" s="2" t="s">
        <v>206</v>
      </c>
      <c r="BP68" s="2"/>
      <c r="BQ68" s="2" t="s">
        <v>254</v>
      </c>
      <c r="BR68" s="2" t="s">
        <v>209</v>
      </c>
      <c r="BS68" s="3" t="s">
        <v>210</v>
      </c>
    </row>
    <row r="69" spans="1:71" x14ac:dyDescent="0.25">
      <c r="A69" s="1" t="s">
        <v>660</v>
      </c>
      <c r="B69" s="11">
        <v>45706</v>
      </c>
      <c r="C69" s="11">
        <v>45709</v>
      </c>
      <c r="D69" s="2" t="s">
        <v>180</v>
      </c>
      <c r="E69" s="2" t="s">
        <v>212</v>
      </c>
      <c r="F69" s="2" t="s">
        <v>257</v>
      </c>
      <c r="G69" s="2" t="s">
        <v>258</v>
      </c>
      <c r="H69" s="2" t="s">
        <v>184</v>
      </c>
      <c r="I69" s="2" t="s">
        <v>259</v>
      </c>
      <c r="J69" s="2" t="s">
        <v>260</v>
      </c>
      <c r="K69" s="2" t="s">
        <v>184</v>
      </c>
      <c r="L69" s="2" t="s">
        <v>218</v>
      </c>
      <c r="M69" s="2" t="s">
        <v>261</v>
      </c>
      <c r="N69" s="2" t="s">
        <v>262</v>
      </c>
      <c r="O69" s="11">
        <v>44140</v>
      </c>
      <c r="P69" s="2" t="s">
        <v>661</v>
      </c>
      <c r="Q69" s="2" t="s">
        <v>662</v>
      </c>
      <c r="R69" s="2" t="s">
        <v>265</v>
      </c>
      <c r="S69" s="2" t="s">
        <v>266</v>
      </c>
      <c r="T69" s="2" t="s">
        <v>465</v>
      </c>
      <c r="U69" s="2" t="s">
        <v>268</v>
      </c>
      <c r="V69" s="13">
        <v>90</v>
      </c>
      <c r="W69" s="13">
        <v>50</v>
      </c>
      <c r="X69" s="2">
        <v>10</v>
      </c>
      <c r="Y69" s="2" t="s">
        <v>288</v>
      </c>
      <c r="Z69" s="2" t="s">
        <v>663</v>
      </c>
      <c r="AA69" s="2">
        <v>15</v>
      </c>
      <c r="AB69" s="2">
        <v>4</v>
      </c>
      <c r="AC69" s="2">
        <v>2</v>
      </c>
      <c r="AD69" s="2">
        <v>1</v>
      </c>
      <c r="AE69" s="17">
        <f>Table1[[#This Row],[Discount%]]/100</f>
        <v>0.05</v>
      </c>
      <c r="AF69" s="2">
        <v>5</v>
      </c>
      <c r="AG69" s="17">
        <f>Table1[[#This Row],[Tax%]]/100</f>
        <v>0.06</v>
      </c>
      <c r="AH69" s="2">
        <v>6</v>
      </c>
      <c r="AI69" s="23">
        <v>8</v>
      </c>
      <c r="AJ69" s="2" t="s">
        <v>289</v>
      </c>
      <c r="AK69" s="2" t="s">
        <v>230</v>
      </c>
      <c r="AL69" s="2" t="s">
        <v>307</v>
      </c>
      <c r="AM69" s="2" t="s">
        <v>196</v>
      </c>
      <c r="AN69" s="2" t="s">
        <v>942</v>
      </c>
      <c r="AO69" s="2" t="s">
        <v>203</v>
      </c>
      <c r="AP69" s="2" t="s">
        <v>880</v>
      </c>
      <c r="AQ69" s="25">
        <v>0</v>
      </c>
      <c r="AR69" s="25">
        <f>IFERROR((Table1[[#This Row],[Column7]]-Table1[[#This Row],[Column8]])/Table1[[#This Row],[Column7]], 0)</f>
        <v>-3.1485409996158449</v>
      </c>
      <c r="AS69" s="2">
        <v>44.44</v>
      </c>
      <c r="AT69" s="21">
        <f>Table1[[#This Row],[Quantity]] * Table1[[#This Row],[CostPrice]]</f>
        <v>50</v>
      </c>
      <c r="AU69" s="2">
        <v>50</v>
      </c>
      <c r="AV69" s="13">
        <f>Table1[[#This Row],[Quantity]] * Table1[[#This Row],[UnitPrice]]</f>
        <v>90</v>
      </c>
      <c r="AW69" s="2">
        <v>90</v>
      </c>
      <c r="AX69" s="21">
        <f>Table1[[#This Row],[Column3]] * (Table1[[#This Row],[Column1]]/100)</f>
        <v>4.4999999999999998E-2</v>
      </c>
      <c r="AY69" s="2">
        <v>4.5</v>
      </c>
      <c r="AZ69" s="27">
        <f>Table1[[#This Row],[Column3]] * Table1[[#This Row],[Column4]]</f>
        <v>4.05</v>
      </c>
      <c r="BA69" s="2">
        <v>85.5</v>
      </c>
      <c r="BB69" s="15">
        <f>Table1[[#This Row],[Column5]] * (Table1[[#This Row],[Column2]]/100)</f>
        <v>2.4299999999999999E-3</v>
      </c>
      <c r="BC69" s="2">
        <v>5.13</v>
      </c>
      <c r="BD69" s="19">
        <f>Table1[[#This Row],[Column5]] + Table1[[#This Row],[Column6]] + Table1[[#This Row],[ShippingCost]]</f>
        <v>12.052430000000001</v>
      </c>
      <c r="BE69" s="2">
        <v>90.63</v>
      </c>
      <c r="BF69" s="2" t="s">
        <v>180</v>
      </c>
      <c r="BG69" s="2">
        <f>Table1[[#This Row],[DeliveryDate]]-Table1[[#This Row],[OrderDate]]</f>
        <v>3</v>
      </c>
      <c r="BH69" s="2">
        <v>3</v>
      </c>
      <c r="BI69" s="2" t="str">
        <f>IF(OR(Table1[[#This Row],[CustomerTier]]="Platinum", Table1[[#This Row],[Column7]]&gt;1000), "Yes", "No")</f>
        <v>No</v>
      </c>
      <c r="BJ69" s="2" t="s">
        <v>205</v>
      </c>
      <c r="BK69" s="2" t="str">
        <f>IF(Table1[[#This Row],[Quantity]]&gt;=10, "Yes", "No")</f>
        <v>No</v>
      </c>
      <c r="BL69" s="2" t="s">
        <v>205</v>
      </c>
      <c r="BM69" s="2">
        <f>IF(Table1[[#This Row],[Column12]]="Yes", 5%, 0)</f>
        <v>0</v>
      </c>
      <c r="BN69" s="2">
        <v>0</v>
      </c>
      <c r="BO69" s="2" t="s">
        <v>291</v>
      </c>
      <c r="BP69" s="2" t="s">
        <v>292</v>
      </c>
      <c r="BQ69" s="2" t="s">
        <v>273</v>
      </c>
      <c r="BR69" s="2" t="s">
        <v>255</v>
      </c>
      <c r="BS69" s="3" t="s">
        <v>210</v>
      </c>
    </row>
    <row r="70" spans="1:71" x14ac:dyDescent="0.25">
      <c r="A70" s="1" t="s">
        <v>664</v>
      </c>
      <c r="B70" s="11">
        <v>45706</v>
      </c>
      <c r="C70" s="11">
        <v>45711</v>
      </c>
      <c r="D70" s="2" t="s">
        <v>310</v>
      </c>
      <c r="E70" s="2" t="s">
        <v>181</v>
      </c>
      <c r="F70" s="2" t="s">
        <v>275</v>
      </c>
      <c r="G70" s="2" t="s">
        <v>276</v>
      </c>
      <c r="H70" s="2" t="s">
        <v>277</v>
      </c>
      <c r="I70" s="2" t="s">
        <v>278</v>
      </c>
      <c r="J70" s="2" t="s">
        <v>279</v>
      </c>
      <c r="K70" s="2" t="s">
        <v>277</v>
      </c>
      <c r="L70" s="2" t="s">
        <v>187</v>
      </c>
      <c r="M70" s="2" t="s">
        <v>280</v>
      </c>
      <c r="N70" s="2" t="s">
        <v>281</v>
      </c>
      <c r="O70" s="11">
        <v>43508</v>
      </c>
      <c r="P70" s="2" t="s">
        <v>665</v>
      </c>
      <c r="Q70" s="2" t="s">
        <v>666</v>
      </c>
      <c r="R70" s="2" t="s">
        <v>244</v>
      </c>
      <c r="S70" s="2" t="s">
        <v>667</v>
      </c>
      <c r="T70" s="2" t="s">
        <v>668</v>
      </c>
      <c r="U70" s="2" t="s">
        <v>247</v>
      </c>
      <c r="V70" s="13">
        <v>55</v>
      </c>
      <c r="W70" s="13">
        <v>30</v>
      </c>
      <c r="X70" s="2">
        <v>1.2</v>
      </c>
      <c r="Y70" s="2" t="s">
        <v>227</v>
      </c>
      <c r="Z70" s="2" t="s">
        <v>669</v>
      </c>
      <c r="AA70" s="2">
        <v>30</v>
      </c>
      <c r="AB70" s="2">
        <v>7</v>
      </c>
      <c r="AC70" s="2">
        <v>2</v>
      </c>
      <c r="AD70" s="2">
        <v>2</v>
      </c>
      <c r="AE70" s="17">
        <f>Table1[[#This Row],[Discount%]]/100</f>
        <v>0</v>
      </c>
      <c r="AF70" s="2">
        <v>0</v>
      </c>
      <c r="AG70" s="17">
        <f>Table1[[#This Row],[Tax%]]/100</f>
        <v>0.06</v>
      </c>
      <c r="AH70" s="2">
        <v>6</v>
      </c>
      <c r="AI70" s="23">
        <v>5</v>
      </c>
      <c r="AJ70" s="2" t="s">
        <v>198</v>
      </c>
      <c r="AK70" s="2" t="s">
        <v>199</v>
      </c>
      <c r="AL70" s="2" t="s">
        <v>367</v>
      </c>
      <c r="AM70" s="2" t="s">
        <v>271</v>
      </c>
      <c r="AN70" s="2" t="s">
        <v>943</v>
      </c>
      <c r="AO70" s="2" t="s">
        <v>203</v>
      </c>
      <c r="AP70" s="2" t="s">
        <v>880</v>
      </c>
      <c r="AQ70" s="25">
        <v>0</v>
      </c>
      <c r="AR70" s="25">
        <f>IFERROR((Table1[[#This Row],[Column7]]-Table1[[#This Row],[Column8]])/Table1[[#This Row],[Column7]], 0)</f>
        <v>-11</v>
      </c>
      <c r="AS70" s="2">
        <v>45.45</v>
      </c>
      <c r="AT70" s="21">
        <f>Table1[[#This Row],[Quantity]] * Table1[[#This Row],[CostPrice]]</f>
        <v>60</v>
      </c>
      <c r="AU70" s="2">
        <v>60</v>
      </c>
      <c r="AV70" s="13">
        <f>Table1[[#This Row],[Quantity]] * Table1[[#This Row],[UnitPrice]]</f>
        <v>110</v>
      </c>
      <c r="AW70" s="2">
        <v>110</v>
      </c>
      <c r="AX70" s="21">
        <f>Table1[[#This Row],[Column3]] * (Table1[[#This Row],[Column1]]/100)</f>
        <v>0</v>
      </c>
      <c r="AY70" s="2">
        <v>0</v>
      </c>
      <c r="AZ70" s="27">
        <f>Table1[[#This Row],[Column3]] * Table1[[#This Row],[Column4]]</f>
        <v>0</v>
      </c>
      <c r="BA70" s="2">
        <v>110</v>
      </c>
      <c r="BB70" s="15">
        <f>Table1[[#This Row],[Column5]] * (Table1[[#This Row],[Column2]]/100)</f>
        <v>0</v>
      </c>
      <c r="BC70" s="2">
        <v>6.6</v>
      </c>
      <c r="BD70" s="19">
        <f>Table1[[#This Row],[Column5]] + Table1[[#This Row],[Column6]] + Table1[[#This Row],[ShippingCost]]</f>
        <v>5</v>
      </c>
      <c r="BE70" s="2">
        <v>116.6</v>
      </c>
      <c r="BF70" s="2" t="s">
        <v>310</v>
      </c>
      <c r="BG70" s="2">
        <f>Table1[[#This Row],[DeliveryDate]]-Table1[[#This Row],[OrderDate]]</f>
        <v>5</v>
      </c>
      <c r="BH70" s="2">
        <v>5</v>
      </c>
      <c r="BI70" s="2" t="str">
        <f>IF(OR(Table1[[#This Row],[CustomerTier]]="Platinum", Table1[[#This Row],[Column7]]&gt;1000), "Yes", "No")</f>
        <v>No</v>
      </c>
      <c r="BJ70" s="2" t="s">
        <v>204</v>
      </c>
      <c r="BK70" s="2" t="str">
        <f>IF(Table1[[#This Row],[Quantity]]&gt;=10, "Yes", "No")</f>
        <v>No</v>
      </c>
      <c r="BL70" s="2" t="s">
        <v>205</v>
      </c>
      <c r="BM70" s="2">
        <f>IF(Table1[[#This Row],[Column12]]="Yes", 5%, 0)</f>
        <v>0</v>
      </c>
      <c r="BN70" s="2">
        <v>0</v>
      </c>
      <c r="BO70" s="2"/>
      <c r="BP70" s="2"/>
      <c r="BQ70" s="2" t="s">
        <v>254</v>
      </c>
      <c r="BR70" s="2" t="s">
        <v>209</v>
      </c>
      <c r="BS70" s="3" t="s">
        <v>210</v>
      </c>
    </row>
    <row r="71" spans="1:71" x14ac:dyDescent="0.25">
      <c r="A71" s="1" t="s">
        <v>670</v>
      </c>
      <c r="B71" s="11">
        <v>45707</v>
      </c>
      <c r="C71" s="11">
        <v>45710</v>
      </c>
      <c r="D71" s="2" t="s">
        <v>180</v>
      </c>
      <c r="E71" s="2" t="s">
        <v>212</v>
      </c>
      <c r="F71" s="2" t="s">
        <v>236</v>
      </c>
      <c r="G71" s="2" t="s">
        <v>237</v>
      </c>
      <c r="H71" s="2" t="s">
        <v>215</v>
      </c>
      <c r="I71" s="2" t="s">
        <v>238</v>
      </c>
      <c r="J71" s="2" t="s">
        <v>239</v>
      </c>
      <c r="K71" s="2" t="s">
        <v>215</v>
      </c>
      <c r="L71" s="2" t="s">
        <v>218</v>
      </c>
      <c r="M71" s="2" t="s">
        <v>240</v>
      </c>
      <c r="N71" s="2" t="s">
        <v>241</v>
      </c>
      <c r="O71" s="11">
        <v>44814</v>
      </c>
      <c r="P71" s="2" t="s">
        <v>671</v>
      </c>
      <c r="Q71" s="2" t="s">
        <v>672</v>
      </c>
      <c r="R71" s="2" t="s">
        <v>192</v>
      </c>
      <c r="S71" s="2" t="s">
        <v>673</v>
      </c>
      <c r="T71" s="2" t="s">
        <v>674</v>
      </c>
      <c r="U71" s="2" t="s">
        <v>365</v>
      </c>
      <c r="V71" s="13">
        <v>95</v>
      </c>
      <c r="W71" s="13">
        <v>53</v>
      </c>
      <c r="X71" s="2">
        <v>1.2</v>
      </c>
      <c r="Y71" s="2" t="s">
        <v>288</v>
      </c>
      <c r="Z71" s="2" t="s">
        <v>880</v>
      </c>
      <c r="AA71" s="2">
        <v>15</v>
      </c>
      <c r="AB71" s="2">
        <v>4</v>
      </c>
      <c r="AC71" s="2">
        <v>2</v>
      </c>
      <c r="AD71" s="2">
        <v>1</v>
      </c>
      <c r="AE71" s="17">
        <f>Table1[[#This Row],[Discount%]]/100</f>
        <v>0</v>
      </c>
      <c r="AF71" s="2">
        <v>0</v>
      </c>
      <c r="AG71" s="17">
        <f>Table1[[#This Row],[Tax%]]/100</f>
        <v>0.06</v>
      </c>
      <c r="AH71" s="2">
        <v>6</v>
      </c>
      <c r="AI71" s="23">
        <v>8</v>
      </c>
      <c r="AJ71" s="2" t="s">
        <v>366</v>
      </c>
      <c r="AK71" s="2" t="s">
        <v>199</v>
      </c>
      <c r="AL71" s="2" t="s">
        <v>270</v>
      </c>
      <c r="AM71" s="2" t="s">
        <v>271</v>
      </c>
      <c r="AN71" s="2" t="s">
        <v>944</v>
      </c>
      <c r="AO71" s="2" t="s">
        <v>203</v>
      </c>
      <c r="AP71" s="2" t="s">
        <v>880</v>
      </c>
      <c r="AQ71" s="25">
        <v>0</v>
      </c>
      <c r="AR71" s="25">
        <f>IFERROR((Table1[[#This Row],[Column7]]-Table1[[#This Row],[Column8]])/Table1[[#This Row],[Column7]], 0)</f>
        <v>-5.625</v>
      </c>
      <c r="AS71" s="2">
        <v>44.21</v>
      </c>
      <c r="AT71" s="21">
        <f>Table1[[#This Row],[Quantity]] * Table1[[#This Row],[CostPrice]]</f>
        <v>53</v>
      </c>
      <c r="AU71" s="2">
        <v>53</v>
      </c>
      <c r="AV71" s="13">
        <f>Table1[[#This Row],[Quantity]] * Table1[[#This Row],[UnitPrice]]</f>
        <v>95</v>
      </c>
      <c r="AW71" s="2">
        <v>95</v>
      </c>
      <c r="AX71" s="21">
        <f>Table1[[#This Row],[Column3]] * (Table1[[#This Row],[Column1]]/100)</f>
        <v>0</v>
      </c>
      <c r="AY71" s="2">
        <v>0</v>
      </c>
      <c r="AZ71" s="27">
        <f>Table1[[#This Row],[Column3]] * Table1[[#This Row],[Column4]]</f>
        <v>0</v>
      </c>
      <c r="BA71" s="2">
        <v>95</v>
      </c>
      <c r="BB71" s="15">
        <f>Table1[[#This Row],[Column5]] * (Table1[[#This Row],[Column2]]/100)</f>
        <v>0</v>
      </c>
      <c r="BC71" s="2">
        <v>5.7</v>
      </c>
      <c r="BD71" s="19">
        <f>Table1[[#This Row],[Column5]] + Table1[[#This Row],[Column6]] + Table1[[#This Row],[ShippingCost]]</f>
        <v>8</v>
      </c>
      <c r="BE71" s="2">
        <v>100.7</v>
      </c>
      <c r="BF71" s="2" t="s">
        <v>180</v>
      </c>
      <c r="BG71" s="2">
        <f>Table1[[#This Row],[DeliveryDate]]-Table1[[#This Row],[OrderDate]]</f>
        <v>3</v>
      </c>
      <c r="BH71" s="2">
        <v>3</v>
      </c>
      <c r="BI71" s="2" t="str">
        <f>IF(OR(Table1[[#This Row],[CustomerTier]]="Platinum", Table1[[#This Row],[Column7]]&gt;1000), "Yes", "No")</f>
        <v>No</v>
      </c>
      <c r="BJ71" s="2" t="s">
        <v>205</v>
      </c>
      <c r="BK71" s="2" t="str">
        <f>IF(Table1[[#This Row],[Quantity]]&gt;=10, "Yes", "No")</f>
        <v>No</v>
      </c>
      <c r="BL71" s="2" t="s">
        <v>205</v>
      </c>
      <c r="BM71" s="2">
        <f>IF(Table1[[#This Row],[Column12]]="Yes", 5%, 0)</f>
        <v>0</v>
      </c>
      <c r="BN71" s="2">
        <v>0</v>
      </c>
      <c r="BO71" s="2"/>
      <c r="BP71" s="2"/>
      <c r="BQ71" s="2" t="s">
        <v>208</v>
      </c>
      <c r="BR71" s="2" t="s">
        <v>209</v>
      </c>
      <c r="BS71" s="3" t="s">
        <v>210</v>
      </c>
    </row>
    <row r="72" spans="1:71" x14ac:dyDescent="0.25">
      <c r="A72" s="1" t="s">
        <v>675</v>
      </c>
      <c r="B72" s="11">
        <v>45707</v>
      </c>
      <c r="C72" s="11">
        <v>45712</v>
      </c>
      <c r="D72" s="2" t="s">
        <v>180</v>
      </c>
      <c r="E72" s="2" t="s">
        <v>181</v>
      </c>
      <c r="F72" s="2" t="s">
        <v>182</v>
      </c>
      <c r="G72" s="2" t="s">
        <v>183</v>
      </c>
      <c r="H72" s="2" t="s">
        <v>184</v>
      </c>
      <c r="I72" s="2" t="s">
        <v>185</v>
      </c>
      <c r="J72" s="2" t="s">
        <v>186</v>
      </c>
      <c r="K72" s="2" t="s">
        <v>184</v>
      </c>
      <c r="L72" s="2" t="s">
        <v>187</v>
      </c>
      <c r="M72" s="2" t="s">
        <v>188</v>
      </c>
      <c r="N72" s="2" t="s">
        <v>189</v>
      </c>
      <c r="O72" s="11">
        <v>43891</v>
      </c>
      <c r="P72" s="2" t="s">
        <v>676</v>
      </c>
      <c r="Q72" s="2" t="s">
        <v>677</v>
      </c>
      <c r="R72" s="2" t="s">
        <v>363</v>
      </c>
      <c r="S72" s="2" t="s">
        <v>678</v>
      </c>
      <c r="T72" s="2" t="s">
        <v>679</v>
      </c>
      <c r="U72" s="2" t="s">
        <v>388</v>
      </c>
      <c r="V72" s="13">
        <v>95</v>
      </c>
      <c r="W72" s="13">
        <v>52</v>
      </c>
      <c r="X72" s="2">
        <v>0.1</v>
      </c>
      <c r="Y72" s="2" t="s">
        <v>288</v>
      </c>
      <c r="Z72" s="2" t="s">
        <v>646</v>
      </c>
      <c r="AA72" s="2">
        <v>25</v>
      </c>
      <c r="AB72" s="2">
        <v>5</v>
      </c>
      <c r="AC72" s="2">
        <v>2</v>
      </c>
      <c r="AD72" s="2">
        <v>1</v>
      </c>
      <c r="AE72" s="17">
        <f>Table1[[#This Row],[Discount%]]/100</f>
        <v>0.05</v>
      </c>
      <c r="AF72" s="2">
        <v>5</v>
      </c>
      <c r="AG72" s="17">
        <f>Table1[[#This Row],[Tax%]]/100</f>
        <v>0.06</v>
      </c>
      <c r="AH72" s="2">
        <v>6</v>
      </c>
      <c r="AI72" s="23">
        <v>3</v>
      </c>
      <c r="AJ72" s="2" t="s">
        <v>229</v>
      </c>
      <c r="AK72" s="2" t="s">
        <v>230</v>
      </c>
      <c r="AL72" s="2" t="s">
        <v>231</v>
      </c>
      <c r="AM72" s="2" t="s">
        <v>232</v>
      </c>
      <c r="AN72" s="2" t="s">
        <v>945</v>
      </c>
      <c r="AO72" s="2" t="s">
        <v>350</v>
      </c>
      <c r="AP72" s="2" t="s">
        <v>680</v>
      </c>
      <c r="AQ72" s="25">
        <v>47.5</v>
      </c>
      <c r="AR72" s="25">
        <f>IFERROR((Table1[[#This Row],[Column7]]-Table1[[#This Row],[Column8]])/Table1[[#This Row],[Column7]], 0)</f>
        <v>-5.9193032926901887</v>
      </c>
      <c r="AS72" s="2">
        <v>45.26</v>
      </c>
      <c r="AT72" s="21">
        <f>Table1[[#This Row],[Quantity]] * Table1[[#This Row],[CostPrice]]</f>
        <v>52</v>
      </c>
      <c r="AU72" s="2">
        <v>52</v>
      </c>
      <c r="AV72" s="13">
        <f>Table1[[#This Row],[Quantity]] * Table1[[#This Row],[UnitPrice]]</f>
        <v>95</v>
      </c>
      <c r="AW72" s="2">
        <v>95</v>
      </c>
      <c r="AX72" s="21">
        <f>Table1[[#This Row],[Column3]] * (Table1[[#This Row],[Column1]]/100)</f>
        <v>4.7500000000000001E-2</v>
      </c>
      <c r="AY72" s="2">
        <v>4.75</v>
      </c>
      <c r="AZ72" s="27">
        <f>Table1[[#This Row],[Column3]] * Table1[[#This Row],[Column4]]</f>
        <v>4.5125000000000002</v>
      </c>
      <c r="BA72" s="2">
        <v>90.25</v>
      </c>
      <c r="BB72" s="15">
        <f>Table1[[#This Row],[Column5]] * (Table1[[#This Row],[Column2]]/100)</f>
        <v>2.7074999999999998E-3</v>
      </c>
      <c r="BC72" s="2">
        <v>5.42</v>
      </c>
      <c r="BD72" s="19">
        <f>Table1[[#This Row],[Column5]] + Table1[[#This Row],[Column6]] + Table1[[#This Row],[ShippingCost]]</f>
        <v>7.5152074999999998</v>
      </c>
      <c r="BE72" s="2">
        <v>95.67</v>
      </c>
      <c r="BF72" s="2" t="s">
        <v>180</v>
      </c>
      <c r="BG72" s="2">
        <f>Table1[[#This Row],[DeliveryDate]]-Table1[[#This Row],[OrderDate]]</f>
        <v>5</v>
      </c>
      <c r="BH72" s="2">
        <v>5</v>
      </c>
      <c r="BI72" s="2" t="str">
        <f>IF(OR(Table1[[#This Row],[CustomerTier]]="Platinum", Table1[[#This Row],[Column7]]&gt;1000), "Yes", "No")</f>
        <v>No</v>
      </c>
      <c r="BJ72" s="2" t="s">
        <v>205</v>
      </c>
      <c r="BK72" s="2" t="str">
        <f>IF(Table1[[#This Row],[Quantity]]&gt;=10, "Yes", "No")</f>
        <v>No</v>
      </c>
      <c r="BL72" s="2" t="s">
        <v>205</v>
      </c>
      <c r="BM72" s="2">
        <f>IF(Table1[[#This Row],[Column12]]="Yes", 5%, 0)</f>
        <v>0</v>
      </c>
      <c r="BN72" s="2">
        <v>0</v>
      </c>
      <c r="BO72" s="2" t="s">
        <v>352</v>
      </c>
      <c r="BP72" s="2" t="s">
        <v>353</v>
      </c>
      <c r="BQ72" s="2" t="s">
        <v>234</v>
      </c>
      <c r="BR72" s="2" t="s">
        <v>209</v>
      </c>
      <c r="BS72" s="3" t="s">
        <v>210</v>
      </c>
    </row>
    <row r="73" spans="1:71" x14ac:dyDescent="0.25">
      <c r="A73" s="1" t="s">
        <v>681</v>
      </c>
      <c r="B73" s="11">
        <v>45708</v>
      </c>
      <c r="C73" s="11">
        <v>45711</v>
      </c>
      <c r="D73" s="2" t="s">
        <v>180</v>
      </c>
      <c r="E73" s="2" t="s">
        <v>212</v>
      </c>
      <c r="F73" s="2" t="s">
        <v>295</v>
      </c>
      <c r="G73" s="2" t="s">
        <v>296</v>
      </c>
      <c r="H73" s="2" t="s">
        <v>297</v>
      </c>
      <c r="I73" s="2" t="s">
        <v>298</v>
      </c>
      <c r="J73" s="2" t="s">
        <v>299</v>
      </c>
      <c r="K73" s="2" t="s">
        <v>297</v>
      </c>
      <c r="L73" s="2" t="s">
        <v>187</v>
      </c>
      <c r="M73" s="2" t="s">
        <v>300</v>
      </c>
      <c r="N73" s="2" t="s">
        <v>301</v>
      </c>
      <c r="O73" s="11">
        <v>43332</v>
      </c>
      <c r="P73" s="2" t="s">
        <v>682</v>
      </c>
      <c r="Q73" s="2" t="s">
        <v>683</v>
      </c>
      <c r="R73" s="2" t="s">
        <v>285</v>
      </c>
      <c r="S73" s="2" t="s">
        <v>284</v>
      </c>
      <c r="T73" s="2" t="s">
        <v>476</v>
      </c>
      <c r="U73" s="2" t="s">
        <v>287</v>
      </c>
      <c r="V73" s="13">
        <v>220</v>
      </c>
      <c r="W73" s="13">
        <v>128</v>
      </c>
      <c r="X73" s="2">
        <v>25</v>
      </c>
      <c r="Y73" s="2" t="s">
        <v>288</v>
      </c>
      <c r="Z73" s="2" t="s">
        <v>880</v>
      </c>
      <c r="AA73" s="2">
        <v>8</v>
      </c>
      <c r="AB73" s="2">
        <v>2</v>
      </c>
      <c r="AC73" s="2">
        <v>4</v>
      </c>
      <c r="AD73" s="2">
        <v>1</v>
      </c>
      <c r="AE73" s="17">
        <f>Table1[[#This Row],[Discount%]]/100</f>
        <v>0</v>
      </c>
      <c r="AF73" s="2">
        <v>0</v>
      </c>
      <c r="AG73" s="17">
        <f>Table1[[#This Row],[Tax%]]/100</f>
        <v>7.0000000000000007E-2</v>
      </c>
      <c r="AH73" s="2">
        <v>7</v>
      </c>
      <c r="AI73" s="23">
        <v>25</v>
      </c>
      <c r="AJ73" s="2" t="s">
        <v>249</v>
      </c>
      <c r="AK73" s="2" t="s">
        <v>199</v>
      </c>
      <c r="AL73" s="2" t="s">
        <v>290</v>
      </c>
      <c r="AM73" s="2" t="s">
        <v>201</v>
      </c>
      <c r="AN73" s="2" t="s">
        <v>946</v>
      </c>
      <c r="AO73" s="2" t="s">
        <v>203</v>
      </c>
      <c r="AP73" s="2" t="s">
        <v>880</v>
      </c>
      <c r="AQ73" s="25">
        <v>0</v>
      </c>
      <c r="AR73" s="25">
        <f>IFERROR((Table1[[#This Row],[Column7]]-Table1[[#This Row],[Column8]])/Table1[[#This Row],[Column7]], 0)</f>
        <v>-4.12</v>
      </c>
      <c r="AS73" s="2">
        <v>41.82</v>
      </c>
      <c r="AT73" s="21">
        <f>Table1[[#This Row],[Quantity]] * Table1[[#This Row],[CostPrice]]</f>
        <v>128</v>
      </c>
      <c r="AU73" s="2">
        <v>128</v>
      </c>
      <c r="AV73" s="13">
        <f>Table1[[#This Row],[Quantity]] * Table1[[#This Row],[UnitPrice]]</f>
        <v>220</v>
      </c>
      <c r="AW73" s="2">
        <v>220</v>
      </c>
      <c r="AX73" s="21">
        <f>Table1[[#This Row],[Column3]] * (Table1[[#This Row],[Column1]]/100)</f>
        <v>0</v>
      </c>
      <c r="AY73" s="2">
        <v>0</v>
      </c>
      <c r="AZ73" s="27">
        <f>Table1[[#This Row],[Column3]] * Table1[[#This Row],[Column4]]</f>
        <v>0</v>
      </c>
      <c r="BA73" s="2">
        <v>220</v>
      </c>
      <c r="BB73" s="15">
        <f>Table1[[#This Row],[Column5]] * (Table1[[#This Row],[Column2]]/100)</f>
        <v>0</v>
      </c>
      <c r="BC73" s="2">
        <v>15.4</v>
      </c>
      <c r="BD73" s="19">
        <f>Table1[[#This Row],[Column5]] + Table1[[#This Row],[Column6]] + Table1[[#This Row],[ShippingCost]]</f>
        <v>25</v>
      </c>
      <c r="BE73" s="2">
        <v>235.4</v>
      </c>
      <c r="BF73" s="2" t="s">
        <v>180</v>
      </c>
      <c r="BG73" s="2">
        <f>Table1[[#This Row],[DeliveryDate]]-Table1[[#This Row],[OrderDate]]</f>
        <v>3</v>
      </c>
      <c r="BH73" s="2">
        <v>3</v>
      </c>
      <c r="BI73" s="2" t="str">
        <f>IF(OR(Table1[[#This Row],[CustomerTier]]="Platinum", Table1[[#This Row],[Column7]]&gt;1000), "Yes", "No")</f>
        <v>Yes</v>
      </c>
      <c r="BJ73" s="2" t="s">
        <v>205</v>
      </c>
      <c r="BK73" s="2" t="str">
        <f>IF(Table1[[#This Row],[Quantity]]&gt;=10, "Yes", "No")</f>
        <v>No</v>
      </c>
      <c r="BL73" s="2" t="s">
        <v>205</v>
      </c>
      <c r="BM73" s="2">
        <f>IF(Table1[[#This Row],[Column12]]="Yes", 5%, 0)</f>
        <v>0</v>
      </c>
      <c r="BN73" s="2">
        <v>0</v>
      </c>
      <c r="BO73" s="2" t="s">
        <v>291</v>
      </c>
      <c r="BP73" s="2" t="s">
        <v>292</v>
      </c>
      <c r="BQ73" s="2" t="s">
        <v>293</v>
      </c>
      <c r="BR73" s="2" t="s">
        <v>209</v>
      </c>
      <c r="BS73" s="3" t="s">
        <v>210</v>
      </c>
    </row>
    <row r="74" spans="1:71" x14ac:dyDescent="0.25">
      <c r="A74" s="1" t="s">
        <v>684</v>
      </c>
      <c r="B74" s="11">
        <v>45708</v>
      </c>
      <c r="C74" s="11">
        <v>45713</v>
      </c>
      <c r="D74" s="2" t="s">
        <v>371</v>
      </c>
      <c r="E74" s="2" t="s">
        <v>181</v>
      </c>
      <c r="F74" s="2" t="s">
        <v>311</v>
      </c>
      <c r="G74" s="2" t="s">
        <v>312</v>
      </c>
      <c r="H74" s="2" t="s">
        <v>184</v>
      </c>
      <c r="I74" s="2" t="s">
        <v>313</v>
      </c>
      <c r="J74" s="2" t="s">
        <v>314</v>
      </c>
      <c r="K74" s="2" t="s">
        <v>184</v>
      </c>
      <c r="L74" s="2" t="s">
        <v>218</v>
      </c>
      <c r="M74" s="2" t="s">
        <v>315</v>
      </c>
      <c r="N74" s="2" t="s">
        <v>316</v>
      </c>
      <c r="O74" s="11">
        <v>44745</v>
      </c>
      <c r="P74" s="2" t="s">
        <v>685</v>
      </c>
      <c r="Q74" s="2" t="s">
        <v>686</v>
      </c>
      <c r="R74" s="2" t="s">
        <v>244</v>
      </c>
      <c r="S74" s="2" t="s">
        <v>687</v>
      </c>
      <c r="T74" s="2" t="s">
        <v>688</v>
      </c>
      <c r="U74" s="2" t="s">
        <v>247</v>
      </c>
      <c r="V74" s="13">
        <v>120</v>
      </c>
      <c r="W74" s="13">
        <v>67</v>
      </c>
      <c r="X74" s="2">
        <v>4.5</v>
      </c>
      <c r="Y74" s="2"/>
      <c r="Z74" s="2">
        <v>25</v>
      </c>
      <c r="AA74" s="2">
        <v>5</v>
      </c>
      <c r="AB74" s="2">
        <v>3</v>
      </c>
      <c r="AC74" s="2">
        <v>1</v>
      </c>
      <c r="AD74" s="2">
        <v>0</v>
      </c>
      <c r="AE74" s="17">
        <f>Table1[[#This Row],[Discount%]]/100</f>
        <v>0.06</v>
      </c>
      <c r="AF74" s="2">
        <v>6</v>
      </c>
      <c r="AG74" s="17">
        <f>Table1[[#This Row],[Tax%]]/100</f>
        <v>0.12</v>
      </c>
      <c r="AH74" s="2">
        <v>12</v>
      </c>
      <c r="AI74" s="23">
        <v>0</v>
      </c>
      <c r="AJ74" s="2" t="s">
        <v>249</v>
      </c>
      <c r="AK74" s="2" t="s">
        <v>230</v>
      </c>
      <c r="AL74" s="2" t="s">
        <v>883</v>
      </c>
      <c r="AM74" s="2" t="s">
        <v>201</v>
      </c>
      <c r="AN74" s="2" t="s">
        <v>947</v>
      </c>
      <c r="AO74" s="2"/>
      <c r="AP74" s="2">
        <v>0</v>
      </c>
      <c r="AQ74" s="25">
        <v>44.17</v>
      </c>
      <c r="AR74" s="25">
        <f>IFERROR((Table1[[#This Row],[Column7]]-Table1[[#This Row],[Column8]])/Table1[[#This Row],[Column7]], 0)</f>
        <v>0</v>
      </c>
      <c r="AS74" s="2">
        <v>67</v>
      </c>
      <c r="AT74" s="21">
        <f>Table1[[#This Row],[Quantity]] * Table1[[#This Row],[CostPrice]]</f>
        <v>0</v>
      </c>
      <c r="AU74" s="2">
        <v>120</v>
      </c>
      <c r="AV74" s="13">
        <f>Table1[[#This Row],[Quantity]] * Table1[[#This Row],[UnitPrice]]</f>
        <v>0</v>
      </c>
      <c r="AW74" s="2">
        <v>0</v>
      </c>
      <c r="AX74" s="21">
        <f>Table1[[#This Row],[Column3]] * (Table1[[#This Row],[Column1]]/100)</f>
        <v>0</v>
      </c>
      <c r="AY74" s="2">
        <v>120</v>
      </c>
      <c r="AZ74" s="27">
        <f>Table1[[#This Row],[Column3]] * Table1[[#This Row],[Column4]]</f>
        <v>0</v>
      </c>
      <c r="BA74" s="2">
        <v>7.2</v>
      </c>
      <c r="BB74" s="15">
        <f>Table1[[#This Row],[Column5]] * (Table1[[#This Row],[Column2]]/100)</f>
        <v>0</v>
      </c>
      <c r="BC74" s="2">
        <v>127.2</v>
      </c>
      <c r="BD74" s="19">
        <f>Table1[[#This Row],[Column5]] + Table1[[#This Row],[Column6]] + Table1[[#This Row],[ShippingCost]]</f>
        <v>0</v>
      </c>
      <c r="BE74" s="2" t="s">
        <v>371</v>
      </c>
      <c r="BF74" s="2">
        <v>5</v>
      </c>
      <c r="BG74" s="2">
        <f>Table1[[#This Row],[DeliveryDate]]-Table1[[#This Row],[OrderDate]]</f>
        <v>5</v>
      </c>
      <c r="BH74" s="2" t="s">
        <v>205</v>
      </c>
      <c r="BI74" s="2" t="str">
        <f>IF(OR(Table1[[#This Row],[CustomerTier]]="Platinum", Table1[[#This Row],[Column7]]&gt;1000), "Yes", "No")</f>
        <v>Yes</v>
      </c>
      <c r="BJ74" s="2" t="s">
        <v>205</v>
      </c>
      <c r="BK74" s="2" t="str">
        <f>IF(Table1[[#This Row],[Quantity]]&gt;=10, "Yes", "No")</f>
        <v>No</v>
      </c>
      <c r="BL74" s="2">
        <v>0</v>
      </c>
      <c r="BM74" s="2">
        <f>IF(Table1[[#This Row],[Column12]]="Yes", 5%, 0)</f>
        <v>0</v>
      </c>
      <c r="BN74" s="2"/>
      <c r="BO74" s="2"/>
      <c r="BP74" s="2" t="s">
        <v>654</v>
      </c>
      <c r="BQ74" s="2" t="s">
        <v>209</v>
      </c>
      <c r="BR74" s="2" t="s">
        <v>210</v>
      </c>
      <c r="BS74" s="3"/>
    </row>
    <row r="75" spans="1:71" x14ac:dyDescent="0.25">
      <c r="A75" s="1" t="s">
        <v>689</v>
      </c>
      <c r="B75" s="11">
        <v>45709</v>
      </c>
      <c r="C75" s="11">
        <v>45712</v>
      </c>
      <c r="D75" s="2" t="s">
        <v>180</v>
      </c>
      <c r="E75" s="2" t="s">
        <v>212</v>
      </c>
      <c r="F75" s="2" t="s">
        <v>325</v>
      </c>
      <c r="G75" s="2" t="s">
        <v>326</v>
      </c>
      <c r="H75" s="2" t="s">
        <v>215</v>
      </c>
      <c r="I75" s="2" t="s">
        <v>327</v>
      </c>
      <c r="J75" s="2" t="s">
        <v>217</v>
      </c>
      <c r="K75" s="2" t="s">
        <v>215</v>
      </c>
      <c r="L75" s="2" t="s">
        <v>218</v>
      </c>
      <c r="M75" s="2" t="s">
        <v>328</v>
      </c>
      <c r="N75" s="2" t="s">
        <v>329</v>
      </c>
      <c r="O75" s="11">
        <v>44300</v>
      </c>
      <c r="P75" s="2" t="s">
        <v>690</v>
      </c>
      <c r="Q75" s="2" t="s">
        <v>691</v>
      </c>
      <c r="R75" s="2" t="s">
        <v>402</v>
      </c>
      <c r="S75" s="2" t="s">
        <v>601</v>
      </c>
      <c r="T75" s="2" t="s">
        <v>404</v>
      </c>
      <c r="U75" s="2" t="s">
        <v>405</v>
      </c>
      <c r="V75" s="13">
        <v>65</v>
      </c>
      <c r="W75" s="13">
        <v>36</v>
      </c>
      <c r="X75" s="2">
        <v>1.1000000000000001</v>
      </c>
      <c r="Y75" s="2" t="s">
        <v>288</v>
      </c>
      <c r="Z75" s="2" t="s">
        <v>880</v>
      </c>
      <c r="AA75" s="2">
        <v>28</v>
      </c>
      <c r="AB75" s="2">
        <v>6</v>
      </c>
      <c r="AC75" s="2">
        <v>2</v>
      </c>
      <c r="AD75" s="2">
        <v>1</v>
      </c>
      <c r="AE75" s="17">
        <f>Table1[[#This Row],[Discount%]]/100</f>
        <v>0</v>
      </c>
      <c r="AF75" s="2">
        <v>0</v>
      </c>
      <c r="AG75" s="17">
        <f>Table1[[#This Row],[Tax%]]/100</f>
        <v>0.06</v>
      </c>
      <c r="AH75" s="2">
        <v>6</v>
      </c>
      <c r="AI75" s="23">
        <v>5</v>
      </c>
      <c r="AJ75" s="2" t="s">
        <v>289</v>
      </c>
      <c r="AK75" s="2" t="s">
        <v>230</v>
      </c>
      <c r="AL75" s="2" t="s">
        <v>250</v>
      </c>
      <c r="AM75" s="2" t="s">
        <v>196</v>
      </c>
      <c r="AN75" s="2" t="s">
        <v>948</v>
      </c>
      <c r="AO75" s="2" t="s">
        <v>203</v>
      </c>
      <c r="AP75" s="2" t="s">
        <v>880</v>
      </c>
      <c r="AQ75" s="25">
        <v>0</v>
      </c>
      <c r="AR75" s="25">
        <f>IFERROR((Table1[[#This Row],[Column7]]-Table1[[#This Row],[Column8]])/Table1[[#This Row],[Column7]], 0)</f>
        <v>-6.2</v>
      </c>
      <c r="AS75" s="2">
        <v>44.62</v>
      </c>
      <c r="AT75" s="21">
        <f>Table1[[#This Row],[Quantity]] * Table1[[#This Row],[CostPrice]]</f>
        <v>36</v>
      </c>
      <c r="AU75" s="2">
        <v>36</v>
      </c>
      <c r="AV75" s="13">
        <f>Table1[[#This Row],[Quantity]] * Table1[[#This Row],[UnitPrice]]</f>
        <v>65</v>
      </c>
      <c r="AW75" s="2">
        <v>65</v>
      </c>
      <c r="AX75" s="21">
        <f>Table1[[#This Row],[Column3]] * (Table1[[#This Row],[Column1]]/100)</f>
        <v>0</v>
      </c>
      <c r="AY75" s="2">
        <v>0</v>
      </c>
      <c r="AZ75" s="27">
        <f>Table1[[#This Row],[Column3]] * Table1[[#This Row],[Column4]]</f>
        <v>0</v>
      </c>
      <c r="BA75" s="2">
        <v>65</v>
      </c>
      <c r="BB75" s="15">
        <f>Table1[[#This Row],[Column5]] * (Table1[[#This Row],[Column2]]/100)</f>
        <v>0</v>
      </c>
      <c r="BC75" s="2">
        <v>3.9</v>
      </c>
      <c r="BD75" s="19">
        <f>Table1[[#This Row],[Column5]] + Table1[[#This Row],[Column6]] + Table1[[#This Row],[ShippingCost]]</f>
        <v>5</v>
      </c>
      <c r="BE75" s="2">
        <v>68.900000000000006</v>
      </c>
      <c r="BF75" s="2" t="s">
        <v>180</v>
      </c>
      <c r="BG75" s="2">
        <f>Table1[[#This Row],[DeliveryDate]]-Table1[[#This Row],[OrderDate]]</f>
        <v>3</v>
      </c>
      <c r="BH75" s="2">
        <v>3</v>
      </c>
      <c r="BI75" s="2" t="str">
        <f>IF(OR(Table1[[#This Row],[CustomerTier]]="Platinum", Table1[[#This Row],[Column7]]&gt;1000), "Yes", "No")</f>
        <v>No</v>
      </c>
      <c r="BJ75" s="2" t="s">
        <v>205</v>
      </c>
      <c r="BK75" s="2" t="str">
        <f>IF(Table1[[#This Row],[Quantity]]&gt;=10, "Yes", "No")</f>
        <v>No</v>
      </c>
      <c r="BL75" s="2" t="s">
        <v>205</v>
      </c>
      <c r="BM75" s="2">
        <f>IF(Table1[[#This Row],[Column12]]="Yes", 5%, 0)</f>
        <v>0</v>
      </c>
      <c r="BN75" s="2">
        <v>0</v>
      </c>
      <c r="BO75" s="2"/>
      <c r="BP75" s="2"/>
      <c r="BQ75" s="2" t="s">
        <v>539</v>
      </c>
      <c r="BR75" s="2" t="s">
        <v>209</v>
      </c>
      <c r="BS75" s="3" t="s">
        <v>210</v>
      </c>
    </row>
    <row r="76" spans="1:71" x14ac:dyDescent="0.25">
      <c r="A76" s="1" t="s">
        <v>692</v>
      </c>
      <c r="B76" s="11">
        <v>45709</v>
      </c>
      <c r="C76" s="11">
        <v>45714</v>
      </c>
      <c r="D76" s="2" t="s">
        <v>180</v>
      </c>
      <c r="E76" s="2" t="s">
        <v>181</v>
      </c>
      <c r="F76" s="2" t="s">
        <v>337</v>
      </c>
      <c r="G76" s="2" t="s">
        <v>338</v>
      </c>
      <c r="H76" s="2" t="s">
        <v>184</v>
      </c>
      <c r="I76" s="2" t="s">
        <v>339</v>
      </c>
      <c r="J76" s="2" t="s">
        <v>340</v>
      </c>
      <c r="K76" s="2" t="s">
        <v>184</v>
      </c>
      <c r="L76" s="2" t="s">
        <v>218</v>
      </c>
      <c r="M76" s="2" t="s">
        <v>341</v>
      </c>
      <c r="N76" s="2" t="s">
        <v>342</v>
      </c>
      <c r="O76" s="11">
        <v>44982</v>
      </c>
      <c r="P76" s="2" t="s">
        <v>693</v>
      </c>
      <c r="Q76" s="2" t="s">
        <v>694</v>
      </c>
      <c r="R76" s="2" t="s">
        <v>285</v>
      </c>
      <c r="S76" s="2" t="s">
        <v>695</v>
      </c>
      <c r="T76" s="2" t="s">
        <v>696</v>
      </c>
      <c r="U76" s="2" t="s">
        <v>287</v>
      </c>
      <c r="V76" s="13">
        <v>4</v>
      </c>
      <c r="W76" s="13">
        <v>2</v>
      </c>
      <c r="X76" s="2">
        <v>0.1</v>
      </c>
      <c r="Y76" s="2" t="s">
        <v>227</v>
      </c>
      <c r="Z76" s="2" t="s">
        <v>880</v>
      </c>
      <c r="AA76" s="2">
        <v>500</v>
      </c>
      <c r="AB76" s="2">
        <v>100</v>
      </c>
      <c r="AC76" s="2">
        <v>1</v>
      </c>
      <c r="AD76" s="2">
        <v>25</v>
      </c>
      <c r="AE76" s="17">
        <f>Table1[[#This Row],[Discount%]]/100</f>
        <v>0</v>
      </c>
      <c r="AF76" s="2">
        <v>0</v>
      </c>
      <c r="AG76" s="17">
        <f>Table1[[#This Row],[Tax%]]/100</f>
        <v>0.04</v>
      </c>
      <c r="AH76" s="2">
        <v>4</v>
      </c>
      <c r="AI76" s="23">
        <v>2</v>
      </c>
      <c r="AJ76" s="2" t="s">
        <v>229</v>
      </c>
      <c r="AK76" s="2" t="s">
        <v>230</v>
      </c>
      <c r="AL76" s="2" t="s">
        <v>348</v>
      </c>
      <c r="AM76" s="2" t="s">
        <v>232</v>
      </c>
      <c r="AN76" s="2" t="s">
        <v>949</v>
      </c>
      <c r="AO76" s="2" t="s">
        <v>203</v>
      </c>
      <c r="AP76" s="2" t="s">
        <v>880</v>
      </c>
      <c r="AQ76" s="25">
        <v>0</v>
      </c>
      <c r="AR76" s="25">
        <f>IFERROR((Table1[[#This Row],[Column7]]-Table1[[#This Row],[Column8]])/Table1[[#This Row],[Column7]], 0)</f>
        <v>-24</v>
      </c>
      <c r="AS76" s="2">
        <v>50</v>
      </c>
      <c r="AT76" s="21">
        <f>Table1[[#This Row],[Quantity]] * Table1[[#This Row],[CostPrice]]</f>
        <v>50</v>
      </c>
      <c r="AU76" s="2">
        <v>50</v>
      </c>
      <c r="AV76" s="13">
        <f>Table1[[#This Row],[Quantity]] * Table1[[#This Row],[UnitPrice]]</f>
        <v>100</v>
      </c>
      <c r="AW76" s="2">
        <v>100</v>
      </c>
      <c r="AX76" s="21">
        <f>Table1[[#This Row],[Column3]] * (Table1[[#This Row],[Column1]]/100)</f>
        <v>0</v>
      </c>
      <c r="AY76" s="2">
        <v>0</v>
      </c>
      <c r="AZ76" s="27">
        <f>Table1[[#This Row],[Column3]] * Table1[[#This Row],[Column4]]</f>
        <v>0</v>
      </c>
      <c r="BA76" s="2">
        <v>100</v>
      </c>
      <c r="BB76" s="15">
        <f>Table1[[#This Row],[Column5]] * (Table1[[#This Row],[Column2]]/100)</f>
        <v>0</v>
      </c>
      <c r="BC76" s="2">
        <v>4</v>
      </c>
      <c r="BD76" s="19">
        <f>Table1[[#This Row],[Column5]] + Table1[[#This Row],[Column6]] + Table1[[#This Row],[ShippingCost]]</f>
        <v>2</v>
      </c>
      <c r="BE76" s="2">
        <v>104</v>
      </c>
      <c r="BF76" s="2" t="s">
        <v>180</v>
      </c>
      <c r="BG76" s="2">
        <f>Table1[[#This Row],[DeliveryDate]]-Table1[[#This Row],[OrderDate]]</f>
        <v>5</v>
      </c>
      <c r="BH76" s="2">
        <v>5</v>
      </c>
      <c r="BI76" s="2" t="str">
        <f>IF(OR(Table1[[#This Row],[CustomerTier]]="Platinum", Table1[[#This Row],[Column7]]&gt;1000), "Yes", "No")</f>
        <v>No</v>
      </c>
      <c r="BJ76" s="2" t="s">
        <v>205</v>
      </c>
      <c r="BK76" s="2" t="str">
        <f>IF(Table1[[#This Row],[Quantity]]&gt;=10, "Yes", "No")</f>
        <v>Yes</v>
      </c>
      <c r="BL76" s="2" t="s">
        <v>204</v>
      </c>
      <c r="BM76" s="2">
        <f>IF(Table1[[#This Row],[Column12]]="Yes", 5%, 0)</f>
        <v>0.05</v>
      </c>
      <c r="BN76" s="2">
        <v>20</v>
      </c>
      <c r="BO76" s="2" t="s">
        <v>369</v>
      </c>
      <c r="BP76" s="2" t="s">
        <v>173</v>
      </c>
      <c r="BQ76" s="2" t="s">
        <v>422</v>
      </c>
      <c r="BR76" s="2" t="s">
        <v>209</v>
      </c>
      <c r="BS76" s="3" t="s">
        <v>210</v>
      </c>
    </row>
    <row r="77" spans="1:71" x14ac:dyDescent="0.25">
      <c r="A77" s="1" t="s">
        <v>697</v>
      </c>
      <c r="B77" s="11">
        <v>45710</v>
      </c>
      <c r="C77" s="11">
        <v>45713</v>
      </c>
      <c r="D77" s="2" t="s">
        <v>180</v>
      </c>
      <c r="E77" s="2" t="s">
        <v>212</v>
      </c>
      <c r="F77" s="2" t="s">
        <v>355</v>
      </c>
      <c r="G77" s="2" t="s">
        <v>356</v>
      </c>
      <c r="H77" s="2" t="s">
        <v>297</v>
      </c>
      <c r="I77" s="2" t="s">
        <v>357</v>
      </c>
      <c r="J77" s="2" t="s">
        <v>358</v>
      </c>
      <c r="K77" s="2" t="s">
        <v>297</v>
      </c>
      <c r="L77" s="2" t="s">
        <v>218</v>
      </c>
      <c r="M77" s="2" t="s">
        <v>359</v>
      </c>
      <c r="N77" s="2" t="s">
        <v>360</v>
      </c>
      <c r="O77" s="11">
        <v>44895</v>
      </c>
      <c r="P77" s="2" t="s">
        <v>698</v>
      </c>
      <c r="Q77" s="2" t="s">
        <v>699</v>
      </c>
      <c r="R77" s="2" t="s">
        <v>244</v>
      </c>
      <c r="S77" s="2" t="s">
        <v>651</v>
      </c>
      <c r="T77" s="2" t="s">
        <v>700</v>
      </c>
      <c r="U77" s="2" t="s">
        <v>247</v>
      </c>
      <c r="V77" s="13">
        <v>55</v>
      </c>
      <c r="W77" s="13">
        <v>30</v>
      </c>
      <c r="X77" s="2">
        <v>2.5</v>
      </c>
      <c r="Y77" s="2" t="s">
        <v>248</v>
      </c>
      <c r="Z77" s="2" t="s">
        <v>880</v>
      </c>
      <c r="AA77" s="2">
        <v>20</v>
      </c>
      <c r="AB77" s="2">
        <v>5</v>
      </c>
      <c r="AC77" s="2">
        <v>2</v>
      </c>
      <c r="AD77" s="2">
        <v>1</v>
      </c>
      <c r="AE77" s="17">
        <f>Table1[[#This Row],[Discount%]]/100</f>
        <v>0.05</v>
      </c>
      <c r="AF77" s="2">
        <v>5</v>
      </c>
      <c r="AG77" s="17">
        <f>Table1[[#This Row],[Tax%]]/100</f>
        <v>0.05</v>
      </c>
      <c r="AH77" s="2">
        <v>5</v>
      </c>
      <c r="AI77" s="23">
        <v>5</v>
      </c>
      <c r="AJ77" s="2" t="s">
        <v>198</v>
      </c>
      <c r="AK77" s="2" t="s">
        <v>199</v>
      </c>
      <c r="AL77" s="2" t="s">
        <v>367</v>
      </c>
      <c r="AM77" s="2" t="s">
        <v>271</v>
      </c>
      <c r="AN77" s="2" t="s">
        <v>950</v>
      </c>
      <c r="AO77" s="2" t="s">
        <v>203</v>
      </c>
      <c r="AP77" s="2" t="s">
        <v>880</v>
      </c>
      <c r="AQ77" s="25">
        <v>0</v>
      </c>
      <c r="AR77" s="25">
        <f>IFERROR((Table1[[#This Row],[Column7]]-Table1[[#This Row],[Column8]])/Table1[[#This Row],[Column7]], 0)</f>
        <v>-3.6059910509432211</v>
      </c>
      <c r="AS77" s="2">
        <v>45.45</v>
      </c>
      <c r="AT77" s="21">
        <f>Table1[[#This Row],[Quantity]] * Table1[[#This Row],[CostPrice]]</f>
        <v>30</v>
      </c>
      <c r="AU77" s="2">
        <v>30</v>
      </c>
      <c r="AV77" s="13">
        <f>Table1[[#This Row],[Quantity]] * Table1[[#This Row],[UnitPrice]]</f>
        <v>55</v>
      </c>
      <c r="AW77" s="2">
        <v>55</v>
      </c>
      <c r="AX77" s="21">
        <f>Table1[[#This Row],[Column3]] * (Table1[[#This Row],[Column1]]/100)</f>
        <v>2.75E-2</v>
      </c>
      <c r="AY77" s="2">
        <v>2.75</v>
      </c>
      <c r="AZ77" s="27">
        <f>Table1[[#This Row],[Column3]] * Table1[[#This Row],[Column4]]</f>
        <v>1.5125</v>
      </c>
      <c r="BA77" s="2">
        <v>52.25</v>
      </c>
      <c r="BB77" s="15">
        <f>Table1[[#This Row],[Column5]] * (Table1[[#This Row],[Column2]]/100)</f>
        <v>7.5624999999999998E-4</v>
      </c>
      <c r="BC77" s="2">
        <v>2.61</v>
      </c>
      <c r="BD77" s="19">
        <f>Table1[[#This Row],[Column5]] + Table1[[#This Row],[Column6]] + Table1[[#This Row],[ShippingCost]]</f>
        <v>6.5132562499999995</v>
      </c>
      <c r="BE77" s="2">
        <v>54.86</v>
      </c>
      <c r="BF77" s="2" t="s">
        <v>180</v>
      </c>
      <c r="BG77" s="2">
        <f>Table1[[#This Row],[DeliveryDate]]-Table1[[#This Row],[OrderDate]]</f>
        <v>3</v>
      </c>
      <c r="BH77" s="2">
        <v>3</v>
      </c>
      <c r="BI77" s="2" t="str">
        <f>IF(OR(Table1[[#This Row],[CustomerTier]]="Platinum", Table1[[#This Row],[Column7]]&gt;1000), "Yes", "No")</f>
        <v>No</v>
      </c>
      <c r="BJ77" s="2" t="s">
        <v>205</v>
      </c>
      <c r="BK77" s="2" t="str">
        <f>IF(Table1[[#This Row],[Quantity]]&gt;=10, "Yes", "No")</f>
        <v>No</v>
      </c>
      <c r="BL77" s="2" t="s">
        <v>205</v>
      </c>
      <c r="BM77" s="2">
        <f>IF(Table1[[#This Row],[Column12]]="Yes", 5%, 0)</f>
        <v>0</v>
      </c>
      <c r="BN77" s="2">
        <v>0</v>
      </c>
      <c r="BO77" s="2" t="s">
        <v>252</v>
      </c>
      <c r="BP77" s="2" t="s">
        <v>253</v>
      </c>
      <c r="BQ77" s="2" t="s">
        <v>254</v>
      </c>
      <c r="BR77" s="2" t="s">
        <v>255</v>
      </c>
      <c r="BS77" s="3" t="s">
        <v>210</v>
      </c>
    </row>
    <row r="78" spans="1:71" x14ac:dyDescent="0.25">
      <c r="A78" s="1" t="s">
        <v>701</v>
      </c>
      <c r="B78" s="11">
        <v>45710</v>
      </c>
      <c r="C78" s="11">
        <v>45715</v>
      </c>
      <c r="D78" s="2" t="s">
        <v>310</v>
      </c>
      <c r="E78" s="2" t="s">
        <v>181</v>
      </c>
      <c r="F78" s="2" t="s">
        <v>372</v>
      </c>
      <c r="G78" s="2" t="s">
        <v>373</v>
      </c>
      <c r="H78" s="2" t="s">
        <v>297</v>
      </c>
      <c r="I78" s="2" t="s">
        <v>374</v>
      </c>
      <c r="J78" s="2" t="s">
        <v>375</v>
      </c>
      <c r="K78" s="2" t="s">
        <v>297</v>
      </c>
      <c r="L78" s="2" t="s">
        <v>218</v>
      </c>
      <c r="M78" s="2" t="s">
        <v>376</v>
      </c>
      <c r="N78" s="2" t="s">
        <v>377</v>
      </c>
      <c r="O78" s="11">
        <v>45033</v>
      </c>
      <c r="P78" s="2" t="s">
        <v>702</v>
      </c>
      <c r="Q78" s="2" t="s">
        <v>703</v>
      </c>
      <c r="R78" s="2" t="s">
        <v>265</v>
      </c>
      <c r="S78" s="2" t="s">
        <v>363</v>
      </c>
      <c r="T78" s="2" t="s">
        <v>704</v>
      </c>
      <c r="U78" s="2" t="s">
        <v>268</v>
      </c>
      <c r="V78" s="13">
        <v>15</v>
      </c>
      <c r="W78" s="13">
        <v>8</v>
      </c>
      <c r="X78" s="2">
        <v>0.2</v>
      </c>
      <c r="Y78" s="2" t="s">
        <v>288</v>
      </c>
      <c r="Z78" s="2" t="s">
        <v>705</v>
      </c>
      <c r="AA78" s="2">
        <v>120</v>
      </c>
      <c r="AB78" s="2">
        <v>25</v>
      </c>
      <c r="AC78" s="2">
        <v>1</v>
      </c>
      <c r="AD78" s="2">
        <v>4</v>
      </c>
      <c r="AE78" s="17">
        <f>Table1[[#This Row],[Discount%]]/100</f>
        <v>0</v>
      </c>
      <c r="AF78" s="2">
        <v>0</v>
      </c>
      <c r="AG78" s="17">
        <f>Table1[[#This Row],[Tax%]]/100</f>
        <v>0.05</v>
      </c>
      <c r="AH78" s="2">
        <v>5</v>
      </c>
      <c r="AI78" s="23">
        <v>3</v>
      </c>
      <c r="AJ78" s="2" t="s">
        <v>249</v>
      </c>
      <c r="AK78" s="2" t="s">
        <v>230</v>
      </c>
      <c r="AL78" s="2" t="s">
        <v>231</v>
      </c>
      <c r="AM78" s="2" t="s">
        <v>232</v>
      </c>
      <c r="AN78" s="2" t="s">
        <v>951</v>
      </c>
      <c r="AO78" s="2" t="s">
        <v>203</v>
      </c>
      <c r="AP78" s="2" t="s">
        <v>880</v>
      </c>
      <c r="AQ78" s="25">
        <v>0</v>
      </c>
      <c r="AR78" s="25">
        <f>IFERROR((Table1[[#This Row],[Column7]]-Table1[[#This Row],[Column8]])/Table1[[#This Row],[Column7]], 0)</f>
        <v>-9.6666666666666661</v>
      </c>
      <c r="AS78" s="2">
        <v>46.67</v>
      </c>
      <c r="AT78" s="21">
        <f>Table1[[#This Row],[Quantity]] * Table1[[#This Row],[CostPrice]]</f>
        <v>32</v>
      </c>
      <c r="AU78" s="2">
        <v>32</v>
      </c>
      <c r="AV78" s="13">
        <f>Table1[[#This Row],[Quantity]] * Table1[[#This Row],[UnitPrice]]</f>
        <v>60</v>
      </c>
      <c r="AW78" s="2">
        <v>60</v>
      </c>
      <c r="AX78" s="21">
        <f>Table1[[#This Row],[Column3]] * (Table1[[#This Row],[Column1]]/100)</f>
        <v>0</v>
      </c>
      <c r="AY78" s="2">
        <v>0</v>
      </c>
      <c r="AZ78" s="27">
        <f>Table1[[#This Row],[Column3]] * Table1[[#This Row],[Column4]]</f>
        <v>0</v>
      </c>
      <c r="BA78" s="2">
        <v>60</v>
      </c>
      <c r="BB78" s="15">
        <f>Table1[[#This Row],[Column5]] * (Table1[[#This Row],[Column2]]/100)</f>
        <v>0</v>
      </c>
      <c r="BC78" s="2">
        <v>3</v>
      </c>
      <c r="BD78" s="19">
        <f>Table1[[#This Row],[Column5]] + Table1[[#This Row],[Column6]] + Table1[[#This Row],[ShippingCost]]</f>
        <v>3</v>
      </c>
      <c r="BE78" s="2">
        <v>63</v>
      </c>
      <c r="BF78" s="2" t="s">
        <v>310</v>
      </c>
      <c r="BG78" s="2">
        <f>Table1[[#This Row],[DeliveryDate]]-Table1[[#This Row],[OrderDate]]</f>
        <v>5</v>
      </c>
      <c r="BH78" s="2">
        <v>5</v>
      </c>
      <c r="BI78" s="2" t="str">
        <f>IF(OR(Table1[[#This Row],[CustomerTier]]="Platinum", Table1[[#This Row],[Column7]]&gt;1000), "Yes", "No")</f>
        <v>No</v>
      </c>
      <c r="BJ78" s="2" t="s">
        <v>205</v>
      </c>
      <c r="BK78" s="2" t="str">
        <f>IF(Table1[[#This Row],[Quantity]]&gt;=10, "Yes", "No")</f>
        <v>No</v>
      </c>
      <c r="BL78" s="2" t="s">
        <v>205</v>
      </c>
      <c r="BM78" s="2">
        <f>IF(Table1[[#This Row],[Column12]]="Yes", 5%, 0)</f>
        <v>0</v>
      </c>
      <c r="BN78" s="2">
        <v>0</v>
      </c>
      <c r="BO78" s="2"/>
      <c r="BP78" s="2"/>
      <c r="BQ78" s="2" t="s">
        <v>273</v>
      </c>
      <c r="BR78" s="2" t="s">
        <v>209</v>
      </c>
      <c r="BS78" s="3" t="s">
        <v>210</v>
      </c>
    </row>
    <row r="79" spans="1:71" x14ac:dyDescent="0.25">
      <c r="A79" s="1" t="s">
        <v>706</v>
      </c>
      <c r="B79" s="11">
        <v>45711</v>
      </c>
      <c r="C79" s="11">
        <v>45714</v>
      </c>
      <c r="D79" s="2" t="s">
        <v>180</v>
      </c>
      <c r="E79" s="2" t="s">
        <v>212</v>
      </c>
      <c r="F79" s="2" t="s">
        <v>213</v>
      </c>
      <c r="G79" s="2" t="s">
        <v>214</v>
      </c>
      <c r="H79" s="2" t="s">
        <v>215</v>
      </c>
      <c r="I79" s="2" t="s">
        <v>216</v>
      </c>
      <c r="J79" s="2" t="s">
        <v>217</v>
      </c>
      <c r="K79" s="2" t="s">
        <v>215</v>
      </c>
      <c r="L79" s="2" t="s">
        <v>218</v>
      </c>
      <c r="M79" s="2" t="s">
        <v>219</v>
      </c>
      <c r="N79" s="2" t="s">
        <v>220</v>
      </c>
      <c r="O79" s="11">
        <v>44362</v>
      </c>
      <c r="P79" s="2" t="s">
        <v>707</v>
      </c>
      <c r="Q79" s="2" t="s">
        <v>708</v>
      </c>
      <c r="R79" s="2" t="s">
        <v>244</v>
      </c>
      <c r="S79" s="2" t="s">
        <v>519</v>
      </c>
      <c r="T79" s="2" t="s">
        <v>709</v>
      </c>
      <c r="U79" s="2" t="s">
        <v>247</v>
      </c>
      <c r="V79" s="13">
        <v>140</v>
      </c>
      <c r="W79" s="13">
        <v>79</v>
      </c>
      <c r="X79" s="2">
        <v>6.5</v>
      </c>
      <c r="Y79" s="2" t="s">
        <v>461</v>
      </c>
      <c r="Z79" s="2" t="s">
        <v>710</v>
      </c>
      <c r="AA79" s="2">
        <v>12</v>
      </c>
      <c r="AB79" s="2">
        <v>3</v>
      </c>
      <c r="AC79" s="2">
        <v>3</v>
      </c>
      <c r="AD79" s="2">
        <v>1</v>
      </c>
      <c r="AE79" s="17">
        <f>Table1[[#This Row],[Discount%]]/100</f>
        <v>0</v>
      </c>
      <c r="AF79" s="2">
        <v>0</v>
      </c>
      <c r="AG79" s="17">
        <f>Table1[[#This Row],[Tax%]]/100</f>
        <v>0.06</v>
      </c>
      <c r="AH79" s="2">
        <v>6</v>
      </c>
      <c r="AI79" s="23">
        <v>15</v>
      </c>
      <c r="AJ79" s="2" t="s">
        <v>366</v>
      </c>
      <c r="AK79" s="2" t="s">
        <v>199</v>
      </c>
      <c r="AL79" s="2" t="s">
        <v>270</v>
      </c>
      <c r="AM79" s="2" t="s">
        <v>271</v>
      </c>
      <c r="AN79" s="2" t="s">
        <v>952</v>
      </c>
      <c r="AO79" s="2" t="s">
        <v>203</v>
      </c>
      <c r="AP79" s="2" t="s">
        <v>880</v>
      </c>
      <c r="AQ79" s="25">
        <v>0</v>
      </c>
      <c r="AR79" s="25">
        <f>IFERROR((Table1[[#This Row],[Column7]]-Table1[[#This Row],[Column8]])/Table1[[#This Row],[Column7]], 0)</f>
        <v>-4.2666666666666666</v>
      </c>
      <c r="AS79" s="2">
        <v>43.57</v>
      </c>
      <c r="AT79" s="21">
        <f>Table1[[#This Row],[Quantity]] * Table1[[#This Row],[CostPrice]]</f>
        <v>79</v>
      </c>
      <c r="AU79" s="2">
        <v>79</v>
      </c>
      <c r="AV79" s="13">
        <f>Table1[[#This Row],[Quantity]] * Table1[[#This Row],[UnitPrice]]</f>
        <v>140</v>
      </c>
      <c r="AW79" s="2">
        <v>140</v>
      </c>
      <c r="AX79" s="21">
        <f>Table1[[#This Row],[Column3]] * (Table1[[#This Row],[Column1]]/100)</f>
        <v>0</v>
      </c>
      <c r="AY79" s="2">
        <v>0</v>
      </c>
      <c r="AZ79" s="27">
        <f>Table1[[#This Row],[Column3]] * Table1[[#This Row],[Column4]]</f>
        <v>0</v>
      </c>
      <c r="BA79" s="2">
        <v>140</v>
      </c>
      <c r="BB79" s="15">
        <f>Table1[[#This Row],[Column5]] * (Table1[[#This Row],[Column2]]/100)</f>
        <v>0</v>
      </c>
      <c r="BC79" s="2">
        <v>8.4</v>
      </c>
      <c r="BD79" s="19">
        <f>Table1[[#This Row],[Column5]] + Table1[[#This Row],[Column6]] + Table1[[#This Row],[ShippingCost]]</f>
        <v>15</v>
      </c>
      <c r="BE79" s="2">
        <v>148.4</v>
      </c>
      <c r="BF79" s="2" t="s">
        <v>180</v>
      </c>
      <c r="BG79" s="2">
        <f>Table1[[#This Row],[DeliveryDate]]-Table1[[#This Row],[OrderDate]]</f>
        <v>3</v>
      </c>
      <c r="BH79" s="2">
        <v>3</v>
      </c>
      <c r="BI79" s="2" t="str">
        <f>IF(OR(Table1[[#This Row],[CustomerTier]]="Platinum", Table1[[#This Row],[Column7]]&gt;1000), "Yes", "No")</f>
        <v>No</v>
      </c>
      <c r="BJ79" s="2" t="s">
        <v>205</v>
      </c>
      <c r="BK79" s="2" t="str">
        <f>IF(Table1[[#This Row],[Quantity]]&gt;=10, "Yes", "No")</f>
        <v>No</v>
      </c>
      <c r="BL79" s="2" t="s">
        <v>205</v>
      </c>
      <c r="BM79" s="2">
        <f>IF(Table1[[#This Row],[Column12]]="Yes", 5%, 0)</f>
        <v>0</v>
      </c>
      <c r="BN79" s="2">
        <v>0</v>
      </c>
      <c r="BO79" s="2"/>
      <c r="BP79" s="2"/>
      <c r="BQ79" s="2" t="s">
        <v>254</v>
      </c>
      <c r="BR79" s="2" t="s">
        <v>209</v>
      </c>
      <c r="BS79" s="3" t="s">
        <v>210</v>
      </c>
    </row>
    <row r="80" spans="1:71" x14ac:dyDescent="0.25">
      <c r="A80" s="1" t="s">
        <v>711</v>
      </c>
      <c r="B80" s="11">
        <v>45711</v>
      </c>
      <c r="C80" s="11">
        <v>45716</v>
      </c>
      <c r="D80" s="2" t="s">
        <v>180</v>
      </c>
      <c r="E80" s="2" t="s">
        <v>181</v>
      </c>
      <c r="F80" s="2" t="s">
        <v>257</v>
      </c>
      <c r="G80" s="2" t="s">
        <v>258</v>
      </c>
      <c r="H80" s="2" t="s">
        <v>184</v>
      </c>
      <c r="I80" s="2" t="s">
        <v>259</v>
      </c>
      <c r="J80" s="2" t="s">
        <v>260</v>
      </c>
      <c r="K80" s="2" t="s">
        <v>184</v>
      </c>
      <c r="L80" s="2" t="s">
        <v>218</v>
      </c>
      <c r="M80" s="2" t="s">
        <v>261</v>
      </c>
      <c r="N80" s="2" t="s">
        <v>262</v>
      </c>
      <c r="O80" s="11">
        <v>44140</v>
      </c>
      <c r="P80" s="2" t="s">
        <v>712</v>
      </c>
      <c r="Q80" s="2" t="s">
        <v>713</v>
      </c>
      <c r="R80" s="2" t="s">
        <v>192</v>
      </c>
      <c r="S80" s="2" t="s">
        <v>193</v>
      </c>
      <c r="T80" s="2" t="s">
        <v>364</v>
      </c>
      <c r="U80" s="2" t="s">
        <v>365</v>
      </c>
      <c r="V80" s="13">
        <v>75</v>
      </c>
      <c r="W80" s="13">
        <v>41</v>
      </c>
      <c r="X80" s="2">
        <v>0.2</v>
      </c>
      <c r="Y80" s="2" t="s">
        <v>288</v>
      </c>
      <c r="Z80" s="2" t="s">
        <v>880</v>
      </c>
      <c r="AA80" s="2">
        <v>22</v>
      </c>
      <c r="AB80" s="2">
        <v>5</v>
      </c>
      <c r="AC80" s="2">
        <v>2</v>
      </c>
      <c r="AD80" s="2">
        <v>1</v>
      </c>
      <c r="AE80" s="17">
        <f>Table1[[#This Row],[Discount%]]/100</f>
        <v>0</v>
      </c>
      <c r="AF80" s="2">
        <v>0</v>
      </c>
      <c r="AG80" s="17">
        <f>Table1[[#This Row],[Tax%]]/100</f>
        <v>0.06</v>
      </c>
      <c r="AH80" s="2">
        <v>6</v>
      </c>
      <c r="AI80" s="23">
        <v>4</v>
      </c>
      <c r="AJ80" s="2" t="s">
        <v>198</v>
      </c>
      <c r="AK80" s="2" t="s">
        <v>230</v>
      </c>
      <c r="AL80" s="2" t="s">
        <v>307</v>
      </c>
      <c r="AM80" s="2" t="s">
        <v>196</v>
      </c>
      <c r="AN80" s="2" t="s">
        <v>953</v>
      </c>
      <c r="AO80" s="2" t="s">
        <v>203</v>
      </c>
      <c r="AP80" s="2" t="s">
        <v>880</v>
      </c>
      <c r="AQ80" s="25">
        <v>0</v>
      </c>
      <c r="AR80" s="25">
        <f>IFERROR((Table1[[#This Row],[Column7]]-Table1[[#This Row],[Column8]])/Table1[[#This Row],[Column7]], 0)</f>
        <v>-9.25</v>
      </c>
      <c r="AS80" s="2">
        <v>45.33</v>
      </c>
      <c r="AT80" s="21">
        <f>Table1[[#This Row],[Quantity]] * Table1[[#This Row],[CostPrice]]</f>
        <v>41</v>
      </c>
      <c r="AU80" s="2">
        <v>41</v>
      </c>
      <c r="AV80" s="13">
        <f>Table1[[#This Row],[Quantity]] * Table1[[#This Row],[UnitPrice]]</f>
        <v>75</v>
      </c>
      <c r="AW80" s="2">
        <v>75</v>
      </c>
      <c r="AX80" s="21">
        <f>Table1[[#This Row],[Column3]] * (Table1[[#This Row],[Column1]]/100)</f>
        <v>0</v>
      </c>
      <c r="AY80" s="2">
        <v>0</v>
      </c>
      <c r="AZ80" s="27">
        <f>Table1[[#This Row],[Column3]] * Table1[[#This Row],[Column4]]</f>
        <v>0</v>
      </c>
      <c r="BA80" s="2">
        <v>75</v>
      </c>
      <c r="BB80" s="15">
        <f>Table1[[#This Row],[Column5]] * (Table1[[#This Row],[Column2]]/100)</f>
        <v>0</v>
      </c>
      <c r="BC80" s="2">
        <v>4.5</v>
      </c>
      <c r="BD80" s="19">
        <f>Table1[[#This Row],[Column5]] + Table1[[#This Row],[Column6]] + Table1[[#This Row],[ShippingCost]]</f>
        <v>4</v>
      </c>
      <c r="BE80" s="2">
        <v>79.5</v>
      </c>
      <c r="BF80" s="2" t="s">
        <v>180</v>
      </c>
      <c r="BG80" s="2">
        <f>Table1[[#This Row],[DeliveryDate]]-Table1[[#This Row],[OrderDate]]</f>
        <v>5</v>
      </c>
      <c r="BH80" s="2">
        <v>5</v>
      </c>
      <c r="BI80" s="2" t="str">
        <f>IF(OR(Table1[[#This Row],[CustomerTier]]="Platinum", Table1[[#This Row],[Column7]]&gt;1000), "Yes", "No")</f>
        <v>No</v>
      </c>
      <c r="BJ80" s="2" t="s">
        <v>205</v>
      </c>
      <c r="BK80" s="2" t="str">
        <f>IF(Table1[[#This Row],[Quantity]]&gt;=10, "Yes", "No")</f>
        <v>No</v>
      </c>
      <c r="BL80" s="2" t="s">
        <v>205</v>
      </c>
      <c r="BM80" s="2">
        <f>IF(Table1[[#This Row],[Column12]]="Yes", 5%, 0)</f>
        <v>0</v>
      </c>
      <c r="BN80" s="2">
        <v>0</v>
      </c>
      <c r="BO80" s="2" t="s">
        <v>206</v>
      </c>
      <c r="BP80" s="2" t="s">
        <v>207</v>
      </c>
      <c r="BQ80" s="2" t="s">
        <v>208</v>
      </c>
      <c r="BR80" s="2" t="s">
        <v>209</v>
      </c>
      <c r="BS80" s="3" t="s">
        <v>210</v>
      </c>
    </row>
    <row r="81" spans="1:71" x14ac:dyDescent="0.25">
      <c r="A81" s="1" t="s">
        <v>714</v>
      </c>
      <c r="B81" s="11">
        <v>45712</v>
      </c>
      <c r="C81" s="11">
        <v>45715</v>
      </c>
      <c r="D81" s="2" t="s">
        <v>180</v>
      </c>
      <c r="E81" s="2" t="s">
        <v>212</v>
      </c>
      <c r="F81" s="2" t="s">
        <v>275</v>
      </c>
      <c r="G81" s="2" t="s">
        <v>276</v>
      </c>
      <c r="H81" s="2" t="s">
        <v>277</v>
      </c>
      <c r="I81" s="2" t="s">
        <v>278</v>
      </c>
      <c r="J81" s="2" t="s">
        <v>279</v>
      </c>
      <c r="K81" s="2" t="s">
        <v>277</v>
      </c>
      <c r="L81" s="2" t="s">
        <v>187</v>
      </c>
      <c r="M81" s="2" t="s">
        <v>280</v>
      </c>
      <c r="N81" s="2" t="s">
        <v>281</v>
      </c>
      <c r="O81" s="11">
        <v>43508</v>
      </c>
      <c r="P81" s="2" t="s">
        <v>715</v>
      </c>
      <c r="Q81" s="2" t="s">
        <v>716</v>
      </c>
      <c r="R81" s="2" t="s">
        <v>284</v>
      </c>
      <c r="S81" s="2" t="s">
        <v>717</v>
      </c>
      <c r="T81" s="2" t="s">
        <v>430</v>
      </c>
      <c r="U81" s="2" t="s">
        <v>431</v>
      </c>
      <c r="V81" s="13">
        <v>200</v>
      </c>
      <c r="W81" s="13">
        <v>116</v>
      </c>
      <c r="X81" s="2">
        <v>15</v>
      </c>
      <c r="Y81" s="2" t="s">
        <v>432</v>
      </c>
      <c r="Z81" s="2" t="s">
        <v>880</v>
      </c>
      <c r="AA81" s="2">
        <v>10</v>
      </c>
      <c r="AB81" s="2">
        <v>2</v>
      </c>
      <c r="AC81" s="2">
        <v>4</v>
      </c>
      <c r="AD81" s="2">
        <v>1</v>
      </c>
      <c r="AE81" s="17">
        <f>Table1[[#This Row],[Discount%]]/100</f>
        <v>0.1</v>
      </c>
      <c r="AF81" s="2">
        <v>10</v>
      </c>
      <c r="AG81" s="17">
        <f>Table1[[#This Row],[Tax%]]/100</f>
        <v>7.0000000000000007E-2</v>
      </c>
      <c r="AH81" s="2">
        <v>7</v>
      </c>
      <c r="AI81" s="23">
        <v>20</v>
      </c>
      <c r="AJ81" s="2" t="s">
        <v>289</v>
      </c>
      <c r="AK81" s="2" t="s">
        <v>199</v>
      </c>
      <c r="AL81" s="2" t="s">
        <v>290</v>
      </c>
      <c r="AM81" s="2" t="s">
        <v>201</v>
      </c>
      <c r="AN81" s="2" t="s">
        <v>954</v>
      </c>
      <c r="AO81" s="2" t="s">
        <v>203</v>
      </c>
      <c r="AP81" s="2" t="s">
        <v>880</v>
      </c>
      <c r="AQ81" s="25">
        <v>0</v>
      </c>
      <c r="AR81" s="25">
        <f>IFERROR((Table1[[#This Row],[Column7]]-Table1[[#This Row],[Column8]])/Table1[[#This Row],[Column7]], 0)</f>
        <v>-0.93243153195175588</v>
      </c>
      <c r="AS81" s="2">
        <v>42</v>
      </c>
      <c r="AT81" s="21">
        <f>Table1[[#This Row],[Quantity]] * Table1[[#This Row],[CostPrice]]</f>
        <v>116</v>
      </c>
      <c r="AU81" s="2">
        <v>116</v>
      </c>
      <c r="AV81" s="13">
        <f>Table1[[#This Row],[Quantity]] * Table1[[#This Row],[UnitPrice]]</f>
        <v>200</v>
      </c>
      <c r="AW81" s="2">
        <v>200</v>
      </c>
      <c r="AX81" s="21">
        <f>Table1[[#This Row],[Column3]] * (Table1[[#This Row],[Column1]]/100)</f>
        <v>0.2</v>
      </c>
      <c r="AY81" s="2">
        <v>20</v>
      </c>
      <c r="AZ81" s="27">
        <f>Table1[[#This Row],[Column3]] * Table1[[#This Row],[Column4]]</f>
        <v>40</v>
      </c>
      <c r="BA81" s="2">
        <v>180</v>
      </c>
      <c r="BB81" s="15">
        <f>Table1[[#This Row],[Column5]] * (Table1[[#This Row],[Column2]]/100)</f>
        <v>2.8000000000000004E-2</v>
      </c>
      <c r="BC81" s="2">
        <v>12.6</v>
      </c>
      <c r="BD81" s="19">
        <f>Table1[[#This Row],[Column5]] + Table1[[#This Row],[Column6]] + Table1[[#This Row],[ShippingCost]]</f>
        <v>60.027999999999999</v>
      </c>
      <c r="BE81" s="2">
        <v>192.6</v>
      </c>
      <c r="BF81" s="2" t="s">
        <v>180</v>
      </c>
      <c r="BG81" s="2">
        <f>Table1[[#This Row],[DeliveryDate]]-Table1[[#This Row],[OrderDate]]</f>
        <v>3</v>
      </c>
      <c r="BH81" s="2">
        <v>3</v>
      </c>
      <c r="BI81" s="2" t="str">
        <f>IF(OR(Table1[[#This Row],[CustomerTier]]="Platinum", Table1[[#This Row],[Column7]]&gt;1000), "Yes", "No")</f>
        <v>Yes</v>
      </c>
      <c r="BJ81" s="2" t="s">
        <v>204</v>
      </c>
      <c r="BK81" s="2" t="str">
        <f>IF(Table1[[#This Row],[Quantity]]&gt;=10, "Yes", "No")</f>
        <v>No</v>
      </c>
      <c r="BL81" s="2" t="s">
        <v>205</v>
      </c>
      <c r="BM81" s="2">
        <f>IF(Table1[[#This Row],[Column12]]="Yes", 5%, 0)</f>
        <v>0</v>
      </c>
      <c r="BN81" s="2">
        <v>0</v>
      </c>
      <c r="BO81" s="2" t="s">
        <v>291</v>
      </c>
      <c r="BP81" s="2" t="s">
        <v>292</v>
      </c>
      <c r="BQ81" s="2" t="s">
        <v>293</v>
      </c>
      <c r="BR81" s="2" t="s">
        <v>209</v>
      </c>
      <c r="BS81" s="3" t="s">
        <v>210</v>
      </c>
    </row>
    <row r="82" spans="1:71" x14ac:dyDescent="0.25">
      <c r="A82" s="1" t="s">
        <v>718</v>
      </c>
      <c r="B82" s="11">
        <v>45712</v>
      </c>
      <c r="C82" s="11">
        <v>45717</v>
      </c>
      <c r="D82" s="2" t="s">
        <v>371</v>
      </c>
      <c r="E82" s="2" t="s">
        <v>181</v>
      </c>
      <c r="F82" s="2" t="s">
        <v>236</v>
      </c>
      <c r="G82" s="2" t="s">
        <v>237</v>
      </c>
      <c r="H82" s="2" t="s">
        <v>215</v>
      </c>
      <c r="I82" s="2" t="s">
        <v>238</v>
      </c>
      <c r="J82" s="2" t="s">
        <v>239</v>
      </c>
      <c r="K82" s="2" t="s">
        <v>215</v>
      </c>
      <c r="L82" s="2" t="s">
        <v>218</v>
      </c>
      <c r="M82" s="2" t="s">
        <v>240</v>
      </c>
      <c r="N82" s="2" t="s">
        <v>241</v>
      </c>
      <c r="O82" s="11">
        <v>44814</v>
      </c>
      <c r="P82" s="2" t="s">
        <v>719</v>
      </c>
      <c r="Q82" s="2" t="s">
        <v>720</v>
      </c>
      <c r="R82" s="2" t="s">
        <v>586</v>
      </c>
      <c r="S82" s="2" t="s">
        <v>587</v>
      </c>
      <c r="T82" s="2" t="s">
        <v>588</v>
      </c>
      <c r="U82" s="2" t="s">
        <v>388</v>
      </c>
      <c r="V82" s="13">
        <v>55</v>
      </c>
      <c r="W82" s="13">
        <v>30</v>
      </c>
      <c r="X82" s="2">
        <v>0.05</v>
      </c>
      <c r="Y82" s="2" t="s">
        <v>196</v>
      </c>
      <c r="Z82" s="2" t="s">
        <v>880</v>
      </c>
      <c r="AA82" s="2">
        <v>35</v>
      </c>
      <c r="AB82" s="2">
        <v>8</v>
      </c>
      <c r="AC82" s="2">
        <v>1</v>
      </c>
      <c r="AD82" s="2">
        <v>2</v>
      </c>
      <c r="AE82" s="17">
        <f>Table1[[#This Row],[Discount%]]/100</f>
        <v>0</v>
      </c>
      <c r="AF82" s="2">
        <v>0</v>
      </c>
      <c r="AG82" s="17">
        <f>Table1[[#This Row],[Tax%]]/100</f>
        <v>0.06</v>
      </c>
      <c r="AH82" s="2">
        <v>6</v>
      </c>
      <c r="AI82" s="23">
        <v>2</v>
      </c>
      <c r="AJ82" s="2" t="s">
        <v>229</v>
      </c>
      <c r="AK82" s="2" t="s">
        <v>230</v>
      </c>
      <c r="AL82" s="2" t="s">
        <v>250</v>
      </c>
      <c r="AM82" s="2" t="s">
        <v>196</v>
      </c>
      <c r="AN82" s="2" t="s">
        <v>955</v>
      </c>
      <c r="AO82" s="2" t="s">
        <v>203</v>
      </c>
      <c r="AP82" s="2" t="s">
        <v>880</v>
      </c>
      <c r="AQ82" s="25">
        <v>0</v>
      </c>
      <c r="AR82" s="25">
        <f>IFERROR((Table1[[#This Row],[Column7]]-Table1[[#This Row],[Column8]])/Table1[[#This Row],[Column7]], 0)</f>
        <v>-29</v>
      </c>
      <c r="AS82" s="2">
        <v>45.45</v>
      </c>
      <c r="AT82" s="21">
        <f>Table1[[#This Row],[Quantity]] * Table1[[#This Row],[CostPrice]]</f>
        <v>60</v>
      </c>
      <c r="AU82" s="2">
        <v>60</v>
      </c>
      <c r="AV82" s="13">
        <f>Table1[[#This Row],[Quantity]] * Table1[[#This Row],[UnitPrice]]</f>
        <v>110</v>
      </c>
      <c r="AW82" s="2">
        <v>110</v>
      </c>
      <c r="AX82" s="21">
        <f>Table1[[#This Row],[Column3]] * (Table1[[#This Row],[Column1]]/100)</f>
        <v>0</v>
      </c>
      <c r="AY82" s="2">
        <v>0</v>
      </c>
      <c r="AZ82" s="27">
        <f>Table1[[#This Row],[Column3]] * Table1[[#This Row],[Column4]]</f>
        <v>0</v>
      </c>
      <c r="BA82" s="2">
        <v>110</v>
      </c>
      <c r="BB82" s="15">
        <f>Table1[[#This Row],[Column5]] * (Table1[[#This Row],[Column2]]/100)</f>
        <v>0</v>
      </c>
      <c r="BC82" s="2">
        <v>6.6</v>
      </c>
      <c r="BD82" s="19">
        <f>Table1[[#This Row],[Column5]] + Table1[[#This Row],[Column6]] + Table1[[#This Row],[ShippingCost]]</f>
        <v>2</v>
      </c>
      <c r="BE82" s="2">
        <v>116.6</v>
      </c>
      <c r="BF82" s="2" t="s">
        <v>371</v>
      </c>
      <c r="BG82" s="2">
        <f>Table1[[#This Row],[DeliveryDate]]-Table1[[#This Row],[OrderDate]]</f>
        <v>5</v>
      </c>
      <c r="BH82" s="2">
        <v>5</v>
      </c>
      <c r="BI82" s="2" t="str">
        <f>IF(OR(Table1[[#This Row],[CustomerTier]]="Platinum", Table1[[#This Row],[Column7]]&gt;1000), "Yes", "No")</f>
        <v>No</v>
      </c>
      <c r="BJ82" s="2" t="s">
        <v>205</v>
      </c>
      <c r="BK82" s="2" t="str">
        <f>IF(Table1[[#This Row],[Quantity]]&gt;=10, "Yes", "No")</f>
        <v>No</v>
      </c>
      <c r="BL82" s="2" t="s">
        <v>205</v>
      </c>
      <c r="BM82" s="2">
        <f>IF(Table1[[#This Row],[Column12]]="Yes", 5%, 0)</f>
        <v>0</v>
      </c>
      <c r="BN82" s="2">
        <v>0</v>
      </c>
      <c r="BO82" s="2"/>
      <c r="BP82" s="2"/>
      <c r="BQ82" s="2" t="s">
        <v>539</v>
      </c>
      <c r="BR82" s="2" t="s">
        <v>209</v>
      </c>
      <c r="BS82" s="3" t="s">
        <v>210</v>
      </c>
    </row>
    <row r="83" spans="1:71" x14ac:dyDescent="0.25">
      <c r="A83" s="1" t="s">
        <v>721</v>
      </c>
      <c r="B83" s="11">
        <v>45713</v>
      </c>
      <c r="C83" s="11">
        <v>45716</v>
      </c>
      <c r="D83" s="2" t="s">
        <v>180</v>
      </c>
      <c r="E83" s="2" t="s">
        <v>212</v>
      </c>
      <c r="F83" s="2" t="s">
        <v>182</v>
      </c>
      <c r="G83" s="2" t="s">
        <v>183</v>
      </c>
      <c r="H83" s="2" t="s">
        <v>184</v>
      </c>
      <c r="I83" s="2" t="s">
        <v>185</v>
      </c>
      <c r="J83" s="2" t="s">
        <v>186</v>
      </c>
      <c r="K83" s="2" t="s">
        <v>184</v>
      </c>
      <c r="L83" s="2" t="s">
        <v>187</v>
      </c>
      <c r="M83" s="2" t="s">
        <v>188</v>
      </c>
      <c r="N83" s="2" t="s">
        <v>189</v>
      </c>
      <c r="O83" s="11">
        <v>43891</v>
      </c>
      <c r="P83" s="2" t="s">
        <v>722</v>
      </c>
      <c r="Q83" s="2" t="s">
        <v>723</v>
      </c>
      <c r="R83" s="2" t="s">
        <v>223</v>
      </c>
      <c r="S83" s="2" t="s">
        <v>345</v>
      </c>
      <c r="T83" s="2" t="s">
        <v>225</v>
      </c>
      <c r="U83" s="2" t="s">
        <v>346</v>
      </c>
      <c r="V83" s="13">
        <v>85</v>
      </c>
      <c r="W83" s="13">
        <v>46</v>
      </c>
      <c r="X83" s="2">
        <v>0.8</v>
      </c>
      <c r="Y83" s="2" t="s">
        <v>227</v>
      </c>
      <c r="Z83" s="2" t="s">
        <v>347</v>
      </c>
      <c r="AA83" s="2">
        <v>30</v>
      </c>
      <c r="AB83" s="2">
        <v>7</v>
      </c>
      <c r="AC83" s="2">
        <v>2</v>
      </c>
      <c r="AD83" s="2">
        <v>1</v>
      </c>
      <c r="AE83" s="17">
        <f>Table1[[#This Row],[Discount%]]/100</f>
        <v>0.05</v>
      </c>
      <c r="AF83" s="2">
        <v>5</v>
      </c>
      <c r="AG83" s="17">
        <f>Table1[[#This Row],[Tax%]]/100</f>
        <v>0.06</v>
      </c>
      <c r="AH83" s="2">
        <v>6</v>
      </c>
      <c r="AI83" s="23">
        <v>5</v>
      </c>
      <c r="AJ83" s="2" t="s">
        <v>249</v>
      </c>
      <c r="AK83" s="2" t="s">
        <v>199</v>
      </c>
      <c r="AL83" s="2" t="s">
        <v>200</v>
      </c>
      <c r="AM83" s="2" t="s">
        <v>201</v>
      </c>
      <c r="AN83" s="2" t="s">
        <v>956</v>
      </c>
      <c r="AO83" s="2" t="s">
        <v>203</v>
      </c>
      <c r="AP83" s="2" t="s">
        <v>880</v>
      </c>
      <c r="AQ83" s="25">
        <v>0</v>
      </c>
      <c r="AR83" s="25">
        <f>IFERROR((Table1[[#This Row],[Column7]]-Table1[[#This Row],[Column8]])/Table1[[#This Row],[Column7]], 0)</f>
        <v>-4.3397301753085662</v>
      </c>
      <c r="AS83" s="2">
        <v>45.88</v>
      </c>
      <c r="AT83" s="21">
        <f>Table1[[#This Row],[Quantity]] * Table1[[#This Row],[CostPrice]]</f>
        <v>46</v>
      </c>
      <c r="AU83" s="2">
        <v>46</v>
      </c>
      <c r="AV83" s="13">
        <f>Table1[[#This Row],[Quantity]] * Table1[[#This Row],[UnitPrice]]</f>
        <v>85</v>
      </c>
      <c r="AW83" s="2">
        <v>85</v>
      </c>
      <c r="AX83" s="21">
        <f>Table1[[#This Row],[Column3]] * (Table1[[#This Row],[Column1]]/100)</f>
        <v>4.2500000000000003E-2</v>
      </c>
      <c r="AY83" s="2">
        <v>4.25</v>
      </c>
      <c r="AZ83" s="27">
        <f>Table1[[#This Row],[Column3]] * Table1[[#This Row],[Column4]]</f>
        <v>3.6125000000000003</v>
      </c>
      <c r="BA83" s="2">
        <v>80.75</v>
      </c>
      <c r="BB83" s="15">
        <f>Table1[[#This Row],[Column5]] * (Table1[[#This Row],[Column2]]/100)</f>
        <v>2.1675000000000002E-3</v>
      </c>
      <c r="BC83" s="2">
        <v>4.8499999999999996</v>
      </c>
      <c r="BD83" s="19">
        <f>Table1[[#This Row],[Column5]] + Table1[[#This Row],[Column6]] + Table1[[#This Row],[ShippingCost]]</f>
        <v>8.6146674999999995</v>
      </c>
      <c r="BE83" s="2">
        <v>85.6</v>
      </c>
      <c r="BF83" s="2" t="s">
        <v>180</v>
      </c>
      <c r="BG83" s="2">
        <f>Table1[[#This Row],[DeliveryDate]]-Table1[[#This Row],[OrderDate]]</f>
        <v>3</v>
      </c>
      <c r="BH83" s="2">
        <v>3</v>
      </c>
      <c r="BI83" s="2" t="str">
        <f>IF(OR(Table1[[#This Row],[CustomerTier]]="Platinum", Table1[[#This Row],[Column7]]&gt;1000), "Yes", "No")</f>
        <v>Yes</v>
      </c>
      <c r="BJ83" s="2" t="s">
        <v>205</v>
      </c>
      <c r="BK83" s="2" t="str">
        <f>IF(Table1[[#This Row],[Quantity]]&gt;=10, "Yes", "No")</f>
        <v>No</v>
      </c>
      <c r="BL83" s="2" t="s">
        <v>205</v>
      </c>
      <c r="BM83" s="2">
        <f>IF(Table1[[#This Row],[Column12]]="Yes", 5%, 0)</f>
        <v>0</v>
      </c>
      <c r="BN83" s="2">
        <v>0</v>
      </c>
      <c r="BO83" s="2" t="s">
        <v>252</v>
      </c>
      <c r="BP83" s="2" t="s">
        <v>253</v>
      </c>
      <c r="BQ83" s="2" t="s">
        <v>234</v>
      </c>
      <c r="BR83" s="2" t="s">
        <v>209</v>
      </c>
      <c r="BS83" s="3" t="s">
        <v>210</v>
      </c>
    </row>
    <row r="84" spans="1:71" x14ac:dyDescent="0.25">
      <c r="A84" s="1" t="s">
        <v>724</v>
      </c>
      <c r="B84" s="11">
        <v>45713</v>
      </c>
      <c r="C84" s="11">
        <v>45718</v>
      </c>
      <c r="D84" s="2" t="s">
        <v>180</v>
      </c>
      <c r="E84" s="2" t="s">
        <v>181</v>
      </c>
      <c r="F84" s="2" t="s">
        <v>295</v>
      </c>
      <c r="G84" s="2" t="s">
        <v>296</v>
      </c>
      <c r="H84" s="2" t="s">
        <v>297</v>
      </c>
      <c r="I84" s="2" t="s">
        <v>298</v>
      </c>
      <c r="J84" s="2" t="s">
        <v>299</v>
      </c>
      <c r="K84" s="2" t="s">
        <v>297</v>
      </c>
      <c r="L84" s="2" t="s">
        <v>187</v>
      </c>
      <c r="M84" s="2" t="s">
        <v>300</v>
      </c>
      <c r="N84" s="2" t="s">
        <v>301</v>
      </c>
      <c r="O84" s="11">
        <v>43332</v>
      </c>
      <c r="P84" s="2" t="s">
        <v>725</v>
      </c>
      <c r="Q84" s="2" t="s">
        <v>726</v>
      </c>
      <c r="R84" s="2" t="s">
        <v>192</v>
      </c>
      <c r="S84" s="2" t="s">
        <v>727</v>
      </c>
      <c r="T84" s="2" t="s">
        <v>728</v>
      </c>
      <c r="U84" s="2" t="s">
        <v>365</v>
      </c>
      <c r="V84" s="13">
        <v>550</v>
      </c>
      <c r="W84" s="13">
        <v>330</v>
      </c>
      <c r="X84" s="2">
        <v>1.2</v>
      </c>
      <c r="Y84" s="2" t="s">
        <v>288</v>
      </c>
      <c r="Z84" s="2" t="s">
        <v>880</v>
      </c>
      <c r="AA84" s="2">
        <v>12</v>
      </c>
      <c r="AB84" s="2">
        <v>3</v>
      </c>
      <c r="AC84" s="2">
        <v>3</v>
      </c>
      <c r="AD84" s="2">
        <v>1</v>
      </c>
      <c r="AE84" s="17">
        <f>Table1[[#This Row],[Discount%]]/100</f>
        <v>0</v>
      </c>
      <c r="AF84" s="2">
        <v>0</v>
      </c>
      <c r="AG84" s="17">
        <f>Table1[[#This Row],[Tax%]]/100</f>
        <v>7.0000000000000007E-2</v>
      </c>
      <c r="AH84" s="2">
        <v>7</v>
      </c>
      <c r="AI84" s="23">
        <v>10</v>
      </c>
      <c r="AJ84" s="2" t="s">
        <v>198</v>
      </c>
      <c r="AK84" s="2" t="s">
        <v>199</v>
      </c>
      <c r="AL84" s="2" t="s">
        <v>367</v>
      </c>
      <c r="AM84" s="2" t="s">
        <v>271</v>
      </c>
      <c r="AN84" s="2" t="s">
        <v>957</v>
      </c>
      <c r="AO84" s="2" t="s">
        <v>203</v>
      </c>
      <c r="AP84" s="2" t="s">
        <v>880</v>
      </c>
      <c r="AQ84" s="25">
        <v>0</v>
      </c>
      <c r="AR84" s="25">
        <f>IFERROR((Table1[[#This Row],[Column7]]-Table1[[#This Row],[Column8]])/Table1[[#This Row],[Column7]], 0)</f>
        <v>-32</v>
      </c>
      <c r="AS84" s="2">
        <v>40</v>
      </c>
      <c r="AT84" s="21">
        <f>Table1[[#This Row],[Quantity]] * Table1[[#This Row],[CostPrice]]</f>
        <v>330</v>
      </c>
      <c r="AU84" s="2">
        <v>330</v>
      </c>
      <c r="AV84" s="13">
        <f>Table1[[#This Row],[Quantity]] * Table1[[#This Row],[UnitPrice]]</f>
        <v>550</v>
      </c>
      <c r="AW84" s="2">
        <v>550</v>
      </c>
      <c r="AX84" s="21">
        <f>Table1[[#This Row],[Column3]] * (Table1[[#This Row],[Column1]]/100)</f>
        <v>0</v>
      </c>
      <c r="AY84" s="2">
        <v>0</v>
      </c>
      <c r="AZ84" s="27">
        <f>Table1[[#This Row],[Column3]] * Table1[[#This Row],[Column4]]</f>
        <v>0</v>
      </c>
      <c r="BA84" s="2">
        <v>550</v>
      </c>
      <c r="BB84" s="15">
        <f>Table1[[#This Row],[Column5]] * (Table1[[#This Row],[Column2]]/100)</f>
        <v>0</v>
      </c>
      <c r="BC84" s="2">
        <v>38.5</v>
      </c>
      <c r="BD84" s="19">
        <f>Table1[[#This Row],[Column5]] + Table1[[#This Row],[Column6]] + Table1[[#This Row],[ShippingCost]]</f>
        <v>10</v>
      </c>
      <c r="BE84" s="2">
        <v>588.5</v>
      </c>
      <c r="BF84" s="2" t="s">
        <v>180</v>
      </c>
      <c r="BG84" s="2">
        <f>Table1[[#This Row],[DeliveryDate]]-Table1[[#This Row],[OrderDate]]</f>
        <v>5</v>
      </c>
      <c r="BH84" s="2">
        <v>5</v>
      </c>
      <c r="BI84" s="2" t="str">
        <f>IF(OR(Table1[[#This Row],[CustomerTier]]="Platinum", Table1[[#This Row],[Column7]]&gt;1000), "Yes", "No")</f>
        <v>No</v>
      </c>
      <c r="BJ84" s="2" t="s">
        <v>205</v>
      </c>
      <c r="BK84" s="2" t="str">
        <f>IF(Table1[[#This Row],[Quantity]]&gt;=10, "Yes", "No")</f>
        <v>No</v>
      </c>
      <c r="BL84" s="2" t="s">
        <v>205</v>
      </c>
      <c r="BM84" s="2">
        <f>IF(Table1[[#This Row],[Column12]]="Yes", 5%, 0)</f>
        <v>0</v>
      </c>
      <c r="BN84" s="2">
        <v>0</v>
      </c>
      <c r="BO84" s="2" t="s">
        <v>352</v>
      </c>
      <c r="BP84" s="2" t="s">
        <v>353</v>
      </c>
      <c r="BQ84" s="2" t="s">
        <v>208</v>
      </c>
      <c r="BR84" s="2" t="s">
        <v>209</v>
      </c>
      <c r="BS84" s="3" t="s">
        <v>210</v>
      </c>
    </row>
    <row r="85" spans="1:71" x14ac:dyDescent="0.25">
      <c r="A85" s="1" t="s">
        <v>729</v>
      </c>
      <c r="B85" s="11">
        <v>45714</v>
      </c>
      <c r="C85" s="11">
        <v>45717</v>
      </c>
      <c r="D85" s="2" t="s">
        <v>180</v>
      </c>
      <c r="E85" s="2" t="s">
        <v>212</v>
      </c>
      <c r="F85" s="2" t="s">
        <v>311</v>
      </c>
      <c r="G85" s="2" t="s">
        <v>312</v>
      </c>
      <c r="H85" s="2" t="s">
        <v>184</v>
      </c>
      <c r="I85" s="2" t="s">
        <v>313</v>
      </c>
      <c r="J85" s="2" t="s">
        <v>314</v>
      </c>
      <c r="K85" s="2" t="s">
        <v>184</v>
      </c>
      <c r="L85" s="2" t="s">
        <v>218</v>
      </c>
      <c r="M85" s="2" t="s">
        <v>315</v>
      </c>
      <c r="N85" s="2" t="s">
        <v>316</v>
      </c>
      <c r="O85" s="11">
        <v>44745</v>
      </c>
      <c r="P85" s="2" t="s">
        <v>730</v>
      </c>
      <c r="Q85" s="2" t="s">
        <v>731</v>
      </c>
      <c r="R85" s="2" t="s">
        <v>244</v>
      </c>
      <c r="S85" s="2" t="s">
        <v>245</v>
      </c>
      <c r="T85" s="2" t="s">
        <v>732</v>
      </c>
      <c r="U85" s="2" t="s">
        <v>247</v>
      </c>
      <c r="V85" s="13">
        <v>45</v>
      </c>
      <c r="W85" s="13">
        <v>24</v>
      </c>
      <c r="X85" s="2">
        <v>2.5</v>
      </c>
      <c r="Y85" s="2" t="s">
        <v>288</v>
      </c>
      <c r="Z85" s="2" t="s">
        <v>880</v>
      </c>
      <c r="AA85" s="2">
        <v>18</v>
      </c>
      <c r="AB85" s="2">
        <v>4</v>
      </c>
      <c r="AC85" s="2">
        <v>2</v>
      </c>
      <c r="AD85" s="2">
        <v>2</v>
      </c>
      <c r="AE85" s="17">
        <f>Table1[[#This Row],[Discount%]]/100</f>
        <v>0</v>
      </c>
      <c r="AF85" s="2">
        <v>0</v>
      </c>
      <c r="AG85" s="17">
        <f>Table1[[#This Row],[Tax%]]/100</f>
        <v>0.06</v>
      </c>
      <c r="AH85" s="2">
        <v>6</v>
      </c>
      <c r="AI85" s="23">
        <v>6</v>
      </c>
      <c r="AJ85" s="2" t="s">
        <v>366</v>
      </c>
      <c r="AK85" s="2" t="s">
        <v>230</v>
      </c>
      <c r="AL85" s="2" t="s">
        <v>231</v>
      </c>
      <c r="AM85" s="2" t="s">
        <v>232</v>
      </c>
      <c r="AN85" s="2" t="s">
        <v>958</v>
      </c>
      <c r="AO85" s="2" t="s">
        <v>203</v>
      </c>
      <c r="AP85" s="2" t="s">
        <v>880</v>
      </c>
      <c r="AQ85" s="25">
        <v>0</v>
      </c>
      <c r="AR85" s="25">
        <f>IFERROR((Table1[[#This Row],[Column7]]-Table1[[#This Row],[Column8]])/Table1[[#This Row],[Column7]], 0)</f>
        <v>-7</v>
      </c>
      <c r="AS85" s="2">
        <v>46.67</v>
      </c>
      <c r="AT85" s="21">
        <f>Table1[[#This Row],[Quantity]] * Table1[[#This Row],[CostPrice]]</f>
        <v>48</v>
      </c>
      <c r="AU85" s="2">
        <v>48</v>
      </c>
      <c r="AV85" s="13">
        <f>Table1[[#This Row],[Quantity]] * Table1[[#This Row],[UnitPrice]]</f>
        <v>90</v>
      </c>
      <c r="AW85" s="2">
        <v>90</v>
      </c>
      <c r="AX85" s="21">
        <f>Table1[[#This Row],[Column3]] * (Table1[[#This Row],[Column1]]/100)</f>
        <v>0</v>
      </c>
      <c r="AY85" s="2">
        <v>0</v>
      </c>
      <c r="AZ85" s="27">
        <f>Table1[[#This Row],[Column3]] * Table1[[#This Row],[Column4]]</f>
        <v>0</v>
      </c>
      <c r="BA85" s="2">
        <v>90</v>
      </c>
      <c r="BB85" s="15">
        <f>Table1[[#This Row],[Column5]] * (Table1[[#This Row],[Column2]]/100)</f>
        <v>0</v>
      </c>
      <c r="BC85" s="2">
        <v>5.4</v>
      </c>
      <c r="BD85" s="19">
        <f>Table1[[#This Row],[Column5]] + Table1[[#This Row],[Column6]] + Table1[[#This Row],[ShippingCost]]</f>
        <v>6</v>
      </c>
      <c r="BE85" s="2">
        <v>95.4</v>
      </c>
      <c r="BF85" s="2" t="s">
        <v>180</v>
      </c>
      <c r="BG85" s="2">
        <f>Table1[[#This Row],[DeliveryDate]]-Table1[[#This Row],[OrderDate]]</f>
        <v>3</v>
      </c>
      <c r="BH85" s="2">
        <v>3</v>
      </c>
      <c r="BI85" s="2" t="str">
        <f>IF(OR(Table1[[#This Row],[CustomerTier]]="Platinum", Table1[[#This Row],[Column7]]&gt;1000), "Yes", "No")</f>
        <v>No</v>
      </c>
      <c r="BJ85" s="2" t="s">
        <v>205</v>
      </c>
      <c r="BK85" s="2" t="str">
        <f>IF(Table1[[#This Row],[Quantity]]&gt;=10, "Yes", "No")</f>
        <v>No</v>
      </c>
      <c r="BL85" s="2" t="s">
        <v>205</v>
      </c>
      <c r="BM85" s="2">
        <f>IF(Table1[[#This Row],[Column12]]="Yes", 5%, 0)</f>
        <v>0</v>
      </c>
      <c r="BN85" s="2">
        <v>0</v>
      </c>
      <c r="BO85" s="2"/>
      <c r="BP85" s="2"/>
      <c r="BQ85" s="2" t="s">
        <v>254</v>
      </c>
      <c r="BR85" s="2" t="s">
        <v>209</v>
      </c>
      <c r="BS85" s="3" t="s">
        <v>210</v>
      </c>
    </row>
    <row r="86" spans="1:71" x14ac:dyDescent="0.25">
      <c r="A86" s="1" t="s">
        <v>733</v>
      </c>
      <c r="B86" s="11">
        <v>45714</v>
      </c>
      <c r="C86" s="11">
        <v>45719</v>
      </c>
      <c r="D86" s="2" t="s">
        <v>310</v>
      </c>
      <c r="E86" s="2" t="s">
        <v>181</v>
      </c>
      <c r="F86" s="2" t="s">
        <v>325</v>
      </c>
      <c r="G86" s="2" t="s">
        <v>326</v>
      </c>
      <c r="H86" s="2" t="s">
        <v>215</v>
      </c>
      <c r="I86" s="2" t="s">
        <v>327</v>
      </c>
      <c r="J86" s="2" t="s">
        <v>217</v>
      </c>
      <c r="K86" s="2" t="s">
        <v>215</v>
      </c>
      <c r="L86" s="2" t="s">
        <v>218</v>
      </c>
      <c r="M86" s="2" t="s">
        <v>328</v>
      </c>
      <c r="N86" s="2" t="s">
        <v>329</v>
      </c>
      <c r="O86" s="11">
        <v>44300</v>
      </c>
      <c r="P86" s="2" t="s">
        <v>734</v>
      </c>
      <c r="Q86" s="2" t="s">
        <v>735</v>
      </c>
      <c r="R86" s="2" t="s">
        <v>244</v>
      </c>
      <c r="S86" s="2" t="s">
        <v>667</v>
      </c>
      <c r="T86" s="2" t="s">
        <v>668</v>
      </c>
      <c r="U86" s="2" t="s">
        <v>247</v>
      </c>
      <c r="V86" s="13">
        <v>35</v>
      </c>
      <c r="W86" s="13">
        <v>19</v>
      </c>
      <c r="X86" s="2">
        <v>0.8</v>
      </c>
      <c r="Y86" s="2" t="s">
        <v>382</v>
      </c>
      <c r="Z86" s="2" t="s">
        <v>218</v>
      </c>
      <c r="AA86" s="2">
        <v>45</v>
      </c>
      <c r="AB86" s="2">
        <v>10</v>
      </c>
      <c r="AC86" s="2">
        <v>2</v>
      </c>
      <c r="AD86" s="2">
        <v>2</v>
      </c>
      <c r="AE86" s="17">
        <f>Table1[[#This Row],[Discount%]]/100</f>
        <v>0</v>
      </c>
      <c r="AF86" s="2">
        <v>0</v>
      </c>
      <c r="AG86" s="17">
        <f>Table1[[#This Row],[Tax%]]/100</f>
        <v>0.05</v>
      </c>
      <c r="AH86" s="2">
        <v>5</v>
      </c>
      <c r="AI86" s="23">
        <v>5</v>
      </c>
      <c r="AJ86" s="2" t="s">
        <v>229</v>
      </c>
      <c r="AK86" s="2" t="s">
        <v>199</v>
      </c>
      <c r="AL86" s="2" t="s">
        <v>270</v>
      </c>
      <c r="AM86" s="2" t="s">
        <v>271</v>
      </c>
      <c r="AN86" s="2" t="s">
        <v>959</v>
      </c>
      <c r="AO86" s="2" t="s">
        <v>203</v>
      </c>
      <c r="AP86" s="2" t="s">
        <v>880</v>
      </c>
      <c r="AQ86" s="25">
        <v>0</v>
      </c>
      <c r="AR86" s="25">
        <f>IFERROR((Table1[[#This Row],[Column7]]-Table1[[#This Row],[Column8]])/Table1[[#This Row],[Column7]], 0)</f>
        <v>-6.6</v>
      </c>
      <c r="AS86" s="2">
        <v>45.71</v>
      </c>
      <c r="AT86" s="21">
        <f>Table1[[#This Row],[Quantity]] * Table1[[#This Row],[CostPrice]]</f>
        <v>38</v>
      </c>
      <c r="AU86" s="2">
        <v>38</v>
      </c>
      <c r="AV86" s="13">
        <f>Table1[[#This Row],[Quantity]] * Table1[[#This Row],[UnitPrice]]</f>
        <v>70</v>
      </c>
      <c r="AW86" s="2">
        <v>70</v>
      </c>
      <c r="AX86" s="21">
        <f>Table1[[#This Row],[Column3]] * (Table1[[#This Row],[Column1]]/100)</f>
        <v>0</v>
      </c>
      <c r="AY86" s="2">
        <v>0</v>
      </c>
      <c r="AZ86" s="27">
        <f>Table1[[#This Row],[Column3]] * Table1[[#This Row],[Column4]]</f>
        <v>0</v>
      </c>
      <c r="BA86" s="2">
        <v>70</v>
      </c>
      <c r="BB86" s="15">
        <f>Table1[[#This Row],[Column5]] * (Table1[[#This Row],[Column2]]/100)</f>
        <v>0</v>
      </c>
      <c r="BC86" s="2">
        <v>3.5</v>
      </c>
      <c r="BD86" s="19">
        <f>Table1[[#This Row],[Column5]] + Table1[[#This Row],[Column6]] + Table1[[#This Row],[ShippingCost]]</f>
        <v>5</v>
      </c>
      <c r="BE86" s="2">
        <v>73.5</v>
      </c>
      <c r="BF86" s="2" t="s">
        <v>310</v>
      </c>
      <c r="BG86" s="2">
        <f>Table1[[#This Row],[DeliveryDate]]-Table1[[#This Row],[OrderDate]]</f>
        <v>5</v>
      </c>
      <c r="BH86" s="2">
        <v>5</v>
      </c>
      <c r="BI86" s="2" t="str">
        <f>IF(OR(Table1[[#This Row],[CustomerTier]]="Platinum", Table1[[#This Row],[Column7]]&gt;1000), "Yes", "No")</f>
        <v>No</v>
      </c>
      <c r="BJ86" s="2" t="s">
        <v>205</v>
      </c>
      <c r="BK86" s="2" t="str">
        <f>IF(Table1[[#This Row],[Quantity]]&gt;=10, "Yes", "No")</f>
        <v>No</v>
      </c>
      <c r="BL86" s="2" t="s">
        <v>205</v>
      </c>
      <c r="BM86" s="2">
        <f>IF(Table1[[#This Row],[Column12]]="Yes", 5%, 0)</f>
        <v>0</v>
      </c>
      <c r="BN86" s="2">
        <v>0</v>
      </c>
      <c r="BO86" s="2"/>
      <c r="BP86" s="2"/>
      <c r="BQ86" s="2" t="s">
        <v>254</v>
      </c>
      <c r="BR86" s="2" t="s">
        <v>209</v>
      </c>
      <c r="BS86" s="3" t="s">
        <v>210</v>
      </c>
    </row>
    <row r="87" spans="1:71" x14ac:dyDescent="0.25">
      <c r="A87" s="1" t="s">
        <v>736</v>
      </c>
      <c r="B87" s="11">
        <v>45715</v>
      </c>
      <c r="C87" s="11">
        <v>45718</v>
      </c>
      <c r="D87" s="2" t="s">
        <v>180</v>
      </c>
      <c r="E87" s="2" t="s">
        <v>212</v>
      </c>
      <c r="F87" s="2" t="s">
        <v>337</v>
      </c>
      <c r="G87" s="2" t="s">
        <v>338</v>
      </c>
      <c r="H87" s="2" t="s">
        <v>184</v>
      </c>
      <c r="I87" s="2" t="s">
        <v>339</v>
      </c>
      <c r="J87" s="2" t="s">
        <v>340</v>
      </c>
      <c r="K87" s="2" t="s">
        <v>184</v>
      </c>
      <c r="L87" s="2" t="s">
        <v>218</v>
      </c>
      <c r="M87" s="2" t="s">
        <v>341</v>
      </c>
      <c r="N87" s="2" t="s">
        <v>342</v>
      </c>
      <c r="O87" s="11">
        <v>44982</v>
      </c>
      <c r="P87" s="2" t="s">
        <v>737</v>
      </c>
      <c r="Q87" s="2" t="s">
        <v>738</v>
      </c>
      <c r="R87" s="2" t="s">
        <v>192</v>
      </c>
      <c r="S87" s="2" t="s">
        <v>650</v>
      </c>
      <c r="T87" s="2" t="s">
        <v>739</v>
      </c>
      <c r="U87" s="2" t="s">
        <v>365</v>
      </c>
      <c r="V87" s="13">
        <v>65</v>
      </c>
      <c r="W87" s="13">
        <v>36</v>
      </c>
      <c r="X87" s="2">
        <v>0.1</v>
      </c>
      <c r="Y87" s="2" t="s">
        <v>288</v>
      </c>
      <c r="Z87" s="2" t="s">
        <v>880</v>
      </c>
      <c r="AA87" s="2">
        <v>20</v>
      </c>
      <c r="AB87" s="2">
        <v>5</v>
      </c>
      <c r="AC87" s="2">
        <v>2</v>
      </c>
      <c r="AD87" s="2">
        <v>1</v>
      </c>
      <c r="AE87" s="17">
        <f>Table1[[#This Row],[Discount%]]/100</f>
        <v>0</v>
      </c>
      <c r="AF87" s="2">
        <v>0</v>
      </c>
      <c r="AG87" s="17">
        <f>Table1[[#This Row],[Tax%]]/100</f>
        <v>0.06</v>
      </c>
      <c r="AH87" s="2">
        <v>6</v>
      </c>
      <c r="AI87" s="23">
        <v>4</v>
      </c>
      <c r="AJ87" s="2" t="s">
        <v>249</v>
      </c>
      <c r="AK87" s="2" t="s">
        <v>230</v>
      </c>
      <c r="AL87" s="2" t="s">
        <v>250</v>
      </c>
      <c r="AM87" s="2" t="s">
        <v>196</v>
      </c>
      <c r="AN87" s="2" t="s">
        <v>960</v>
      </c>
      <c r="AO87" s="2" t="s">
        <v>203</v>
      </c>
      <c r="AP87" s="2" t="s">
        <v>880</v>
      </c>
      <c r="AQ87" s="25">
        <v>0</v>
      </c>
      <c r="AR87" s="25">
        <f>IFERROR((Table1[[#This Row],[Column7]]-Table1[[#This Row],[Column8]])/Table1[[#This Row],[Column7]], 0)</f>
        <v>-8</v>
      </c>
      <c r="AS87" s="2">
        <v>44.62</v>
      </c>
      <c r="AT87" s="21">
        <f>Table1[[#This Row],[Quantity]] * Table1[[#This Row],[CostPrice]]</f>
        <v>36</v>
      </c>
      <c r="AU87" s="2">
        <v>36</v>
      </c>
      <c r="AV87" s="13">
        <f>Table1[[#This Row],[Quantity]] * Table1[[#This Row],[UnitPrice]]</f>
        <v>65</v>
      </c>
      <c r="AW87" s="2">
        <v>65</v>
      </c>
      <c r="AX87" s="21">
        <f>Table1[[#This Row],[Column3]] * (Table1[[#This Row],[Column1]]/100)</f>
        <v>0</v>
      </c>
      <c r="AY87" s="2">
        <v>0</v>
      </c>
      <c r="AZ87" s="27">
        <f>Table1[[#This Row],[Column3]] * Table1[[#This Row],[Column4]]</f>
        <v>0</v>
      </c>
      <c r="BA87" s="2">
        <v>65</v>
      </c>
      <c r="BB87" s="15">
        <f>Table1[[#This Row],[Column5]] * (Table1[[#This Row],[Column2]]/100)</f>
        <v>0</v>
      </c>
      <c r="BC87" s="2">
        <v>3.9</v>
      </c>
      <c r="BD87" s="19">
        <f>Table1[[#This Row],[Column5]] + Table1[[#This Row],[Column6]] + Table1[[#This Row],[ShippingCost]]</f>
        <v>4</v>
      </c>
      <c r="BE87" s="2">
        <v>68.900000000000006</v>
      </c>
      <c r="BF87" s="2" t="s">
        <v>180</v>
      </c>
      <c r="BG87" s="2">
        <f>Table1[[#This Row],[DeliveryDate]]-Table1[[#This Row],[OrderDate]]</f>
        <v>3</v>
      </c>
      <c r="BH87" s="2">
        <v>3</v>
      </c>
      <c r="BI87" s="2" t="str">
        <f>IF(OR(Table1[[#This Row],[CustomerTier]]="Platinum", Table1[[#This Row],[Column7]]&gt;1000), "Yes", "No")</f>
        <v>No</v>
      </c>
      <c r="BJ87" s="2" t="s">
        <v>205</v>
      </c>
      <c r="BK87" s="2" t="str">
        <f>IF(Table1[[#This Row],[Quantity]]&gt;=10, "Yes", "No")</f>
        <v>No</v>
      </c>
      <c r="BL87" s="2" t="s">
        <v>205</v>
      </c>
      <c r="BM87" s="2">
        <f>IF(Table1[[#This Row],[Column12]]="Yes", 5%, 0)</f>
        <v>0</v>
      </c>
      <c r="BN87" s="2">
        <v>0</v>
      </c>
      <c r="BO87" s="2" t="s">
        <v>206</v>
      </c>
      <c r="BP87" s="2"/>
      <c r="BQ87" s="2" t="s">
        <v>208</v>
      </c>
      <c r="BR87" s="2" t="s">
        <v>209</v>
      </c>
      <c r="BS87" s="3" t="s">
        <v>210</v>
      </c>
    </row>
    <row r="88" spans="1:71" x14ac:dyDescent="0.25">
      <c r="A88" s="1" t="s">
        <v>740</v>
      </c>
      <c r="B88" s="11">
        <v>45715</v>
      </c>
      <c r="C88" s="11">
        <v>45720</v>
      </c>
      <c r="D88" s="2" t="s">
        <v>180</v>
      </c>
      <c r="E88" s="2" t="s">
        <v>181</v>
      </c>
      <c r="F88" s="2" t="s">
        <v>355</v>
      </c>
      <c r="G88" s="2" t="s">
        <v>356</v>
      </c>
      <c r="H88" s="2" t="s">
        <v>297</v>
      </c>
      <c r="I88" s="2" t="s">
        <v>357</v>
      </c>
      <c r="J88" s="2" t="s">
        <v>358</v>
      </c>
      <c r="K88" s="2" t="s">
        <v>297</v>
      </c>
      <c r="L88" s="2" t="s">
        <v>218</v>
      </c>
      <c r="M88" s="2" t="s">
        <v>359</v>
      </c>
      <c r="N88" s="2" t="s">
        <v>360</v>
      </c>
      <c r="O88" s="11">
        <v>44895</v>
      </c>
      <c r="P88" s="2" t="s">
        <v>741</v>
      </c>
      <c r="Q88" s="2" t="s">
        <v>742</v>
      </c>
      <c r="R88" s="2" t="s">
        <v>244</v>
      </c>
      <c r="S88" s="2" t="s">
        <v>534</v>
      </c>
      <c r="T88" s="2" t="s">
        <v>743</v>
      </c>
      <c r="U88" s="2" t="s">
        <v>247</v>
      </c>
      <c r="V88" s="13">
        <v>22</v>
      </c>
      <c r="W88" s="13">
        <v>12</v>
      </c>
      <c r="X88" s="2">
        <v>1.2</v>
      </c>
      <c r="Y88" s="2" t="s">
        <v>227</v>
      </c>
      <c r="Z88" s="2" t="s">
        <v>880</v>
      </c>
      <c r="AA88" s="2">
        <v>35</v>
      </c>
      <c r="AB88" s="2">
        <v>8</v>
      </c>
      <c r="AC88" s="2">
        <v>1</v>
      </c>
      <c r="AD88" s="2">
        <v>2</v>
      </c>
      <c r="AE88" s="17">
        <f>Table1[[#This Row],[Discount%]]/100</f>
        <v>0</v>
      </c>
      <c r="AF88" s="2">
        <v>0</v>
      </c>
      <c r="AG88" s="17">
        <f>Table1[[#This Row],[Tax%]]/100</f>
        <v>0.05</v>
      </c>
      <c r="AH88" s="2">
        <v>5</v>
      </c>
      <c r="AI88" s="23">
        <v>4</v>
      </c>
      <c r="AJ88" s="2" t="s">
        <v>198</v>
      </c>
      <c r="AK88" s="2" t="s">
        <v>230</v>
      </c>
      <c r="AL88" s="2" t="s">
        <v>348</v>
      </c>
      <c r="AM88" s="2" t="s">
        <v>232</v>
      </c>
      <c r="AN88" s="2" t="s">
        <v>961</v>
      </c>
      <c r="AO88" s="2" t="s">
        <v>203</v>
      </c>
      <c r="AP88" s="2" t="s">
        <v>880</v>
      </c>
      <c r="AQ88" s="25">
        <v>0</v>
      </c>
      <c r="AR88" s="25">
        <f>IFERROR((Table1[[#This Row],[Column7]]-Table1[[#This Row],[Column8]])/Table1[[#This Row],[Column7]], 0)</f>
        <v>-5</v>
      </c>
      <c r="AS88" s="2">
        <v>45.45</v>
      </c>
      <c r="AT88" s="21">
        <f>Table1[[#This Row],[Quantity]] * Table1[[#This Row],[CostPrice]]</f>
        <v>24</v>
      </c>
      <c r="AU88" s="2">
        <v>24</v>
      </c>
      <c r="AV88" s="13">
        <f>Table1[[#This Row],[Quantity]] * Table1[[#This Row],[UnitPrice]]</f>
        <v>44</v>
      </c>
      <c r="AW88" s="2">
        <v>44</v>
      </c>
      <c r="AX88" s="21">
        <f>Table1[[#This Row],[Column3]] * (Table1[[#This Row],[Column1]]/100)</f>
        <v>0</v>
      </c>
      <c r="AY88" s="2">
        <v>0</v>
      </c>
      <c r="AZ88" s="27">
        <f>Table1[[#This Row],[Column3]] * Table1[[#This Row],[Column4]]</f>
        <v>0</v>
      </c>
      <c r="BA88" s="2">
        <v>44</v>
      </c>
      <c r="BB88" s="15">
        <f>Table1[[#This Row],[Column5]] * (Table1[[#This Row],[Column2]]/100)</f>
        <v>0</v>
      </c>
      <c r="BC88" s="2">
        <v>2.2000000000000002</v>
      </c>
      <c r="BD88" s="19">
        <f>Table1[[#This Row],[Column5]] + Table1[[#This Row],[Column6]] + Table1[[#This Row],[ShippingCost]]</f>
        <v>4</v>
      </c>
      <c r="BE88" s="2">
        <v>46.2</v>
      </c>
      <c r="BF88" s="2" t="s">
        <v>180</v>
      </c>
      <c r="BG88" s="2">
        <f>Table1[[#This Row],[DeliveryDate]]-Table1[[#This Row],[OrderDate]]</f>
        <v>5</v>
      </c>
      <c r="BH88" s="2">
        <v>5</v>
      </c>
      <c r="BI88" s="2" t="str">
        <f>IF(OR(Table1[[#This Row],[CustomerTier]]="Platinum", Table1[[#This Row],[Column7]]&gt;1000), "Yes", "No")</f>
        <v>No</v>
      </c>
      <c r="BJ88" s="2" t="s">
        <v>205</v>
      </c>
      <c r="BK88" s="2" t="str">
        <f>IF(Table1[[#This Row],[Quantity]]&gt;=10, "Yes", "No")</f>
        <v>No</v>
      </c>
      <c r="BL88" s="2" t="s">
        <v>205</v>
      </c>
      <c r="BM88" s="2">
        <f>IF(Table1[[#This Row],[Column12]]="Yes", 5%, 0)</f>
        <v>0</v>
      </c>
      <c r="BN88" s="2">
        <v>0</v>
      </c>
      <c r="BO88" s="2"/>
      <c r="BP88" s="2"/>
      <c r="BQ88" s="2" t="s">
        <v>254</v>
      </c>
      <c r="BR88" s="2" t="s">
        <v>209</v>
      </c>
      <c r="BS88" s="3" t="s">
        <v>210</v>
      </c>
    </row>
    <row r="89" spans="1:71" x14ac:dyDescent="0.25">
      <c r="A89" s="1" t="s">
        <v>744</v>
      </c>
      <c r="B89" s="11">
        <v>45716</v>
      </c>
      <c r="C89" s="11">
        <v>45719</v>
      </c>
      <c r="D89" s="2" t="s">
        <v>180</v>
      </c>
      <c r="E89" s="2" t="s">
        <v>212</v>
      </c>
      <c r="F89" s="2" t="s">
        <v>372</v>
      </c>
      <c r="G89" s="2" t="s">
        <v>373</v>
      </c>
      <c r="H89" s="2" t="s">
        <v>297</v>
      </c>
      <c r="I89" s="2" t="s">
        <v>374</v>
      </c>
      <c r="J89" s="2" t="s">
        <v>375</v>
      </c>
      <c r="K89" s="2" t="s">
        <v>297</v>
      </c>
      <c r="L89" s="2" t="s">
        <v>218</v>
      </c>
      <c r="M89" s="2" t="s">
        <v>376</v>
      </c>
      <c r="N89" s="2" t="s">
        <v>377</v>
      </c>
      <c r="O89" s="11">
        <v>45033</v>
      </c>
      <c r="P89" s="2" t="s">
        <v>745</v>
      </c>
      <c r="Q89" s="2" t="s">
        <v>746</v>
      </c>
      <c r="R89" s="2" t="s">
        <v>265</v>
      </c>
      <c r="S89" s="2" t="s">
        <v>266</v>
      </c>
      <c r="T89" s="2" t="s">
        <v>413</v>
      </c>
      <c r="U89" s="2" t="s">
        <v>268</v>
      </c>
      <c r="V89" s="13">
        <v>12</v>
      </c>
      <c r="W89" s="13">
        <v>6</v>
      </c>
      <c r="X89" s="2">
        <v>0.2</v>
      </c>
      <c r="Y89" s="2" t="s">
        <v>288</v>
      </c>
      <c r="Z89" s="2" t="s">
        <v>880</v>
      </c>
      <c r="AA89" s="2">
        <v>80</v>
      </c>
      <c r="AB89" s="2">
        <v>20</v>
      </c>
      <c r="AC89" s="2">
        <v>1</v>
      </c>
      <c r="AD89" s="2">
        <v>5</v>
      </c>
      <c r="AE89" s="17">
        <f>Table1[[#This Row],[Discount%]]/100</f>
        <v>0</v>
      </c>
      <c r="AF89" s="2">
        <v>0</v>
      </c>
      <c r="AG89" s="17">
        <f>Table1[[#This Row],[Tax%]]/100</f>
        <v>0.05</v>
      </c>
      <c r="AH89" s="2">
        <v>5</v>
      </c>
      <c r="AI89" s="23">
        <v>2</v>
      </c>
      <c r="AJ89" s="2" t="s">
        <v>289</v>
      </c>
      <c r="AK89" s="2" t="s">
        <v>230</v>
      </c>
      <c r="AL89" s="2" t="s">
        <v>307</v>
      </c>
      <c r="AM89" s="2" t="s">
        <v>196</v>
      </c>
      <c r="AN89" s="2" t="s">
        <v>962</v>
      </c>
      <c r="AO89" s="2" t="s">
        <v>203</v>
      </c>
      <c r="AP89" s="2" t="s">
        <v>880</v>
      </c>
      <c r="AQ89" s="25">
        <v>0</v>
      </c>
      <c r="AR89" s="25">
        <f>IFERROR((Table1[[#This Row],[Column7]]-Table1[[#This Row],[Column8]])/Table1[[#This Row],[Column7]], 0)</f>
        <v>-14</v>
      </c>
      <c r="AS89" s="2">
        <v>50</v>
      </c>
      <c r="AT89" s="21">
        <f>Table1[[#This Row],[Quantity]] * Table1[[#This Row],[CostPrice]]</f>
        <v>30</v>
      </c>
      <c r="AU89" s="2">
        <v>30</v>
      </c>
      <c r="AV89" s="13">
        <f>Table1[[#This Row],[Quantity]] * Table1[[#This Row],[UnitPrice]]</f>
        <v>60</v>
      </c>
      <c r="AW89" s="2">
        <v>60</v>
      </c>
      <c r="AX89" s="21">
        <f>Table1[[#This Row],[Column3]] * (Table1[[#This Row],[Column1]]/100)</f>
        <v>0</v>
      </c>
      <c r="AY89" s="2">
        <v>0</v>
      </c>
      <c r="AZ89" s="27">
        <f>Table1[[#This Row],[Column3]] * Table1[[#This Row],[Column4]]</f>
        <v>0</v>
      </c>
      <c r="BA89" s="2">
        <v>60</v>
      </c>
      <c r="BB89" s="15">
        <f>Table1[[#This Row],[Column5]] * (Table1[[#This Row],[Column2]]/100)</f>
        <v>0</v>
      </c>
      <c r="BC89" s="2">
        <v>3</v>
      </c>
      <c r="BD89" s="19">
        <f>Table1[[#This Row],[Column5]] + Table1[[#This Row],[Column6]] + Table1[[#This Row],[ShippingCost]]</f>
        <v>2</v>
      </c>
      <c r="BE89" s="2">
        <v>63</v>
      </c>
      <c r="BF89" s="2" t="s">
        <v>180</v>
      </c>
      <c r="BG89" s="2">
        <f>Table1[[#This Row],[DeliveryDate]]-Table1[[#This Row],[OrderDate]]</f>
        <v>3</v>
      </c>
      <c r="BH89" s="2">
        <v>3</v>
      </c>
      <c r="BI89" s="2" t="str">
        <f>IF(OR(Table1[[#This Row],[CustomerTier]]="Platinum", Table1[[#This Row],[Column7]]&gt;1000), "Yes", "No")</f>
        <v>No</v>
      </c>
      <c r="BJ89" s="2" t="s">
        <v>205</v>
      </c>
      <c r="BK89" s="2" t="str">
        <f>IF(Table1[[#This Row],[Quantity]]&gt;=10, "Yes", "No")</f>
        <v>No</v>
      </c>
      <c r="BL89" s="2" t="s">
        <v>205</v>
      </c>
      <c r="BM89" s="2">
        <f>IF(Table1[[#This Row],[Column12]]="Yes", 5%, 0)</f>
        <v>0</v>
      </c>
      <c r="BN89" s="2">
        <v>0</v>
      </c>
      <c r="BO89" s="2"/>
      <c r="BP89" s="2"/>
      <c r="BQ89" s="2" t="s">
        <v>273</v>
      </c>
      <c r="BR89" s="2" t="s">
        <v>209</v>
      </c>
      <c r="BS89" s="3" t="s">
        <v>210</v>
      </c>
    </row>
    <row r="90" spans="1:71" x14ac:dyDescent="0.25">
      <c r="A90" s="1" t="s">
        <v>747</v>
      </c>
      <c r="B90" s="11">
        <v>45716</v>
      </c>
      <c r="C90" s="11">
        <v>45721</v>
      </c>
      <c r="D90" s="2" t="s">
        <v>371</v>
      </c>
      <c r="E90" s="2" t="s">
        <v>181</v>
      </c>
      <c r="F90" s="2" t="s">
        <v>213</v>
      </c>
      <c r="G90" s="2" t="s">
        <v>214</v>
      </c>
      <c r="H90" s="2" t="s">
        <v>215</v>
      </c>
      <c r="I90" s="2" t="s">
        <v>216</v>
      </c>
      <c r="J90" s="2" t="s">
        <v>217</v>
      </c>
      <c r="K90" s="2" t="s">
        <v>215</v>
      </c>
      <c r="L90" s="2" t="s">
        <v>218</v>
      </c>
      <c r="M90" s="2" t="s">
        <v>219</v>
      </c>
      <c r="N90" s="2" t="s">
        <v>220</v>
      </c>
      <c r="O90" s="11">
        <v>44362</v>
      </c>
      <c r="P90" s="2" t="s">
        <v>748</v>
      </c>
      <c r="Q90" s="2" t="s">
        <v>749</v>
      </c>
      <c r="R90" s="2" t="s">
        <v>244</v>
      </c>
      <c r="S90" s="2" t="s">
        <v>519</v>
      </c>
      <c r="T90" s="2" t="s">
        <v>750</v>
      </c>
      <c r="U90" s="2" t="s">
        <v>247</v>
      </c>
      <c r="V90" s="13">
        <v>18</v>
      </c>
      <c r="W90" s="13">
        <v>10</v>
      </c>
      <c r="X90" s="2">
        <v>0.5</v>
      </c>
      <c r="Y90" s="2" t="s">
        <v>432</v>
      </c>
      <c r="Z90" s="2" t="s">
        <v>751</v>
      </c>
      <c r="AA90" s="2">
        <v>50</v>
      </c>
      <c r="AB90" s="2">
        <v>12</v>
      </c>
      <c r="AC90" s="2">
        <v>1</v>
      </c>
      <c r="AD90" s="2">
        <v>3</v>
      </c>
      <c r="AE90" s="17">
        <f>Table1[[#This Row],[Discount%]]/100</f>
        <v>0</v>
      </c>
      <c r="AF90" s="2">
        <v>0</v>
      </c>
      <c r="AG90" s="17">
        <f>Table1[[#This Row],[Tax%]]/100</f>
        <v>0.05</v>
      </c>
      <c r="AH90" s="2">
        <v>5</v>
      </c>
      <c r="AI90" s="23">
        <v>3</v>
      </c>
      <c r="AJ90" s="2" t="s">
        <v>198</v>
      </c>
      <c r="AK90" s="2" t="s">
        <v>199</v>
      </c>
      <c r="AL90" s="2" t="s">
        <v>290</v>
      </c>
      <c r="AM90" s="2" t="s">
        <v>201</v>
      </c>
      <c r="AN90" s="2" t="s">
        <v>963</v>
      </c>
      <c r="AO90" s="2" t="s">
        <v>203</v>
      </c>
      <c r="AP90" s="2" t="s">
        <v>880</v>
      </c>
      <c r="AQ90" s="25">
        <v>0</v>
      </c>
      <c r="AR90" s="25">
        <f>IFERROR((Table1[[#This Row],[Column7]]-Table1[[#This Row],[Column8]])/Table1[[#This Row],[Column7]], 0)</f>
        <v>-9</v>
      </c>
      <c r="AS90" s="2">
        <v>44.44</v>
      </c>
      <c r="AT90" s="21">
        <f>Table1[[#This Row],[Quantity]] * Table1[[#This Row],[CostPrice]]</f>
        <v>30</v>
      </c>
      <c r="AU90" s="2">
        <v>30</v>
      </c>
      <c r="AV90" s="13">
        <f>Table1[[#This Row],[Quantity]] * Table1[[#This Row],[UnitPrice]]</f>
        <v>54</v>
      </c>
      <c r="AW90" s="2">
        <v>54</v>
      </c>
      <c r="AX90" s="21">
        <f>Table1[[#This Row],[Column3]] * (Table1[[#This Row],[Column1]]/100)</f>
        <v>0</v>
      </c>
      <c r="AY90" s="2">
        <v>0</v>
      </c>
      <c r="AZ90" s="27">
        <f>Table1[[#This Row],[Column3]] * Table1[[#This Row],[Column4]]</f>
        <v>0</v>
      </c>
      <c r="BA90" s="2">
        <v>54</v>
      </c>
      <c r="BB90" s="15">
        <f>Table1[[#This Row],[Column5]] * (Table1[[#This Row],[Column2]]/100)</f>
        <v>0</v>
      </c>
      <c r="BC90" s="2">
        <v>2.7</v>
      </c>
      <c r="BD90" s="19">
        <f>Table1[[#This Row],[Column5]] + Table1[[#This Row],[Column6]] + Table1[[#This Row],[ShippingCost]]</f>
        <v>3</v>
      </c>
      <c r="BE90" s="2">
        <v>56.7</v>
      </c>
      <c r="BF90" s="2" t="s">
        <v>371</v>
      </c>
      <c r="BG90" s="2">
        <f>Table1[[#This Row],[DeliveryDate]]-Table1[[#This Row],[OrderDate]]</f>
        <v>5</v>
      </c>
      <c r="BH90" s="2">
        <v>5</v>
      </c>
      <c r="BI90" s="2" t="str">
        <f>IF(OR(Table1[[#This Row],[CustomerTier]]="Platinum", Table1[[#This Row],[Column7]]&gt;1000), "Yes", "No")</f>
        <v>Yes</v>
      </c>
      <c r="BJ90" s="2" t="s">
        <v>205</v>
      </c>
      <c r="BK90" s="2" t="str">
        <f>IF(Table1[[#This Row],[Quantity]]&gt;=10, "Yes", "No")</f>
        <v>No</v>
      </c>
      <c r="BL90" s="2" t="s">
        <v>205</v>
      </c>
      <c r="BM90" s="2">
        <f>IF(Table1[[#This Row],[Column12]]="Yes", 5%, 0)</f>
        <v>0</v>
      </c>
      <c r="BN90" s="2">
        <v>0</v>
      </c>
      <c r="BO90" s="2"/>
      <c r="BP90" s="2"/>
      <c r="BQ90" s="2" t="s">
        <v>254</v>
      </c>
      <c r="BR90" s="2" t="s">
        <v>209</v>
      </c>
      <c r="BS90" s="3" t="s">
        <v>210</v>
      </c>
    </row>
    <row r="91" spans="1:71" x14ac:dyDescent="0.25">
      <c r="A91" s="1" t="s">
        <v>752</v>
      </c>
      <c r="B91" s="11">
        <v>45717</v>
      </c>
      <c r="C91" s="11">
        <v>45720</v>
      </c>
      <c r="D91" s="2" t="s">
        <v>180</v>
      </c>
      <c r="E91" s="2" t="s">
        <v>212</v>
      </c>
      <c r="F91" s="2" t="s">
        <v>257</v>
      </c>
      <c r="G91" s="2" t="s">
        <v>258</v>
      </c>
      <c r="H91" s="2" t="s">
        <v>184</v>
      </c>
      <c r="I91" s="2" t="s">
        <v>259</v>
      </c>
      <c r="J91" s="2" t="s">
        <v>260</v>
      </c>
      <c r="K91" s="2" t="s">
        <v>184</v>
      </c>
      <c r="L91" s="2" t="s">
        <v>218</v>
      </c>
      <c r="M91" s="2" t="s">
        <v>261</v>
      </c>
      <c r="N91" s="2" t="s">
        <v>262</v>
      </c>
      <c r="O91" s="11">
        <v>44140</v>
      </c>
      <c r="P91" s="2" t="s">
        <v>753</v>
      </c>
      <c r="Q91" s="2" t="s">
        <v>754</v>
      </c>
      <c r="R91" s="2" t="s">
        <v>192</v>
      </c>
      <c r="S91" s="2" t="s">
        <v>755</v>
      </c>
      <c r="T91" s="2" t="s">
        <v>756</v>
      </c>
      <c r="U91" s="2" t="s">
        <v>757</v>
      </c>
      <c r="V91" s="13">
        <v>180</v>
      </c>
      <c r="W91" s="13">
        <v>104</v>
      </c>
      <c r="X91" s="2">
        <v>8</v>
      </c>
      <c r="Y91" s="2" t="s">
        <v>288</v>
      </c>
      <c r="Z91" s="2" t="s">
        <v>758</v>
      </c>
      <c r="AA91" s="2">
        <v>8</v>
      </c>
      <c r="AB91" s="2">
        <v>2</v>
      </c>
      <c r="AC91" s="2">
        <v>4</v>
      </c>
      <c r="AD91" s="2">
        <v>1</v>
      </c>
      <c r="AE91" s="17">
        <f>Table1[[#This Row],[Discount%]]/100</f>
        <v>0.05</v>
      </c>
      <c r="AF91" s="2">
        <v>5</v>
      </c>
      <c r="AG91" s="17">
        <f>Table1[[#This Row],[Tax%]]/100</f>
        <v>0.06</v>
      </c>
      <c r="AH91" s="2">
        <v>6</v>
      </c>
      <c r="AI91" s="23">
        <v>15</v>
      </c>
      <c r="AJ91" s="2" t="s">
        <v>366</v>
      </c>
      <c r="AK91" s="2" t="s">
        <v>230</v>
      </c>
      <c r="AL91" s="2" t="s">
        <v>231</v>
      </c>
      <c r="AM91" s="2" t="s">
        <v>232</v>
      </c>
      <c r="AN91" s="2" t="s">
        <v>964</v>
      </c>
      <c r="AO91" s="2" t="s">
        <v>203</v>
      </c>
      <c r="AP91" s="2" t="s">
        <v>880</v>
      </c>
      <c r="AQ91" s="25">
        <v>0</v>
      </c>
      <c r="AR91" s="25">
        <f>IFERROR((Table1[[#This Row],[Column7]]-Table1[[#This Row],[Column8]])/Table1[[#This Row],[Column7]], 0)</f>
        <v>-2.3322951952148241</v>
      </c>
      <c r="AS91" s="2">
        <v>42.22</v>
      </c>
      <c r="AT91" s="21">
        <f>Table1[[#This Row],[Quantity]] * Table1[[#This Row],[CostPrice]]</f>
        <v>104</v>
      </c>
      <c r="AU91" s="2">
        <v>104</v>
      </c>
      <c r="AV91" s="13">
        <f>Table1[[#This Row],[Quantity]] * Table1[[#This Row],[UnitPrice]]</f>
        <v>180</v>
      </c>
      <c r="AW91" s="2">
        <v>180</v>
      </c>
      <c r="AX91" s="21">
        <f>Table1[[#This Row],[Column3]] * (Table1[[#This Row],[Column1]]/100)</f>
        <v>0.09</v>
      </c>
      <c r="AY91" s="2">
        <v>9</v>
      </c>
      <c r="AZ91" s="27">
        <f>Table1[[#This Row],[Column3]] * Table1[[#This Row],[Column4]]</f>
        <v>16.2</v>
      </c>
      <c r="BA91" s="2">
        <v>171</v>
      </c>
      <c r="BB91" s="15">
        <f>Table1[[#This Row],[Column5]] * (Table1[[#This Row],[Column2]]/100)</f>
        <v>9.7199999999999995E-3</v>
      </c>
      <c r="BC91" s="2">
        <v>10.26</v>
      </c>
      <c r="BD91" s="19">
        <f>Table1[[#This Row],[Column5]] + Table1[[#This Row],[Column6]] + Table1[[#This Row],[ShippingCost]]</f>
        <v>31.209720000000001</v>
      </c>
      <c r="BE91" s="2">
        <v>181.26</v>
      </c>
      <c r="BF91" s="2" t="s">
        <v>180</v>
      </c>
      <c r="BG91" s="2">
        <f>Table1[[#This Row],[DeliveryDate]]-Table1[[#This Row],[OrderDate]]</f>
        <v>3</v>
      </c>
      <c r="BH91" s="2">
        <v>3</v>
      </c>
      <c r="BI91" s="2" t="str">
        <f>IF(OR(Table1[[#This Row],[CustomerTier]]="Platinum", Table1[[#This Row],[Column7]]&gt;1000), "Yes", "No")</f>
        <v>No</v>
      </c>
      <c r="BJ91" s="2" t="s">
        <v>205</v>
      </c>
      <c r="BK91" s="2" t="str">
        <f>IF(Table1[[#This Row],[Quantity]]&gt;=10, "Yes", "No")</f>
        <v>No</v>
      </c>
      <c r="BL91" s="2" t="s">
        <v>205</v>
      </c>
      <c r="BM91" s="2">
        <f>IF(Table1[[#This Row],[Column12]]="Yes", 5%, 0)</f>
        <v>0</v>
      </c>
      <c r="BN91" s="2">
        <v>0</v>
      </c>
      <c r="BO91" s="2" t="s">
        <v>291</v>
      </c>
      <c r="BP91" s="2" t="s">
        <v>292</v>
      </c>
      <c r="BQ91" s="2" t="s">
        <v>759</v>
      </c>
      <c r="BR91" s="2" t="s">
        <v>209</v>
      </c>
      <c r="BS91" s="3" t="s">
        <v>210</v>
      </c>
    </row>
    <row r="92" spans="1:71" x14ac:dyDescent="0.25">
      <c r="A92" s="1" t="s">
        <v>760</v>
      </c>
      <c r="B92" s="11">
        <v>45717</v>
      </c>
      <c r="C92" s="11">
        <v>45722</v>
      </c>
      <c r="D92" s="2" t="s">
        <v>180</v>
      </c>
      <c r="E92" s="2" t="s">
        <v>181</v>
      </c>
      <c r="F92" s="2" t="s">
        <v>275</v>
      </c>
      <c r="G92" s="2" t="s">
        <v>276</v>
      </c>
      <c r="H92" s="2" t="s">
        <v>277</v>
      </c>
      <c r="I92" s="2" t="s">
        <v>278</v>
      </c>
      <c r="J92" s="2" t="s">
        <v>279</v>
      </c>
      <c r="K92" s="2" t="s">
        <v>277</v>
      </c>
      <c r="L92" s="2" t="s">
        <v>187</v>
      </c>
      <c r="M92" s="2" t="s">
        <v>280</v>
      </c>
      <c r="N92" s="2" t="s">
        <v>281</v>
      </c>
      <c r="O92" s="11">
        <v>43508</v>
      </c>
      <c r="P92" s="2" t="s">
        <v>761</v>
      </c>
      <c r="Q92" s="2" t="s">
        <v>762</v>
      </c>
      <c r="R92" s="2" t="s">
        <v>223</v>
      </c>
      <c r="S92" s="2" t="s">
        <v>363</v>
      </c>
      <c r="T92" s="2" t="s">
        <v>225</v>
      </c>
      <c r="U92" s="2" t="s">
        <v>226</v>
      </c>
      <c r="V92" s="13">
        <v>22</v>
      </c>
      <c r="W92" s="13">
        <v>12</v>
      </c>
      <c r="X92" s="2">
        <v>0.2</v>
      </c>
      <c r="Y92" s="2" t="s">
        <v>288</v>
      </c>
      <c r="Z92" s="2" t="s">
        <v>228</v>
      </c>
      <c r="AA92" s="2">
        <v>60</v>
      </c>
      <c r="AB92" s="2">
        <v>15</v>
      </c>
      <c r="AC92" s="2">
        <v>1</v>
      </c>
      <c r="AD92" s="2">
        <v>3</v>
      </c>
      <c r="AE92" s="17">
        <f>Table1[[#This Row],[Discount%]]/100</f>
        <v>0</v>
      </c>
      <c r="AF92" s="2">
        <v>0</v>
      </c>
      <c r="AG92" s="17">
        <f>Table1[[#This Row],[Tax%]]/100</f>
        <v>0.05</v>
      </c>
      <c r="AH92" s="2">
        <v>5</v>
      </c>
      <c r="AI92" s="23">
        <v>3</v>
      </c>
      <c r="AJ92" s="2" t="s">
        <v>229</v>
      </c>
      <c r="AK92" s="2" t="s">
        <v>230</v>
      </c>
      <c r="AL92" s="2" t="s">
        <v>322</v>
      </c>
      <c r="AM92" s="2" t="s">
        <v>232</v>
      </c>
      <c r="AN92" s="2" t="s">
        <v>965</v>
      </c>
      <c r="AO92" s="2" t="s">
        <v>203</v>
      </c>
      <c r="AP92" s="2" t="s">
        <v>880</v>
      </c>
      <c r="AQ92" s="25">
        <v>0</v>
      </c>
      <c r="AR92" s="25">
        <f>IFERROR((Table1[[#This Row],[Column7]]-Table1[[#This Row],[Column8]])/Table1[[#This Row],[Column7]], 0)</f>
        <v>-11</v>
      </c>
      <c r="AS92" s="2">
        <v>45.45</v>
      </c>
      <c r="AT92" s="21">
        <f>Table1[[#This Row],[Quantity]] * Table1[[#This Row],[CostPrice]]</f>
        <v>36</v>
      </c>
      <c r="AU92" s="2">
        <v>36</v>
      </c>
      <c r="AV92" s="13">
        <f>Table1[[#This Row],[Quantity]] * Table1[[#This Row],[UnitPrice]]</f>
        <v>66</v>
      </c>
      <c r="AW92" s="2">
        <v>66</v>
      </c>
      <c r="AX92" s="21">
        <f>Table1[[#This Row],[Column3]] * (Table1[[#This Row],[Column1]]/100)</f>
        <v>0</v>
      </c>
      <c r="AY92" s="2">
        <v>0</v>
      </c>
      <c r="AZ92" s="27">
        <f>Table1[[#This Row],[Column3]] * Table1[[#This Row],[Column4]]</f>
        <v>0</v>
      </c>
      <c r="BA92" s="2">
        <v>66</v>
      </c>
      <c r="BB92" s="15">
        <f>Table1[[#This Row],[Column5]] * (Table1[[#This Row],[Column2]]/100)</f>
        <v>0</v>
      </c>
      <c r="BC92" s="2">
        <v>3.3</v>
      </c>
      <c r="BD92" s="19">
        <f>Table1[[#This Row],[Column5]] + Table1[[#This Row],[Column6]] + Table1[[#This Row],[ShippingCost]]</f>
        <v>3</v>
      </c>
      <c r="BE92" s="2">
        <v>69.3</v>
      </c>
      <c r="BF92" s="2" t="s">
        <v>180</v>
      </c>
      <c r="BG92" s="2">
        <f>Table1[[#This Row],[DeliveryDate]]-Table1[[#This Row],[OrderDate]]</f>
        <v>5</v>
      </c>
      <c r="BH92" s="2">
        <v>5</v>
      </c>
      <c r="BI92" s="2" t="str">
        <f>IF(OR(Table1[[#This Row],[CustomerTier]]="Platinum", Table1[[#This Row],[Column7]]&gt;1000), "Yes", "No")</f>
        <v>No</v>
      </c>
      <c r="BJ92" s="2" t="s">
        <v>205</v>
      </c>
      <c r="BK92" s="2" t="str">
        <f>IF(Table1[[#This Row],[Quantity]]&gt;=10, "Yes", "No")</f>
        <v>No</v>
      </c>
      <c r="BL92" s="2" t="s">
        <v>205</v>
      </c>
      <c r="BM92" s="2">
        <f>IF(Table1[[#This Row],[Column12]]="Yes", 5%, 0)</f>
        <v>0</v>
      </c>
      <c r="BN92" s="2">
        <v>0</v>
      </c>
      <c r="BO92" s="2" t="s">
        <v>206</v>
      </c>
      <c r="BP92" s="2" t="s">
        <v>207</v>
      </c>
      <c r="BQ92" s="2" t="s">
        <v>234</v>
      </c>
      <c r="BR92" s="2" t="s">
        <v>209</v>
      </c>
      <c r="BS92" s="3" t="s">
        <v>210</v>
      </c>
    </row>
    <row r="93" spans="1:71" x14ac:dyDescent="0.25">
      <c r="A93" s="1" t="s">
        <v>763</v>
      </c>
      <c r="B93" s="11">
        <v>45718</v>
      </c>
      <c r="C93" s="11">
        <v>45721</v>
      </c>
      <c r="D93" s="2" t="s">
        <v>180</v>
      </c>
      <c r="E93" s="2" t="s">
        <v>212</v>
      </c>
      <c r="F93" s="2" t="s">
        <v>236</v>
      </c>
      <c r="G93" s="2" t="s">
        <v>237</v>
      </c>
      <c r="H93" s="2" t="s">
        <v>215</v>
      </c>
      <c r="I93" s="2" t="s">
        <v>238</v>
      </c>
      <c r="J93" s="2" t="s">
        <v>239</v>
      </c>
      <c r="K93" s="2" t="s">
        <v>215</v>
      </c>
      <c r="L93" s="2" t="s">
        <v>218</v>
      </c>
      <c r="M93" s="2" t="s">
        <v>240</v>
      </c>
      <c r="N93" s="2" t="s">
        <v>241</v>
      </c>
      <c r="O93" s="11">
        <v>44814</v>
      </c>
      <c r="P93" s="2" t="s">
        <v>764</v>
      </c>
      <c r="Q93" s="2" t="s">
        <v>765</v>
      </c>
      <c r="R93" s="2" t="s">
        <v>192</v>
      </c>
      <c r="S93" s="2" t="s">
        <v>363</v>
      </c>
      <c r="T93" s="2" t="s">
        <v>766</v>
      </c>
      <c r="U93" s="2" t="s">
        <v>451</v>
      </c>
      <c r="V93" s="13">
        <v>15</v>
      </c>
      <c r="W93" s="13">
        <v>8</v>
      </c>
      <c r="X93" s="2">
        <v>0.3</v>
      </c>
      <c r="Y93" s="2" t="s">
        <v>382</v>
      </c>
      <c r="Z93" s="2" t="s">
        <v>767</v>
      </c>
      <c r="AA93" s="2">
        <v>100</v>
      </c>
      <c r="AB93" s="2">
        <v>20</v>
      </c>
      <c r="AC93" s="2">
        <v>1</v>
      </c>
      <c r="AD93" s="2">
        <v>6</v>
      </c>
      <c r="AE93" s="17">
        <f>Table1[[#This Row],[Discount%]]/100</f>
        <v>0</v>
      </c>
      <c r="AF93" s="2">
        <v>0</v>
      </c>
      <c r="AG93" s="17">
        <f>Table1[[#This Row],[Tax%]]/100</f>
        <v>0.05</v>
      </c>
      <c r="AH93" s="2">
        <v>5</v>
      </c>
      <c r="AI93" s="23">
        <v>2</v>
      </c>
      <c r="AJ93" s="2" t="s">
        <v>249</v>
      </c>
      <c r="AK93" s="2" t="s">
        <v>199</v>
      </c>
      <c r="AL93" s="2" t="s">
        <v>200</v>
      </c>
      <c r="AM93" s="2" t="s">
        <v>201</v>
      </c>
      <c r="AN93" s="2" t="s">
        <v>966</v>
      </c>
      <c r="AO93" s="2" t="s">
        <v>203</v>
      </c>
      <c r="AP93" s="2" t="s">
        <v>880</v>
      </c>
      <c r="AQ93" s="25">
        <v>0</v>
      </c>
      <c r="AR93" s="25">
        <f>IFERROR((Table1[[#This Row],[Column7]]-Table1[[#This Row],[Column8]])/Table1[[#This Row],[Column7]], 0)</f>
        <v>-23</v>
      </c>
      <c r="AS93" s="2">
        <v>46.67</v>
      </c>
      <c r="AT93" s="21">
        <f>Table1[[#This Row],[Quantity]] * Table1[[#This Row],[CostPrice]]</f>
        <v>48</v>
      </c>
      <c r="AU93" s="2">
        <v>48</v>
      </c>
      <c r="AV93" s="13">
        <f>Table1[[#This Row],[Quantity]] * Table1[[#This Row],[UnitPrice]]</f>
        <v>90</v>
      </c>
      <c r="AW93" s="2">
        <v>90</v>
      </c>
      <c r="AX93" s="21">
        <f>Table1[[#This Row],[Column3]] * (Table1[[#This Row],[Column1]]/100)</f>
        <v>0</v>
      </c>
      <c r="AY93" s="2">
        <v>0</v>
      </c>
      <c r="AZ93" s="27">
        <f>Table1[[#This Row],[Column3]] * Table1[[#This Row],[Column4]]</f>
        <v>0</v>
      </c>
      <c r="BA93" s="2">
        <v>90</v>
      </c>
      <c r="BB93" s="15">
        <f>Table1[[#This Row],[Column5]] * (Table1[[#This Row],[Column2]]/100)</f>
        <v>0</v>
      </c>
      <c r="BC93" s="2">
        <v>4.5</v>
      </c>
      <c r="BD93" s="19">
        <f>Table1[[#This Row],[Column5]] + Table1[[#This Row],[Column6]] + Table1[[#This Row],[ShippingCost]]</f>
        <v>2</v>
      </c>
      <c r="BE93" s="2">
        <v>94.5</v>
      </c>
      <c r="BF93" s="2" t="s">
        <v>180</v>
      </c>
      <c r="BG93" s="2">
        <f>Table1[[#This Row],[DeliveryDate]]-Table1[[#This Row],[OrderDate]]</f>
        <v>3</v>
      </c>
      <c r="BH93" s="2">
        <v>3</v>
      </c>
      <c r="BI93" s="2" t="str">
        <f>IF(OR(Table1[[#This Row],[CustomerTier]]="Platinum", Table1[[#This Row],[Column7]]&gt;1000), "Yes", "No")</f>
        <v>Yes</v>
      </c>
      <c r="BJ93" s="2" t="s">
        <v>205</v>
      </c>
      <c r="BK93" s="2" t="str">
        <f>IF(Table1[[#This Row],[Quantity]]&gt;=10, "Yes", "No")</f>
        <v>No</v>
      </c>
      <c r="BL93" s="2" t="s">
        <v>204</v>
      </c>
      <c r="BM93" s="2">
        <f>IF(Table1[[#This Row],[Column12]]="Yes", 5%, 0)</f>
        <v>0</v>
      </c>
      <c r="BN93" s="2">
        <v>5</v>
      </c>
      <c r="BO93" s="2" t="s">
        <v>369</v>
      </c>
      <c r="BP93" s="2" t="s">
        <v>173</v>
      </c>
      <c r="BQ93" s="2" t="s">
        <v>208</v>
      </c>
      <c r="BR93" s="2" t="s">
        <v>209</v>
      </c>
      <c r="BS93" s="3" t="s">
        <v>210</v>
      </c>
    </row>
    <row r="94" spans="1:71" x14ac:dyDescent="0.25">
      <c r="A94" s="1" t="s">
        <v>768</v>
      </c>
      <c r="B94" s="11">
        <v>45718</v>
      </c>
      <c r="C94" s="11">
        <v>45723</v>
      </c>
      <c r="D94" s="2" t="s">
        <v>310</v>
      </c>
      <c r="E94" s="2" t="s">
        <v>181</v>
      </c>
      <c r="F94" s="2" t="s">
        <v>182</v>
      </c>
      <c r="G94" s="2" t="s">
        <v>183</v>
      </c>
      <c r="H94" s="2" t="s">
        <v>184</v>
      </c>
      <c r="I94" s="2" t="s">
        <v>185</v>
      </c>
      <c r="J94" s="2" t="s">
        <v>186</v>
      </c>
      <c r="K94" s="2" t="s">
        <v>184</v>
      </c>
      <c r="L94" s="2" t="s">
        <v>187</v>
      </c>
      <c r="M94" s="2" t="s">
        <v>188</v>
      </c>
      <c r="N94" s="2" t="s">
        <v>189</v>
      </c>
      <c r="O94" s="11">
        <v>43891</v>
      </c>
      <c r="P94" s="2" t="s">
        <v>769</v>
      </c>
      <c r="Q94" s="2" t="s">
        <v>770</v>
      </c>
      <c r="R94" s="2" t="s">
        <v>578</v>
      </c>
      <c r="S94" s="2" t="s">
        <v>771</v>
      </c>
      <c r="T94" s="2" t="s">
        <v>443</v>
      </c>
      <c r="U94" s="2" t="s">
        <v>581</v>
      </c>
      <c r="V94" s="13">
        <v>3</v>
      </c>
      <c r="W94" s="13">
        <v>1.5</v>
      </c>
      <c r="X94" s="2">
        <v>0.1</v>
      </c>
      <c r="Y94" s="2" t="s">
        <v>445</v>
      </c>
      <c r="Z94" s="2" t="s">
        <v>880</v>
      </c>
      <c r="AA94" s="2">
        <v>1000</v>
      </c>
      <c r="AB94" s="2">
        <v>200</v>
      </c>
      <c r="AC94" s="2">
        <v>1</v>
      </c>
      <c r="AD94" s="2">
        <v>40</v>
      </c>
      <c r="AE94" s="17">
        <f>Table1[[#This Row],[Discount%]]/100</f>
        <v>0</v>
      </c>
      <c r="AF94" s="2">
        <v>0</v>
      </c>
      <c r="AG94" s="17">
        <f>Table1[[#This Row],[Tax%]]/100</f>
        <v>0.04</v>
      </c>
      <c r="AH94" s="2">
        <v>4</v>
      </c>
      <c r="AI94" s="23">
        <v>4</v>
      </c>
      <c r="AJ94" s="2" t="s">
        <v>198</v>
      </c>
      <c r="AK94" s="2" t="s">
        <v>230</v>
      </c>
      <c r="AL94" s="2" t="s">
        <v>250</v>
      </c>
      <c r="AM94" s="2" t="s">
        <v>196</v>
      </c>
      <c r="AN94" s="2" t="s">
        <v>967</v>
      </c>
      <c r="AO94" s="2" t="s">
        <v>203</v>
      </c>
      <c r="AP94" s="2" t="s">
        <v>880</v>
      </c>
      <c r="AQ94" s="25">
        <v>0</v>
      </c>
      <c r="AR94" s="25">
        <f>IFERROR((Table1[[#This Row],[Column7]]-Table1[[#This Row],[Column8]])/Table1[[#This Row],[Column7]], 0)</f>
        <v>-14</v>
      </c>
      <c r="AS94" s="2">
        <v>50</v>
      </c>
      <c r="AT94" s="21">
        <f>Table1[[#This Row],[Quantity]] * Table1[[#This Row],[CostPrice]]</f>
        <v>60</v>
      </c>
      <c r="AU94" s="2">
        <v>60</v>
      </c>
      <c r="AV94" s="13">
        <f>Table1[[#This Row],[Quantity]] * Table1[[#This Row],[UnitPrice]]</f>
        <v>120</v>
      </c>
      <c r="AW94" s="2">
        <v>120</v>
      </c>
      <c r="AX94" s="21">
        <f>Table1[[#This Row],[Column3]] * (Table1[[#This Row],[Column1]]/100)</f>
        <v>0</v>
      </c>
      <c r="AY94" s="2">
        <v>0</v>
      </c>
      <c r="AZ94" s="27">
        <f>Table1[[#This Row],[Column3]] * Table1[[#This Row],[Column4]]</f>
        <v>0</v>
      </c>
      <c r="BA94" s="2">
        <v>120</v>
      </c>
      <c r="BB94" s="15">
        <f>Table1[[#This Row],[Column5]] * (Table1[[#This Row],[Column2]]/100)</f>
        <v>0</v>
      </c>
      <c r="BC94" s="2">
        <v>4.8</v>
      </c>
      <c r="BD94" s="19">
        <f>Table1[[#This Row],[Column5]] + Table1[[#This Row],[Column6]] + Table1[[#This Row],[ShippingCost]]</f>
        <v>4</v>
      </c>
      <c r="BE94" s="2">
        <v>124.8</v>
      </c>
      <c r="BF94" s="2" t="s">
        <v>310</v>
      </c>
      <c r="BG94" s="2">
        <f>Table1[[#This Row],[DeliveryDate]]-Table1[[#This Row],[OrderDate]]</f>
        <v>5</v>
      </c>
      <c r="BH94" s="2">
        <v>5</v>
      </c>
      <c r="BI94" s="2" t="str">
        <f>IF(OR(Table1[[#This Row],[CustomerTier]]="Platinum", Table1[[#This Row],[Column7]]&gt;1000), "Yes", "No")</f>
        <v>No</v>
      </c>
      <c r="BJ94" s="2" t="s">
        <v>205</v>
      </c>
      <c r="BK94" s="2" t="str">
        <f>IF(Table1[[#This Row],[Quantity]]&gt;=10, "Yes", "No")</f>
        <v>Yes</v>
      </c>
      <c r="BL94" s="2" t="s">
        <v>204</v>
      </c>
      <c r="BM94" s="2">
        <f>IF(Table1[[#This Row],[Column12]]="Yes", 5%, 0)</f>
        <v>0.05</v>
      </c>
      <c r="BN94" s="2">
        <v>25</v>
      </c>
      <c r="BO94" s="2" t="s">
        <v>369</v>
      </c>
      <c r="BP94" s="2" t="s">
        <v>173</v>
      </c>
      <c r="BQ94" s="2" t="s">
        <v>582</v>
      </c>
      <c r="BR94" s="2" t="s">
        <v>209</v>
      </c>
      <c r="BS94" s="3" t="s">
        <v>210</v>
      </c>
    </row>
    <row r="95" spans="1:71" x14ac:dyDescent="0.25">
      <c r="A95" s="1" t="s">
        <v>772</v>
      </c>
      <c r="B95" s="11">
        <v>45719</v>
      </c>
      <c r="C95" s="11">
        <v>45722</v>
      </c>
      <c r="D95" s="2" t="s">
        <v>180</v>
      </c>
      <c r="E95" s="2" t="s">
        <v>212</v>
      </c>
      <c r="F95" s="2" t="s">
        <v>295</v>
      </c>
      <c r="G95" s="2" t="s">
        <v>296</v>
      </c>
      <c r="H95" s="2" t="s">
        <v>297</v>
      </c>
      <c r="I95" s="2" t="s">
        <v>298</v>
      </c>
      <c r="J95" s="2" t="s">
        <v>299</v>
      </c>
      <c r="K95" s="2" t="s">
        <v>297</v>
      </c>
      <c r="L95" s="2" t="s">
        <v>187</v>
      </c>
      <c r="M95" s="2" t="s">
        <v>300</v>
      </c>
      <c r="N95" s="2" t="s">
        <v>301</v>
      </c>
      <c r="O95" s="11">
        <v>43332</v>
      </c>
      <c r="P95" s="2" t="s">
        <v>773</v>
      </c>
      <c r="Q95" s="2" t="s">
        <v>774</v>
      </c>
      <c r="R95" s="2" t="s">
        <v>244</v>
      </c>
      <c r="S95" s="2" t="s">
        <v>563</v>
      </c>
      <c r="T95" s="2" t="s">
        <v>775</v>
      </c>
      <c r="U95" s="2" t="s">
        <v>247</v>
      </c>
      <c r="V95" s="13">
        <v>28</v>
      </c>
      <c r="W95" s="13">
        <v>15</v>
      </c>
      <c r="X95" s="2">
        <v>0.6</v>
      </c>
      <c r="Y95" s="2" t="s">
        <v>382</v>
      </c>
      <c r="Z95" s="2" t="s">
        <v>880</v>
      </c>
      <c r="AA95" s="2">
        <v>40</v>
      </c>
      <c r="AB95" s="2">
        <v>10</v>
      </c>
      <c r="AC95" s="2">
        <v>2</v>
      </c>
      <c r="AD95" s="2">
        <v>2</v>
      </c>
      <c r="AE95" s="17">
        <f>Table1[[#This Row],[Discount%]]/100</f>
        <v>0</v>
      </c>
      <c r="AF95" s="2">
        <v>0</v>
      </c>
      <c r="AG95" s="17">
        <f>Table1[[#This Row],[Tax%]]/100</f>
        <v>0.05</v>
      </c>
      <c r="AH95" s="2">
        <v>5</v>
      </c>
      <c r="AI95" s="23">
        <v>4</v>
      </c>
      <c r="AJ95" s="2" t="s">
        <v>289</v>
      </c>
      <c r="AK95" s="2" t="s">
        <v>199</v>
      </c>
      <c r="AL95" s="2" t="s">
        <v>367</v>
      </c>
      <c r="AM95" s="2" t="s">
        <v>271</v>
      </c>
      <c r="AN95" s="2" t="s">
        <v>968</v>
      </c>
      <c r="AO95" s="2" t="s">
        <v>203</v>
      </c>
      <c r="AP95" s="2" t="s">
        <v>880</v>
      </c>
      <c r="AQ95" s="25">
        <v>0</v>
      </c>
      <c r="AR95" s="25">
        <f>IFERROR((Table1[[#This Row],[Column7]]-Table1[[#This Row],[Column8]])/Table1[[#This Row],[Column7]], 0)</f>
        <v>-6.5</v>
      </c>
      <c r="AS95" s="2">
        <v>46.43</v>
      </c>
      <c r="AT95" s="21">
        <f>Table1[[#This Row],[Quantity]] * Table1[[#This Row],[CostPrice]]</f>
        <v>30</v>
      </c>
      <c r="AU95" s="2">
        <v>30</v>
      </c>
      <c r="AV95" s="13">
        <f>Table1[[#This Row],[Quantity]] * Table1[[#This Row],[UnitPrice]]</f>
        <v>56</v>
      </c>
      <c r="AW95" s="2">
        <v>56</v>
      </c>
      <c r="AX95" s="21">
        <f>Table1[[#This Row],[Column3]] * (Table1[[#This Row],[Column1]]/100)</f>
        <v>0</v>
      </c>
      <c r="AY95" s="2">
        <v>0</v>
      </c>
      <c r="AZ95" s="27">
        <f>Table1[[#This Row],[Column3]] * Table1[[#This Row],[Column4]]</f>
        <v>0</v>
      </c>
      <c r="BA95" s="2">
        <v>56</v>
      </c>
      <c r="BB95" s="15">
        <f>Table1[[#This Row],[Column5]] * (Table1[[#This Row],[Column2]]/100)</f>
        <v>0</v>
      </c>
      <c r="BC95" s="2">
        <v>2.8</v>
      </c>
      <c r="BD95" s="19">
        <f>Table1[[#This Row],[Column5]] + Table1[[#This Row],[Column6]] + Table1[[#This Row],[ShippingCost]]</f>
        <v>4</v>
      </c>
      <c r="BE95" s="2">
        <v>58.8</v>
      </c>
      <c r="BF95" s="2" t="s">
        <v>180</v>
      </c>
      <c r="BG95" s="2">
        <f>Table1[[#This Row],[DeliveryDate]]-Table1[[#This Row],[OrderDate]]</f>
        <v>3</v>
      </c>
      <c r="BH95" s="2">
        <v>3</v>
      </c>
      <c r="BI95" s="2" t="str">
        <f>IF(OR(Table1[[#This Row],[CustomerTier]]="Platinum", Table1[[#This Row],[Column7]]&gt;1000), "Yes", "No")</f>
        <v>No</v>
      </c>
      <c r="BJ95" s="2" t="s">
        <v>205</v>
      </c>
      <c r="BK95" s="2" t="str">
        <f>IF(Table1[[#This Row],[Quantity]]&gt;=10, "Yes", "No")</f>
        <v>No</v>
      </c>
      <c r="BL95" s="2" t="s">
        <v>205</v>
      </c>
      <c r="BM95" s="2">
        <f>IF(Table1[[#This Row],[Column12]]="Yes", 5%, 0)</f>
        <v>0</v>
      </c>
      <c r="BN95" s="2">
        <v>0</v>
      </c>
      <c r="BO95" s="2"/>
      <c r="BP95" s="2"/>
      <c r="BQ95" s="2" t="s">
        <v>254</v>
      </c>
      <c r="BR95" s="2" t="s">
        <v>209</v>
      </c>
      <c r="BS95" s="3" t="s">
        <v>210</v>
      </c>
    </row>
    <row r="96" spans="1:71" x14ac:dyDescent="0.25">
      <c r="A96" s="1" t="s">
        <v>776</v>
      </c>
      <c r="B96" s="11">
        <v>45719</v>
      </c>
      <c r="C96" s="11">
        <v>45724</v>
      </c>
      <c r="D96" s="2" t="s">
        <v>180</v>
      </c>
      <c r="E96" s="2" t="s">
        <v>181</v>
      </c>
      <c r="F96" s="2" t="s">
        <v>311</v>
      </c>
      <c r="G96" s="2" t="s">
        <v>312</v>
      </c>
      <c r="H96" s="2" t="s">
        <v>184</v>
      </c>
      <c r="I96" s="2" t="s">
        <v>313</v>
      </c>
      <c r="J96" s="2" t="s">
        <v>314</v>
      </c>
      <c r="K96" s="2" t="s">
        <v>184</v>
      </c>
      <c r="L96" s="2" t="s">
        <v>218</v>
      </c>
      <c r="M96" s="2" t="s">
        <v>315</v>
      </c>
      <c r="N96" s="2" t="s">
        <v>316</v>
      </c>
      <c r="O96" s="11">
        <v>44745</v>
      </c>
      <c r="P96" s="2" t="s">
        <v>777</v>
      </c>
      <c r="Q96" s="2" t="s">
        <v>778</v>
      </c>
      <c r="R96" s="2" t="s">
        <v>192</v>
      </c>
      <c r="S96" s="2" t="s">
        <v>755</v>
      </c>
      <c r="T96" s="2" t="s">
        <v>779</v>
      </c>
      <c r="U96" s="2" t="s">
        <v>757</v>
      </c>
      <c r="V96" s="13">
        <v>400</v>
      </c>
      <c r="W96" s="13">
        <v>240</v>
      </c>
      <c r="X96" s="2">
        <v>7</v>
      </c>
      <c r="Y96" s="2" t="s">
        <v>248</v>
      </c>
      <c r="Z96" s="2" t="s">
        <v>880</v>
      </c>
      <c r="AA96" s="2">
        <v>6</v>
      </c>
      <c r="AB96" s="2">
        <v>1</v>
      </c>
      <c r="AC96" s="2">
        <v>5</v>
      </c>
      <c r="AD96" s="2">
        <v>1</v>
      </c>
      <c r="AE96" s="17">
        <f>Table1[[#This Row],[Discount%]]/100</f>
        <v>0.05</v>
      </c>
      <c r="AF96" s="2">
        <v>5</v>
      </c>
      <c r="AG96" s="17">
        <f>Table1[[#This Row],[Tax%]]/100</f>
        <v>7.0000000000000007E-2</v>
      </c>
      <c r="AH96" s="2">
        <v>7</v>
      </c>
      <c r="AI96" s="23">
        <v>25</v>
      </c>
      <c r="AJ96" s="2" t="s">
        <v>229</v>
      </c>
      <c r="AK96" s="2" t="s">
        <v>199</v>
      </c>
      <c r="AL96" s="2" t="s">
        <v>270</v>
      </c>
      <c r="AM96" s="2" t="s">
        <v>271</v>
      </c>
      <c r="AN96" s="2" t="s">
        <v>969</v>
      </c>
      <c r="AO96" s="2" t="s">
        <v>203</v>
      </c>
      <c r="AP96" s="2" t="s">
        <v>880</v>
      </c>
      <c r="AQ96" s="25">
        <v>0</v>
      </c>
      <c r="AR96" s="25">
        <f>IFERROR((Table1[[#This Row],[Column7]]-Table1[[#This Row],[Column8]])/Table1[[#This Row],[Column7]], 0)</f>
        <v>-1.284495887907402</v>
      </c>
      <c r="AS96" s="2">
        <v>40</v>
      </c>
      <c r="AT96" s="21">
        <f>Table1[[#This Row],[Quantity]] * Table1[[#This Row],[CostPrice]]</f>
        <v>240</v>
      </c>
      <c r="AU96" s="2">
        <v>240</v>
      </c>
      <c r="AV96" s="13">
        <f>Table1[[#This Row],[Quantity]] * Table1[[#This Row],[UnitPrice]]</f>
        <v>400</v>
      </c>
      <c r="AW96" s="2">
        <v>400</v>
      </c>
      <c r="AX96" s="21">
        <f>Table1[[#This Row],[Column3]] * (Table1[[#This Row],[Column1]]/100)</f>
        <v>0.2</v>
      </c>
      <c r="AY96" s="2">
        <v>20</v>
      </c>
      <c r="AZ96" s="27">
        <f>Table1[[#This Row],[Column3]] * Table1[[#This Row],[Column4]]</f>
        <v>80</v>
      </c>
      <c r="BA96" s="2">
        <v>380</v>
      </c>
      <c r="BB96" s="15">
        <f>Table1[[#This Row],[Column5]] * (Table1[[#This Row],[Column2]]/100)</f>
        <v>5.6000000000000008E-2</v>
      </c>
      <c r="BC96" s="2">
        <v>26.6</v>
      </c>
      <c r="BD96" s="19">
        <f>Table1[[#This Row],[Column5]] + Table1[[#This Row],[Column6]] + Table1[[#This Row],[ShippingCost]]</f>
        <v>105.056</v>
      </c>
      <c r="BE96" s="2">
        <v>406.6</v>
      </c>
      <c r="BF96" s="2" t="s">
        <v>180</v>
      </c>
      <c r="BG96" s="2">
        <f>Table1[[#This Row],[DeliveryDate]]-Table1[[#This Row],[OrderDate]]</f>
        <v>5</v>
      </c>
      <c r="BH96" s="2">
        <v>5</v>
      </c>
      <c r="BI96" s="2" t="str">
        <f>IF(OR(Table1[[#This Row],[CustomerTier]]="Platinum", Table1[[#This Row],[Column7]]&gt;1000), "Yes", "No")</f>
        <v>No</v>
      </c>
      <c r="BJ96" s="2" t="s">
        <v>204</v>
      </c>
      <c r="BK96" s="2" t="str">
        <f>IF(Table1[[#This Row],[Quantity]]&gt;=10, "Yes", "No")</f>
        <v>No</v>
      </c>
      <c r="BL96" s="2" t="s">
        <v>205</v>
      </c>
      <c r="BM96" s="2">
        <f>IF(Table1[[#This Row],[Column12]]="Yes", 5%, 0)</f>
        <v>0</v>
      </c>
      <c r="BN96" s="2">
        <v>0</v>
      </c>
      <c r="BO96" s="2" t="s">
        <v>352</v>
      </c>
      <c r="BP96" s="2" t="s">
        <v>353</v>
      </c>
      <c r="BQ96" s="2" t="s">
        <v>759</v>
      </c>
      <c r="BR96" s="2" t="s">
        <v>209</v>
      </c>
      <c r="BS96" s="3" t="s">
        <v>210</v>
      </c>
    </row>
    <row r="97" spans="1:71" x14ac:dyDescent="0.25">
      <c r="A97" s="1" t="s">
        <v>780</v>
      </c>
      <c r="B97" s="11">
        <v>45720</v>
      </c>
      <c r="C97" s="11">
        <v>45723</v>
      </c>
      <c r="D97" s="2" t="s">
        <v>180</v>
      </c>
      <c r="E97" s="2" t="s">
        <v>212</v>
      </c>
      <c r="F97" s="2" t="s">
        <v>325</v>
      </c>
      <c r="G97" s="2" t="s">
        <v>326</v>
      </c>
      <c r="H97" s="2" t="s">
        <v>215</v>
      </c>
      <c r="I97" s="2" t="s">
        <v>327</v>
      </c>
      <c r="J97" s="2" t="s">
        <v>217</v>
      </c>
      <c r="K97" s="2" t="s">
        <v>215</v>
      </c>
      <c r="L97" s="2" t="s">
        <v>218</v>
      </c>
      <c r="M97" s="2" t="s">
        <v>328</v>
      </c>
      <c r="N97" s="2" t="s">
        <v>329</v>
      </c>
      <c r="O97" s="11">
        <v>44300</v>
      </c>
      <c r="P97" s="2" t="s">
        <v>781</v>
      </c>
      <c r="Q97" s="2" t="s">
        <v>782</v>
      </c>
      <c r="R97" s="2" t="s">
        <v>265</v>
      </c>
      <c r="S97" s="2" t="s">
        <v>363</v>
      </c>
      <c r="T97" s="2" t="s">
        <v>783</v>
      </c>
      <c r="U97" s="2" t="s">
        <v>268</v>
      </c>
      <c r="V97" s="13">
        <v>22</v>
      </c>
      <c r="W97" s="13">
        <v>12</v>
      </c>
      <c r="X97" s="2">
        <v>0.5</v>
      </c>
      <c r="Y97" s="2" t="s">
        <v>471</v>
      </c>
      <c r="Z97" s="2" t="s">
        <v>784</v>
      </c>
      <c r="AA97" s="2">
        <v>35</v>
      </c>
      <c r="AB97" s="2">
        <v>8</v>
      </c>
      <c r="AC97" s="2">
        <v>1</v>
      </c>
      <c r="AD97" s="2">
        <v>2</v>
      </c>
      <c r="AE97" s="17">
        <f>Table1[[#This Row],[Discount%]]/100</f>
        <v>0</v>
      </c>
      <c r="AF97" s="2">
        <v>0</v>
      </c>
      <c r="AG97" s="17">
        <f>Table1[[#This Row],[Tax%]]/100</f>
        <v>0.05</v>
      </c>
      <c r="AH97" s="2">
        <v>5</v>
      </c>
      <c r="AI97" s="23">
        <v>3</v>
      </c>
      <c r="AJ97" s="2" t="s">
        <v>249</v>
      </c>
      <c r="AK97" s="2" t="s">
        <v>230</v>
      </c>
      <c r="AL97" s="2" t="s">
        <v>231</v>
      </c>
      <c r="AM97" s="2" t="s">
        <v>232</v>
      </c>
      <c r="AN97" s="2" t="s">
        <v>970</v>
      </c>
      <c r="AO97" s="2" t="s">
        <v>203</v>
      </c>
      <c r="AP97" s="2" t="s">
        <v>880</v>
      </c>
      <c r="AQ97" s="25">
        <v>0</v>
      </c>
      <c r="AR97" s="25">
        <f>IFERROR((Table1[[#This Row],[Column7]]-Table1[[#This Row],[Column8]])/Table1[[#This Row],[Column7]], 0)</f>
        <v>-7</v>
      </c>
      <c r="AS97" s="2">
        <v>45.45</v>
      </c>
      <c r="AT97" s="21">
        <f>Table1[[#This Row],[Quantity]] * Table1[[#This Row],[CostPrice]]</f>
        <v>24</v>
      </c>
      <c r="AU97" s="2">
        <v>24</v>
      </c>
      <c r="AV97" s="13">
        <f>Table1[[#This Row],[Quantity]] * Table1[[#This Row],[UnitPrice]]</f>
        <v>44</v>
      </c>
      <c r="AW97" s="2">
        <v>44</v>
      </c>
      <c r="AX97" s="21">
        <f>Table1[[#This Row],[Column3]] * (Table1[[#This Row],[Column1]]/100)</f>
        <v>0</v>
      </c>
      <c r="AY97" s="2">
        <v>0</v>
      </c>
      <c r="AZ97" s="27">
        <f>Table1[[#This Row],[Column3]] * Table1[[#This Row],[Column4]]</f>
        <v>0</v>
      </c>
      <c r="BA97" s="2">
        <v>44</v>
      </c>
      <c r="BB97" s="15">
        <f>Table1[[#This Row],[Column5]] * (Table1[[#This Row],[Column2]]/100)</f>
        <v>0</v>
      </c>
      <c r="BC97" s="2">
        <v>2.2000000000000002</v>
      </c>
      <c r="BD97" s="19">
        <f>Table1[[#This Row],[Column5]] + Table1[[#This Row],[Column6]] + Table1[[#This Row],[ShippingCost]]</f>
        <v>3</v>
      </c>
      <c r="BE97" s="2">
        <v>46.2</v>
      </c>
      <c r="BF97" s="2" t="s">
        <v>180</v>
      </c>
      <c r="BG97" s="2">
        <f>Table1[[#This Row],[DeliveryDate]]-Table1[[#This Row],[OrderDate]]</f>
        <v>3</v>
      </c>
      <c r="BH97" s="2">
        <v>3</v>
      </c>
      <c r="BI97" s="2" t="str">
        <f>IF(OR(Table1[[#This Row],[CustomerTier]]="Platinum", Table1[[#This Row],[Column7]]&gt;1000), "Yes", "No")</f>
        <v>No</v>
      </c>
      <c r="BJ97" s="2" t="s">
        <v>205</v>
      </c>
      <c r="BK97" s="2" t="str">
        <f>IF(Table1[[#This Row],[Quantity]]&gt;=10, "Yes", "No")</f>
        <v>No</v>
      </c>
      <c r="BL97" s="2" t="s">
        <v>205</v>
      </c>
      <c r="BM97" s="2">
        <f>IF(Table1[[#This Row],[Column12]]="Yes", 5%, 0)</f>
        <v>0</v>
      </c>
      <c r="BN97" s="2">
        <v>0</v>
      </c>
      <c r="BO97" s="2"/>
      <c r="BP97" s="2"/>
      <c r="BQ97" s="2" t="s">
        <v>273</v>
      </c>
      <c r="BR97" s="2" t="s">
        <v>255</v>
      </c>
      <c r="BS97" s="3" t="s">
        <v>210</v>
      </c>
    </row>
    <row r="98" spans="1:71" x14ac:dyDescent="0.25">
      <c r="A98" s="1" t="s">
        <v>785</v>
      </c>
      <c r="B98" s="11">
        <v>45720</v>
      </c>
      <c r="C98" s="11">
        <v>45725</v>
      </c>
      <c r="D98" s="2" t="s">
        <v>371</v>
      </c>
      <c r="E98" s="2" t="s">
        <v>181</v>
      </c>
      <c r="F98" s="2" t="s">
        <v>337</v>
      </c>
      <c r="G98" s="2" t="s">
        <v>338</v>
      </c>
      <c r="H98" s="2" t="s">
        <v>184</v>
      </c>
      <c r="I98" s="2" t="s">
        <v>339</v>
      </c>
      <c r="J98" s="2" t="s">
        <v>340</v>
      </c>
      <c r="K98" s="2" t="s">
        <v>184</v>
      </c>
      <c r="L98" s="2" t="s">
        <v>218</v>
      </c>
      <c r="M98" s="2" t="s">
        <v>341</v>
      </c>
      <c r="N98" s="2" t="s">
        <v>342</v>
      </c>
      <c r="O98" s="11">
        <v>44982</v>
      </c>
      <c r="P98" s="2" t="s">
        <v>786</v>
      </c>
      <c r="Q98" s="2" t="s">
        <v>787</v>
      </c>
      <c r="R98" s="2" t="s">
        <v>284</v>
      </c>
      <c r="S98" s="2" t="s">
        <v>788</v>
      </c>
      <c r="T98" s="2" t="s">
        <v>430</v>
      </c>
      <c r="U98" s="2" t="s">
        <v>431</v>
      </c>
      <c r="V98" s="13">
        <v>130</v>
      </c>
      <c r="W98" s="13">
        <v>75</v>
      </c>
      <c r="X98" s="2">
        <v>12</v>
      </c>
      <c r="Y98" s="2" t="s">
        <v>382</v>
      </c>
      <c r="Z98" s="2" t="s">
        <v>880</v>
      </c>
      <c r="AA98" s="2">
        <v>12</v>
      </c>
      <c r="AB98" s="2">
        <v>3</v>
      </c>
      <c r="AC98" s="2">
        <v>3</v>
      </c>
      <c r="AD98" s="2">
        <v>1</v>
      </c>
      <c r="AE98" s="17">
        <f>Table1[[#This Row],[Discount%]]/100</f>
        <v>0</v>
      </c>
      <c r="AF98" s="2">
        <v>0</v>
      </c>
      <c r="AG98" s="17">
        <f>Table1[[#This Row],[Tax%]]/100</f>
        <v>0.06</v>
      </c>
      <c r="AH98" s="2">
        <v>6</v>
      </c>
      <c r="AI98" s="23">
        <v>15</v>
      </c>
      <c r="AJ98" s="2" t="s">
        <v>198</v>
      </c>
      <c r="AK98" s="2" t="s">
        <v>199</v>
      </c>
      <c r="AL98" s="2" t="s">
        <v>290</v>
      </c>
      <c r="AM98" s="2" t="s">
        <v>201</v>
      </c>
      <c r="AN98" s="2" t="s">
        <v>971</v>
      </c>
      <c r="AO98" s="2" t="s">
        <v>203</v>
      </c>
      <c r="AP98" s="2" t="s">
        <v>880</v>
      </c>
      <c r="AQ98" s="25">
        <v>0</v>
      </c>
      <c r="AR98" s="25">
        <f>IFERROR((Table1[[#This Row],[Column7]]-Table1[[#This Row],[Column8]])/Table1[[#This Row],[Column7]], 0)</f>
        <v>-4</v>
      </c>
      <c r="AS98" s="2">
        <v>42.31</v>
      </c>
      <c r="AT98" s="21">
        <f>Table1[[#This Row],[Quantity]] * Table1[[#This Row],[CostPrice]]</f>
        <v>75</v>
      </c>
      <c r="AU98" s="2">
        <v>75</v>
      </c>
      <c r="AV98" s="13">
        <f>Table1[[#This Row],[Quantity]] * Table1[[#This Row],[UnitPrice]]</f>
        <v>130</v>
      </c>
      <c r="AW98" s="2">
        <v>130</v>
      </c>
      <c r="AX98" s="21">
        <f>Table1[[#This Row],[Column3]] * (Table1[[#This Row],[Column1]]/100)</f>
        <v>0</v>
      </c>
      <c r="AY98" s="2">
        <v>0</v>
      </c>
      <c r="AZ98" s="27">
        <f>Table1[[#This Row],[Column3]] * Table1[[#This Row],[Column4]]</f>
        <v>0</v>
      </c>
      <c r="BA98" s="2">
        <v>130</v>
      </c>
      <c r="BB98" s="15">
        <f>Table1[[#This Row],[Column5]] * (Table1[[#This Row],[Column2]]/100)</f>
        <v>0</v>
      </c>
      <c r="BC98" s="2">
        <v>7.8</v>
      </c>
      <c r="BD98" s="19">
        <f>Table1[[#This Row],[Column5]] + Table1[[#This Row],[Column6]] + Table1[[#This Row],[ShippingCost]]</f>
        <v>15</v>
      </c>
      <c r="BE98" s="2">
        <v>137.80000000000001</v>
      </c>
      <c r="BF98" s="2" t="s">
        <v>371</v>
      </c>
      <c r="BG98" s="2">
        <f>Table1[[#This Row],[DeliveryDate]]-Table1[[#This Row],[OrderDate]]</f>
        <v>5</v>
      </c>
      <c r="BH98" s="2">
        <v>5</v>
      </c>
      <c r="BI98" s="2" t="str">
        <f>IF(OR(Table1[[#This Row],[CustomerTier]]="Platinum", Table1[[#This Row],[Column7]]&gt;1000), "Yes", "No")</f>
        <v>Yes</v>
      </c>
      <c r="BJ98" s="2" t="s">
        <v>205</v>
      </c>
      <c r="BK98" s="2" t="str">
        <f>IF(Table1[[#This Row],[Quantity]]&gt;=10, "Yes", "No")</f>
        <v>No</v>
      </c>
      <c r="BL98" s="2" t="s">
        <v>205</v>
      </c>
      <c r="BM98" s="2">
        <f>IF(Table1[[#This Row],[Column12]]="Yes", 5%, 0)</f>
        <v>0</v>
      </c>
      <c r="BN98" s="2">
        <v>0</v>
      </c>
      <c r="BO98" s="2"/>
      <c r="BP98" s="2"/>
      <c r="BQ98" s="2" t="s">
        <v>293</v>
      </c>
      <c r="BR98" s="2" t="s">
        <v>209</v>
      </c>
      <c r="BS98" s="3" t="s">
        <v>210</v>
      </c>
    </row>
    <row r="99" spans="1:71" x14ac:dyDescent="0.25">
      <c r="A99" s="1" t="s">
        <v>789</v>
      </c>
      <c r="B99" s="11">
        <v>45721</v>
      </c>
      <c r="C99" s="11">
        <v>45724</v>
      </c>
      <c r="D99" s="2" t="s">
        <v>180</v>
      </c>
      <c r="E99" s="2" t="s">
        <v>212</v>
      </c>
      <c r="F99" s="2" t="s">
        <v>355</v>
      </c>
      <c r="G99" s="2" t="s">
        <v>356</v>
      </c>
      <c r="H99" s="2" t="s">
        <v>297</v>
      </c>
      <c r="I99" s="2" t="s">
        <v>357</v>
      </c>
      <c r="J99" s="2" t="s">
        <v>358</v>
      </c>
      <c r="K99" s="2" t="s">
        <v>297</v>
      </c>
      <c r="L99" s="2" t="s">
        <v>218</v>
      </c>
      <c r="M99" s="2" t="s">
        <v>359</v>
      </c>
      <c r="N99" s="2" t="s">
        <v>360</v>
      </c>
      <c r="O99" s="11">
        <v>44895</v>
      </c>
      <c r="P99" s="2" t="s">
        <v>790</v>
      </c>
      <c r="Q99" s="2" t="s">
        <v>791</v>
      </c>
      <c r="R99" s="2" t="s">
        <v>578</v>
      </c>
      <c r="S99" s="2" t="s">
        <v>792</v>
      </c>
      <c r="T99" s="2" t="s">
        <v>793</v>
      </c>
      <c r="U99" s="2" t="s">
        <v>581</v>
      </c>
      <c r="V99" s="13">
        <v>4</v>
      </c>
      <c r="W99" s="13">
        <v>2</v>
      </c>
      <c r="X99" s="2">
        <v>0.2</v>
      </c>
      <c r="Y99" s="2"/>
      <c r="Z99" s="2" t="s">
        <v>880</v>
      </c>
      <c r="AA99" s="2">
        <v>150</v>
      </c>
      <c r="AB99" s="2">
        <v>30</v>
      </c>
      <c r="AC99" s="2">
        <v>1</v>
      </c>
      <c r="AD99" s="2">
        <v>12</v>
      </c>
      <c r="AE99" s="17">
        <f>Table1[[#This Row],[Discount%]]/100</f>
        <v>0</v>
      </c>
      <c r="AF99" s="2">
        <v>0</v>
      </c>
      <c r="AG99" s="17">
        <f>Table1[[#This Row],[Tax%]]/100</f>
        <v>0.04</v>
      </c>
      <c r="AH99" s="2">
        <v>4</v>
      </c>
      <c r="AI99" s="23">
        <v>2</v>
      </c>
      <c r="AJ99" s="2" t="s">
        <v>366</v>
      </c>
      <c r="AK99" s="2" t="s">
        <v>230</v>
      </c>
      <c r="AL99" s="2" t="s">
        <v>307</v>
      </c>
      <c r="AM99" s="2" t="s">
        <v>196</v>
      </c>
      <c r="AN99" s="2" t="s">
        <v>972</v>
      </c>
      <c r="AO99" s="2" t="s">
        <v>203</v>
      </c>
      <c r="AP99" s="2" t="s">
        <v>880</v>
      </c>
      <c r="AQ99" s="25">
        <v>0</v>
      </c>
      <c r="AR99" s="25">
        <f>IFERROR((Table1[[#This Row],[Column7]]-Table1[[#This Row],[Column8]])/Table1[[#This Row],[Column7]], 0)</f>
        <v>-11</v>
      </c>
      <c r="AS99" s="2">
        <v>50</v>
      </c>
      <c r="AT99" s="21">
        <f>Table1[[#This Row],[Quantity]] * Table1[[#This Row],[CostPrice]]</f>
        <v>24</v>
      </c>
      <c r="AU99" s="2">
        <v>48</v>
      </c>
      <c r="AV99" s="13">
        <f>Table1[[#This Row],[Quantity]] * Table1[[#This Row],[UnitPrice]]</f>
        <v>48</v>
      </c>
      <c r="AW99" s="2">
        <v>96</v>
      </c>
      <c r="AX99" s="21">
        <f>Table1[[#This Row],[Column3]] * (Table1[[#This Row],[Column1]]/100)</f>
        <v>0</v>
      </c>
      <c r="AY99" s="2">
        <v>0</v>
      </c>
      <c r="AZ99" s="27">
        <f>Table1[[#This Row],[Column3]] * Table1[[#This Row],[Column4]]</f>
        <v>0</v>
      </c>
      <c r="BA99" s="2">
        <v>96</v>
      </c>
      <c r="BB99" s="15">
        <f>Table1[[#This Row],[Column5]] * (Table1[[#This Row],[Column2]]/100)</f>
        <v>0</v>
      </c>
      <c r="BC99" s="2">
        <v>3.84</v>
      </c>
      <c r="BD99" s="19">
        <f>Table1[[#This Row],[Column5]] + Table1[[#This Row],[Column6]] + Table1[[#This Row],[ShippingCost]]</f>
        <v>2</v>
      </c>
      <c r="BE99" s="2">
        <v>99.84</v>
      </c>
      <c r="BF99" s="2" t="s">
        <v>180</v>
      </c>
      <c r="BG99" s="2">
        <f>Table1[[#This Row],[DeliveryDate]]-Table1[[#This Row],[OrderDate]]</f>
        <v>3</v>
      </c>
      <c r="BH99" s="2">
        <v>3</v>
      </c>
      <c r="BI99" s="2" t="str">
        <f>IF(OR(Table1[[#This Row],[CustomerTier]]="Platinum", Table1[[#This Row],[Column7]]&gt;1000), "Yes", "No")</f>
        <v>No</v>
      </c>
      <c r="BJ99" s="2" t="s">
        <v>205</v>
      </c>
      <c r="BK99" s="2" t="str">
        <f>IF(Table1[[#This Row],[Quantity]]&gt;=10, "Yes", "No")</f>
        <v>Yes</v>
      </c>
      <c r="BL99" s="2" t="s">
        <v>204</v>
      </c>
      <c r="BM99" s="2">
        <f>IF(Table1[[#This Row],[Column12]]="Yes", 5%, 0)</f>
        <v>0.05</v>
      </c>
      <c r="BN99" s="2">
        <v>10</v>
      </c>
      <c r="BO99" s="2" t="s">
        <v>369</v>
      </c>
      <c r="BP99" s="2" t="s">
        <v>173</v>
      </c>
      <c r="BQ99" s="2" t="s">
        <v>582</v>
      </c>
      <c r="BR99" s="2" t="s">
        <v>209</v>
      </c>
      <c r="BS99" s="3" t="s">
        <v>210</v>
      </c>
    </row>
    <row r="100" spans="1:71" x14ac:dyDescent="0.25">
      <c r="A100" s="1" t="s">
        <v>794</v>
      </c>
      <c r="B100" s="11">
        <v>45721</v>
      </c>
      <c r="C100" s="11">
        <v>45726</v>
      </c>
      <c r="D100" s="2" t="s">
        <v>180</v>
      </c>
      <c r="E100" s="2" t="s">
        <v>181</v>
      </c>
      <c r="F100" s="2" t="s">
        <v>372</v>
      </c>
      <c r="G100" s="2" t="s">
        <v>373</v>
      </c>
      <c r="H100" s="2" t="s">
        <v>297</v>
      </c>
      <c r="I100" s="2" t="s">
        <v>374</v>
      </c>
      <c r="J100" s="2" t="s">
        <v>375</v>
      </c>
      <c r="K100" s="2" t="s">
        <v>297</v>
      </c>
      <c r="L100" s="2" t="s">
        <v>218</v>
      </c>
      <c r="M100" s="2" t="s">
        <v>376</v>
      </c>
      <c r="N100" s="2" t="s">
        <v>377</v>
      </c>
      <c r="O100" s="11">
        <v>45033</v>
      </c>
      <c r="P100" s="2" t="s">
        <v>795</v>
      </c>
      <c r="Q100" s="2" t="s">
        <v>796</v>
      </c>
      <c r="R100" s="2" t="s">
        <v>244</v>
      </c>
      <c r="S100" s="2" t="s">
        <v>534</v>
      </c>
      <c r="T100" s="2" t="s">
        <v>797</v>
      </c>
      <c r="U100" s="2" t="s">
        <v>247</v>
      </c>
      <c r="V100" s="13">
        <v>45</v>
      </c>
      <c r="W100" s="13">
        <v>25</v>
      </c>
      <c r="X100" s="2">
        <v>3.5</v>
      </c>
      <c r="Y100" s="2" t="s">
        <v>288</v>
      </c>
      <c r="Z100" s="2" t="s">
        <v>880</v>
      </c>
      <c r="AA100" s="2">
        <v>18</v>
      </c>
      <c r="AB100" s="2">
        <v>4</v>
      </c>
      <c r="AC100" s="2">
        <v>2</v>
      </c>
      <c r="AD100" s="2">
        <v>1</v>
      </c>
      <c r="AE100" s="17">
        <f>Table1[[#This Row],[Discount%]]/100</f>
        <v>0</v>
      </c>
      <c r="AF100" s="2">
        <v>0</v>
      </c>
      <c r="AG100" s="17">
        <f>Table1[[#This Row],[Tax%]]/100</f>
        <v>0.06</v>
      </c>
      <c r="AH100" s="2">
        <v>6</v>
      </c>
      <c r="AI100" s="23">
        <v>6</v>
      </c>
      <c r="AJ100" s="2" t="s">
        <v>229</v>
      </c>
      <c r="AK100" s="2" t="s">
        <v>199</v>
      </c>
      <c r="AL100" s="2" t="s">
        <v>200</v>
      </c>
      <c r="AM100" s="2" t="s">
        <v>201</v>
      </c>
      <c r="AN100" s="2" t="s">
        <v>973</v>
      </c>
      <c r="AO100" s="2" t="s">
        <v>203</v>
      </c>
      <c r="AP100" s="2" t="s">
        <v>880</v>
      </c>
      <c r="AQ100" s="25">
        <v>0</v>
      </c>
      <c r="AR100" s="25">
        <f>IFERROR((Table1[[#This Row],[Column7]]-Table1[[#This Row],[Column8]])/Table1[[#This Row],[Column7]], 0)</f>
        <v>-3.1666666666666665</v>
      </c>
      <c r="AS100" s="2">
        <v>44.44</v>
      </c>
      <c r="AT100" s="21">
        <f>Table1[[#This Row],[Quantity]] * Table1[[#This Row],[CostPrice]]</f>
        <v>25</v>
      </c>
      <c r="AU100" s="2">
        <v>25</v>
      </c>
      <c r="AV100" s="13">
        <f>Table1[[#This Row],[Quantity]] * Table1[[#This Row],[UnitPrice]]</f>
        <v>45</v>
      </c>
      <c r="AW100" s="2">
        <v>45</v>
      </c>
      <c r="AX100" s="21">
        <f>Table1[[#This Row],[Column3]] * (Table1[[#This Row],[Column1]]/100)</f>
        <v>0</v>
      </c>
      <c r="AY100" s="2">
        <v>0</v>
      </c>
      <c r="AZ100" s="27">
        <f>Table1[[#This Row],[Column3]] * Table1[[#This Row],[Column4]]</f>
        <v>0</v>
      </c>
      <c r="BA100" s="2">
        <v>45</v>
      </c>
      <c r="BB100" s="15">
        <f>Table1[[#This Row],[Column5]] * (Table1[[#This Row],[Column2]]/100)</f>
        <v>0</v>
      </c>
      <c r="BC100" s="2">
        <v>2.7</v>
      </c>
      <c r="BD100" s="19">
        <f>Table1[[#This Row],[Column5]] + Table1[[#This Row],[Column6]] + Table1[[#This Row],[ShippingCost]]</f>
        <v>6</v>
      </c>
      <c r="BE100" s="2">
        <v>47.7</v>
      </c>
      <c r="BF100" s="2" t="s">
        <v>180</v>
      </c>
      <c r="BG100" s="2">
        <f>Table1[[#This Row],[DeliveryDate]]-Table1[[#This Row],[OrderDate]]</f>
        <v>5</v>
      </c>
      <c r="BH100" s="2">
        <v>5</v>
      </c>
      <c r="BI100" s="2" t="str">
        <f>IF(OR(Table1[[#This Row],[CustomerTier]]="Platinum", Table1[[#This Row],[Column7]]&gt;1000), "Yes", "No")</f>
        <v>Yes</v>
      </c>
      <c r="BJ100" s="2" t="s">
        <v>205</v>
      </c>
      <c r="BK100" s="2" t="str">
        <f>IF(Table1[[#This Row],[Quantity]]&gt;=10, "Yes", "No")</f>
        <v>No</v>
      </c>
      <c r="BL100" s="2" t="s">
        <v>205</v>
      </c>
      <c r="BM100" s="2">
        <f>IF(Table1[[#This Row],[Column12]]="Yes", 5%, 0)</f>
        <v>0</v>
      </c>
      <c r="BN100" s="2">
        <v>0</v>
      </c>
      <c r="BO100" s="2" t="s">
        <v>206</v>
      </c>
      <c r="BP100" s="2" t="s">
        <v>207</v>
      </c>
      <c r="BQ100" s="2" t="s">
        <v>254</v>
      </c>
      <c r="BR100" s="2" t="s">
        <v>209</v>
      </c>
      <c r="BS100" s="3" t="s">
        <v>210</v>
      </c>
    </row>
    <row r="101" spans="1:71" x14ac:dyDescent="0.25">
      <c r="A101" s="1" t="s">
        <v>798</v>
      </c>
      <c r="B101" s="11">
        <v>45722</v>
      </c>
      <c r="C101" s="11">
        <v>45725</v>
      </c>
      <c r="D101" s="2" t="s">
        <v>180</v>
      </c>
      <c r="E101" s="2" t="s">
        <v>212</v>
      </c>
      <c r="F101" s="2" t="s">
        <v>213</v>
      </c>
      <c r="G101" s="2" t="s">
        <v>214</v>
      </c>
      <c r="H101" s="2" t="s">
        <v>215</v>
      </c>
      <c r="I101" s="2" t="s">
        <v>216</v>
      </c>
      <c r="J101" s="2" t="s">
        <v>217</v>
      </c>
      <c r="K101" s="2" t="s">
        <v>215</v>
      </c>
      <c r="L101" s="2" t="s">
        <v>218</v>
      </c>
      <c r="M101" s="2" t="s">
        <v>219</v>
      </c>
      <c r="N101" s="2" t="s">
        <v>220</v>
      </c>
      <c r="O101" s="11">
        <v>44362</v>
      </c>
      <c r="P101" s="2" t="s">
        <v>799</v>
      </c>
      <c r="Q101" s="2" t="s">
        <v>800</v>
      </c>
      <c r="R101" s="2" t="s">
        <v>244</v>
      </c>
      <c r="S101" s="2" t="s">
        <v>519</v>
      </c>
      <c r="T101" s="2" t="s">
        <v>801</v>
      </c>
      <c r="U101" s="2" t="s">
        <v>247</v>
      </c>
      <c r="V101" s="13">
        <v>35</v>
      </c>
      <c r="W101" s="13">
        <v>19</v>
      </c>
      <c r="X101" s="2">
        <v>0.5</v>
      </c>
      <c r="Y101" s="2" t="s">
        <v>196</v>
      </c>
      <c r="Z101" s="2" t="s">
        <v>880</v>
      </c>
      <c r="AA101" s="2">
        <v>25</v>
      </c>
      <c r="AB101" s="2">
        <v>5</v>
      </c>
      <c r="AC101" s="2">
        <v>1</v>
      </c>
      <c r="AD101" s="2">
        <v>1</v>
      </c>
      <c r="AE101" s="17">
        <f>Table1[[#This Row],[Discount%]]/100</f>
        <v>0.05</v>
      </c>
      <c r="AF101" s="2">
        <v>5</v>
      </c>
      <c r="AG101" s="17">
        <f>Table1[[#This Row],[Tax%]]/100</f>
        <v>0.06</v>
      </c>
      <c r="AH101" s="2">
        <v>6</v>
      </c>
      <c r="AI101" s="23">
        <v>3</v>
      </c>
      <c r="AJ101" s="2" t="s">
        <v>249</v>
      </c>
      <c r="AK101" s="2" t="s">
        <v>230</v>
      </c>
      <c r="AL101" s="2" t="s">
        <v>348</v>
      </c>
      <c r="AM101" s="2" t="s">
        <v>232</v>
      </c>
      <c r="AN101" s="2" t="s">
        <v>974</v>
      </c>
      <c r="AO101" s="2" t="s">
        <v>203</v>
      </c>
      <c r="AP101" s="2" t="s">
        <v>880</v>
      </c>
      <c r="AQ101" s="25">
        <v>0</v>
      </c>
      <c r="AR101" s="25">
        <f>IFERROR((Table1[[#This Row],[Column7]]-Table1[[#This Row],[Column8]])/Table1[[#This Row],[Column7]], 0)</f>
        <v>-4.2589805742945179</v>
      </c>
      <c r="AS101" s="2">
        <v>45.71</v>
      </c>
      <c r="AT101" s="21">
        <f>Table1[[#This Row],[Quantity]] * Table1[[#This Row],[CostPrice]]</f>
        <v>19</v>
      </c>
      <c r="AU101" s="2">
        <v>19</v>
      </c>
      <c r="AV101" s="13">
        <f>Table1[[#This Row],[Quantity]] * Table1[[#This Row],[UnitPrice]]</f>
        <v>35</v>
      </c>
      <c r="AW101" s="2">
        <v>35</v>
      </c>
      <c r="AX101" s="21">
        <f>Table1[[#This Row],[Column3]] * (Table1[[#This Row],[Column1]]/100)</f>
        <v>1.7500000000000002E-2</v>
      </c>
      <c r="AY101" s="2">
        <v>1.75</v>
      </c>
      <c r="AZ101" s="27">
        <f>Table1[[#This Row],[Column3]] * Table1[[#This Row],[Column4]]</f>
        <v>0.61250000000000004</v>
      </c>
      <c r="BA101" s="2">
        <v>33.25</v>
      </c>
      <c r="BB101" s="15">
        <f>Table1[[#This Row],[Column5]] * (Table1[[#This Row],[Column2]]/100)</f>
        <v>3.6749999999999999E-4</v>
      </c>
      <c r="BC101" s="2">
        <v>2</v>
      </c>
      <c r="BD101" s="19">
        <f>Table1[[#This Row],[Column5]] + Table1[[#This Row],[Column6]] + Table1[[#This Row],[ShippingCost]]</f>
        <v>3.6128675000000001</v>
      </c>
      <c r="BE101" s="2">
        <v>35.25</v>
      </c>
      <c r="BF101" s="2" t="s">
        <v>180</v>
      </c>
      <c r="BG101" s="2">
        <f>Table1[[#This Row],[DeliveryDate]]-Table1[[#This Row],[OrderDate]]</f>
        <v>3</v>
      </c>
      <c r="BH101" s="2">
        <v>3</v>
      </c>
      <c r="BI101" s="2" t="str">
        <f>IF(OR(Table1[[#This Row],[CustomerTier]]="Platinum", Table1[[#This Row],[Column7]]&gt;1000), "Yes", "No")</f>
        <v>No</v>
      </c>
      <c r="BJ101" s="2" t="s">
        <v>205</v>
      </c>
      <c r="BK101" s="2" t="str">
        <f>IF(Table1[[#This Row],[Quantity]]&gt;=10, "Yes", "No")</f>
        <v>No</v>
      </c>
      <c r="BL101" s="2" t="s">
        <v>205</v>
      </c>
      <c r="BM101" s="2">
        <f>IF(Table1[[#This Row],[Column12]]="Yes", 5%, 0)</f>
        <v>0</v>
      </c>
      <c r="BN101" s="2">
        <v>0</v>
      </c>
      <c r="BO101" s="2" t="s">
        <v>252</v>
      </c>
      <c r="BP101" s="2" t="s">
        <v>253</v>
      </c>
      <c r="BQ101" s="2" t="s">
        <v>254</v>
      </c>
      <c r="BR101" s="2" t="s">
        <v>209</v>
      </c>
      <c r="BS101" s="3" t="s">
        <v>210</v>
      </c>
    </row>
    <row r="102" spans="1:71" x14ac:dyDescent="0.25">
      <c r="A102" s="1" t="s">
        <v>802</v>
      </c>
      <c r="B102" s="11">
        <v>45722</v>
      </c>
      <c r="C102" s="11">
        <v>45727</v>
      </c>
      <c r="D102" s="2" t="s">
        <v>180</v>
      </c>
      <c r="E102" s="2" t="s">
        <v>181</v>
      </c>
      <c r="F102" s="2" t="s">
        <v>257</v>
      </c>
      <c r="G102" s="2" t="s">
        <v>258</v>
      </c>
      <c r="H102" s="2" t="s">
        <v>184</v>
      </c>
      <c r="I102" s="2" t="s">
        <v>259</v>
      </c>
      <c r="J102" s="2" t="s">
        <v>260</v>
      </c>
      <c r="K102" s="2" t="s">
        <v>184</v>
      </c>
      <c r="L102" s="2" t="s">
        <v>218</v>
      </c>
      <c r="M102" s="2" t="s">
        <v>261</v>
      </c>
      <c r="N102" s="2" t="s">
        <v>262</v>
      </c>
      <c r="O102" s="11">
        <v>44140</v>
      </c>
      <c r="P102" s="2" t="s">
        <v>803</v>
      </c>
      <c r="Q102" s="2" t="s">
        <v>804</v>
      </c>
      <c r="R102" s="2" t="s">
        <v>285</v>
      </c>
      <c r="S102" s="2" t="s">
        <v>695</v>
      </c>
      <c r="T102" s="2" t="s">
        <v>805</v>
      </c>
      <c r="U102" s="2" t="s">
        <v>287</v>
      </c>
      <c r="V102" s="13">
        <v>18</v>
      </c>
      <c r="W102" s="13">
        <v>9</v>
      </c>
      <c r="X102" s="2">
        <v>0.3</v>
      </c>
      <c r="Y102" s="2" t="s">
        <v>484</v>
      </c>
      <c r="Z102" s="2" t="s">
        <v>806</v>
      </c>
      <c r="AA102" s="2">
        <v>45</v>
      </c>
      <c r="AB102" s="2">
        <v>10</v>
      </c>
      <c r="AC102" s="2">
        <v>2</v>
      </c>
      <c r="AD102" s="2">
        <v>2</v>
      </c>
      <c r="AE102" s="17">
        <f>Table1[[#This Row],[Discount%]]/100</f>
        <v>0</v>
      </c>
      <c r="AF102" s="2">
        <v>0</v>
      </c>
      <c r="AG102" s="17">
        <f>Table1[[#This Row],[Tax%]]/100</f>
        <v>0.05</v>
      </c>
      <c r="AH102" s="2">
        <v>5</v>
      </c>
      <c r="AI102" s="23">
        <v>3</v>
      </c>
      <c r="AJ102" s="2" t="s">
        <v>198</v>
      </c>
      <c r="AK102" s="2" t="s">
        <v>230</v>
      </c>
      <c r="AL102" s="2" t="s">
        <v>250</v>
      </c>
      <c r="AM102" s="2" t="s">
        <v>196</v>
      </c>
      <c r="AN102" s="2" t="s">
        <v>975</v>
      </c>
      <c r="AO102" s="2" t="s">
        <v>203</v>
      </c>
      <c r="AP102" s="2" t="s">
        <v>880</v>
      </c>
      <c r="AQ102" s="25">
        <v>0</v>
      </c>
      <c r="AR102" s="25">
        <f>IFERROR((Table1[[#This Row],[Column7]]-Table1[[#This Row],[Column8]])/Table1[[#This Row],[Column7]], 0)</f>
        <v>-5</v>
      </c>
      <c r="AS102" s="2">
        <v>50</v>
      </c>
      <c r="AT102" s="21">
        <f>Table1[[#This Row],[Quantity]] * Table1[[#This Row],[CostPrice]]</f>
        <v>18</v>
      </c>
      <c r="AU102" s="2">
        <v>18</v>
      </c>
      <c r="AV102" s="13">
        <f>Table1[[#This Row],[Quantity]] * Table1[[#This Row],[UnitPrice]]</f>
        <v>36</v>
      </c>
      <c r="AW102" s="2">
        <v>36</v>
      </c>
      <c r="AX102" s="21">
        <f>Table1[[#This Row],[Column3]] * (Table1[[#This Row],[Column1]]/100)</f>
        <v>0</v>
      </c>
      <c r="AY102" s="2">
        <v>0</v>
      </c>
      <c r="AZ102" s="27">
        <f>Table1[[#This Row],[Column3]] * Table1[[#This Row],[Column4]]</f>
        <v>0</v>
      </c>
      <c r="BA102" s="2">
        <v>36</v>
      </c>
      <c r="BB102" s="15">
        <f>Table1[[#This Row],[Column5]] * (Table1[[#This Row],[Column2]]/100)</f>
        <v>0</v>
      </c>
      <c r="BC102" s="2">
        <v>1.8</v>
      </c>
      <c r="BD102" s="19">
        <f>Table1[[#This Row],[Column5]] + Table1[[#This Row],[Column6]] + Table1[[#This Row],[ShippingCost]]</f>
        <v>3</v>
      </c>
      <c r="BE102" s="2">
        <v>37.799999999999997</v>
      </c>
      <c r="BF102" s="2" t="s">
        <v>180</v>
      </c>
      <c r="BG102" s="2">
        <f>Table1[[#This Row],[DeliveryDate]]-Table1[[#This Row],[OrderDate]]</f>
        <v>5</v>
      </c>
      <c r="BH102" s="2">
        <v>5</v>
      </c>
      <c r="BI102" s="2" t="str">
        <f>IF(OR(Table1[[#This Row],[CustomerTier]]="Platinum", Table1[[#This Row],[Column7]]&gt;1000), "Yes", "No")</f>
        <v>No</v>
      </c>
      <c r="BJ102" s="2" t="s">
        <v>205</v>
      </c>
      <c r="BK102" s="2" t="str">
        <f>IF(Table1[[#This Row],[Quantity]]&gt;=10, "Yes", "No")</f>
        <v>No</v>
      </c>
      <c r="BL102" s="2" t="s">
        <v>205</v>
      </c>
      <c r="BM102" s="2">
        <f>IF(Table1[[#This Row],[Column12]]="Yes", 5%, 0)</f>
        <v>0</v>
      </c>
      <c r="BN102" s="2">
        <v>0</v>
      </c>
      <c r="BO102" s="2"/>
      <c r="BP102" s="2"/>
      <c r="BQ102" s="2" t="s">
        <v>422</v>
      </c>
      <c r="BR102" s="2" t="s">
        <v>209</v>
      </c>
      <c r="BS102" s="3" t="s">
        <v>210</v>
      </c>
    </row>
    <row r="103" spans="1:71" x14ac:dyDescent="0.25">
      <c r="A103" s="1" t="s">
        <v>807</v>
      </c>
      <c r="B103" s="11">
        <v>45723</v>
      </c>
      <c r="C103" s="11">
        <v>45726</v>
      </c>
      <c r="D103" s="2" t="s">
        <v>180</v>
      </c>
      <c r="E103" s="2" t="s">
        <v>212</v>
      </c>
      <c r="F103" s="2" t="s">
        <v>275</v>
      </c>
      <c r="G103" s="2" t="s">
        <v>276</v>
      </c>
      <c r="H103" s="2" t="s">
        <v>277</v>
      </c>
      <c r="I103" s="2" t="s">
        <v>278</v>
      </c>
      <c r="J103" s="2" t="s">
        <v>279</v>
      </c>
      <c r="K103" s="2" t="s">
        <v>277</v>
      </c>
      <c r="L103" s="2" t="s">
        <v>187</v>
      </c>
      <c r="M103" s="2" t="s">
        <v>280</v>
      </c>
      <c r="N103" s="2" t="s">
        <v>281</v>
      </c>
      <c r="O103" s="11">
        <v>43508</v>
      </c>
      <c r="P103" s="2" t="s">
        <v>808</v>
      </c>
      <c r="Q103" s="2" t="s">
        <v>809</v>
      </c>
      <c r="R103" s="2" t="s">
        <v>810</v>
      </c>
      <c r="S103" s="2" t="s">
        <v>363</v>
      </c>
      <c r="T103" s="2" t="s">
        <v>811</v>
      </c>
      <c r="U103" s="2" t="s">
        <v>812</v>
      </c>
      <c r="V103" s="13">
        <v>65</v>
      </c>
      <c r="W103" s="13">
        <v>36</v>
      </c>
      <c r="X103" s="2">
        <v>2.5</v>
      </c>
      <c r="Y103" s="2" t="s">
        <v>461</v>
      </c>
      <c r="Z103" s="2" t="s">
        <v>347</v>
      </c>
      <c r="AA103" s="2">
        <v>15</v>
      </c>
      <c r="AB103" s="2">
        <v>4</v>
      </c>
      <c r="AC103" s="2">
        <v>2</v>
      </c>
      <c r="AD103" s="2">
        <v>1</v>
      </c>
      <c r="AE103" s="17">
        <f>Table1[[#This Row],[Discount%]]/100</f>
        <v>0</v>
      </c>
      <c r="AF103" s="2">
        <v>0</v>
      </c>
      <c r="AG103" s="17">
        <f>Table1[[#This Row],[Tax%]]/100</f>
        <v>0.06</v>
      </c>
      <c r="AH103" s="2">
        <v>6</v>
      </c>
      <c r="AI103" s="23">
        <v>8</v>
      </c>
      <c r="AJ103" s="2" t="s">
        <v>289</v>
      </c>
      <c r="AK103" s="2" t="s">
        <v>199</v>
      </c>
      <c r="AL103" s="2" t="s">
        <v>367</v>
      </c>
      <c r="AM103" s="2" t="s">
        <v>271</v>
      </c>
      <c r="AN103" s="2" t="s">
        <v>976</v>
      </c>
      <c r="AO103" s="2" t="s">
        <v>203</v>
      </c>
      <c r="AP103" s="2" t="s">
        <v>880</v>
      </c>
      <c r="AQ103" s="25">
        <v>0</v>
      </c>
      <c r="AR103" s="25">
        <f>IFERROR((Table1[[#This Row],[Column7]]-Table1[[#This Row],[Column8]])/Table1[[#This Row],[Column7]], 0)</f>
        <v>-3.5</v>
      </c>
      <c r="AS103" s="2">
        <v>44.62</v>
      </c>
      <c r="AT103" s="21">
        <f>Table1[[#This Row],[Quantity]] * Table1[[#This Row],[CostPrice]]</f>
        <v>36</v>
      </c>
      <c r="AU103" s="2">
        <v>36</v>
      </c>
      <c r="AV103" s="13">
        <f>Table1[[#This Row],[Quantity]] * Table1[[#This Row],[UnitPrice]]</f>
        <v>65</v>
      </c>
      <c r="AW103" s="2">
        <v>65</v>
      </c>
      <c r="AX103" s="21">
        <f>Table1[[#This Row],[Column3]] * (Table1[[#This Row],[Column1]]/100)</f>
        <v>0</v>
      </c>
      <c r="AY103" s="2">
        <v>0</v>
      </c>
      <c r="AZ103" s="27">
        <f>Table1[[#This Row],[Column3]] * Table1[[#This Row],[Column4]]</f>
        <v>0</v>
      </c>
      <c r="BA103" s="2">
        <v>65</v>
      </c>
      <c r="BB103" s="15">
        <f>Table1[[#This Row],[Column5]] * (Table1[[#This Row],[Column2]]/100)</f>
        <v>0</v>
      </c>
      <c r="BC103" s="2">
        <v>3.9</v>
      </c>
      <c r="BD103" s="19">
        <f>Table1[[#This Row],[Column5]] + Table1[[#This Row],[Column6]] + Table1[[#This Row],[ShippingCost]]</f>
        <v>8</v>
      </c>
      <c r="BE103" s="2">
        <v>68.900000000000006</v>
      </c>
      <c r="BF103" s="2" t="s">
        <v>180</v>
      </c>
      <c r="BG103" s="2">
        <f>Table1[[#This Row],[DeliveryDate]]-Table1[[#This Row],[OrderDate]]</f>
        <v>3</v>
      </c>
      <c r="BH103" s="2">
        <v>3</v>
      </c>
      <c r="BI103" s="2" t="str">
        <f>IF(OR(Table1[[#This Row],[CustomerTier]]="Platinum", Table1[[#This Row],[Column7]]&gt;1000), "Yes", "No")</f>
        <v>No</v>
      </c>
      <c r="BJ103" s="2" t="s">
        <v>205</v>
      </c>
      <c r="BK103" s="2" t="str">
        <f>IF(Table1[[#This Row],[Quantity]]&gt;=10, "Yes", "No")</f>
        <v>No</v>
      </c>
      <c r="BL103" s="2" t="s">
        <v>205</v>
      </c>
      <c r="BM103" s="2">
        <f>IF(Table1[[#This Row],[Column12]]="Yes", 5%, 0)</f>
        <v>0</v>
      </c>
      <c r="BN103" s="2">
        <v>0</v>
      </c>
      <c r="BO103" s="2"/>
      <c r="BP103" s="2"/>
      <c r="BQ103" s="2" t="s">
        <v>813</v>
      </c>
      <c r="BR103" s="2" t="s">
        <v>209</v>
      </c>
      <c r="BS103" s="3" t="s">
        <v>210</v>
      </c>
    </row>
    <row r="104" spans="1:71" x14ac:dyDescent="0.25">
      <c r="A104" s="1" t="s">
        <v>814</v>
      </c>
      <c r="B104" s="11">
        <v>45723</v>
      </c>
      <c r="C104" s="11">
        <v>45728</v>
      </c>
      <c r="D104" s="2" t="s">
        <v>310</v>
      </c>
      <c r="E104" s="2" t="s">
        <v>181</v>
      </c>
      <c r="F104" s="2" t="s">
        <v>236</v>
      </c>
      <c r="G104" s="2" t="s">
        <v>237</v>
      </c>
      <c r="H104" s="2" t="s">
        <v>215</v>
      </c>
      <c r="I104" s="2" t="s">
        <v>238</v>
      </c>
      <c r="J104" s="2" t="s">
        <v>239</v>
      </c>
      <c r="K104" s="2" t="s">
        <v>215</v>
      </c>
      <c r="L104" s="2" t="s">
        <v>218</v>
      </c>
      <c r="M104" s="2" t="s">
        <v>240</v>
      </c>
      <c r="N104" s="2" t="s">
        <v>241</v>
      </c>
      <c r="O104" s="11">
        <v>44814</v>
      </c>
      <c r="P104" s="2" t="s">
        <v>815</v>
      </c>
      <c r="Q104" s="2" t="s">
        <v>816</v>
      </c>
      <c r="R104" s="2" t="s">
        <v>192</v>
      </c>
      <c r="S104" s="2" t="s">
        <v>193</v>
      </c>
      <c r="T104" s="2" t="s">
        <v>817</v>
      </c>
      <c r="U104" s="2" t="s">
        <v>365</v>
      </c>
      <c r="V104" s="13">
        <v>42</v>
      </c>
      <c r="W104" s="13">
        <v>23</v>
      </c>
      <c r="X104" s="2">
        <v>0.15</v>
      </c>
      <c r="Y104" s="2" t="s">
        <v>288</v>
      </c>
      <c r="Z104" s="2" t="s">
        <v>818</v>
      </c>
      <c r="AA104" s="2">
        <v>40</v>
      </c>
      <c r="AB104" s="2">
        <v>10</v>
      </c>
      <c r="AC104" s="2">
        <v>1</v>
      </c>
      <c r="AD104" s="2">
        <v>2</v>
      </c>
      <c r="AE104" s="17">
        <f>Table1[[#This Row],[Discount%]]/100</f>
        <v>0</v>
      </c>
      <c r="AF104" s="2">
        <v>0</v>
      </c>
      <c r="AG104" s="17">
        <f>Table1[[#This Row],[Tax%]]/100</f>
        <v>0.05</v>
      </c>
      <c r="AH104" s="2">
        <v>5</v>
      </c>
      <c r="AI104" s="23">
        <v>4</v>
      </c>
      <c r="AJ104" s="2" t="s">
        <v>229</v>
      </c>
      <c r="AK104" s="2" t="s">
        <v>230</v>
      </c>
      <c r="AL104" s="2" t="s">
        <v>231</v>
      </c>
      <c r="AM104" s="2" t="s">
        <v>232</v>
      </c>
      <c r="AN104" s="2" t="s">
        <v>977</v>
      </c>
      <c r="AO104" s="2" t="s">
        <v>203</v>
      </c>
      <c r="AP104" s="2" t="s">
        <v>880</v>
      </c>
      <c r="AQ104" s="25">
        <v>0</v>
      </c>
      <c r="AR104" s="25">
        <f>IFERROR((Table1[[#This Row],[Column7]]-Table1[[#This Row],[Column8]])/Table1[[#This Row],[Column7]], 0)</f>
        <v>-10.5</v>
      </c>
      <c r="AS104" s="2">
        <v>45.24</v>
      </c>
      <c r="AT104" s="21">
        <f>Table1[[#This Row],[Quantity]] * Table1[[#This Row],[CostPrice]]</f>
        <v>46</v>
      </c>
      <c r="AU104" s="2">
        <v>46</v>
      </c>
      <c r="AV104" s="13">
        <f>Table1[[#This Row],[Quantity]] * Table1[[#This Row],[UnitPrice]]</f>
        <v>84</v>
      </c>
      <c r="AW104" s="2">
        <v>84</v>
      </c>
      <c r="AX104" s="21">
        <f>Table1[[#This Row],[Column3]] * (Table1[[#This Row],[Column1]]/100)</f>
        <v>0</v>
      </c>
      <c r="AY104" s="2">
        <v>0</v>
      </c>
      <c r="AZ104" s="27">
        <f>Table1[[#This Row],[Column3]] * Table1[[#This Row],[Column4]]</f>
        <v>0</v>
      </c>
      <c r="BA104" s="2">
        <v>84</v>
      </c>
      <c r="BB104" s="15">
        <f>Table1[[#This Row],[Column5]] * (Table1[[#This Row],[Column2]]/100)</f>
        <v>0</v>
      </c>
      <c r="BC104" s="2">
        <v>4.2</v>
      </c>
      <c r="BD104" s="19">
        <f>Table1[[#This Row],[Column5]] + Table1[[#This Row],[Column6]] + Table1[[#This Row],[ShippingCost]]</f>
        <v>4</v>
      </c>
      <c r="BE104" s="2">
        <v>88.2</v>
      </c>
      <c r="BF104" s="2" t="s">
        <v>310</v>
      </c>
      <c r="BG104" s="2">
        <f>Table1[[#This Row],[DeliveryDate]]-Table1[[#This Row],[OrderDate]]</f>
        <v>5</v>
      </c>
      <c r="BH104" s="2">
        <v>5</v>
      </c>
      <c r="BI104" s="2" t="str">
        <f>IF(OR(Table1[[#This Row],[CustomerTier]]="Platinum", Table1[[#This Row],[Column7]]&gt;1000), "Yes", "No")</f>
        <v>No</v>
      </c>
      <c r="BJ104" s="2" t="s">
        <v>205</v>
      </c>
      <c r="BK104" s="2" t="str">
        <f>IF(Table1[[#This Row],[Quantity]]&gt;=10, "Yes", "No")</f>
        <v>No</v>
      </c>
      <c r="BL104" s="2" t="s">
        <v>205</v>
      </c>
      <c r="BM104" s="2">
        <f>IF(Table1[[#This Row],[Column12]]="Yes", 5%, 0)</f>
        <v>0</v>
      </c>
      <c r="BN104" s="2">
        <v>0</v>
      </c>
      <c r="BO104" s="2" t="s">
        <v>206</v>
      </c>
      <c r="BP104" s="2"/>
      <c r="BQ104" s="2" t="s">
        <v>208</v>
      </c>
      <c r="BR104" s="2" t="s">
        <v>209</v>
      </c>
      <c r="BS104" s="3" t="s">
        <v>210</v>
      </c>
    </row>
    <row r="105" spans="1:71" x14ac:dyDescent="0.25">
      <c r="A105" s="1" t="s">
        <v>819</v>
      </c>
      <c r="B105" s="11">
        <v>45724</v>
      </c>
      <c r="C105" s="11">
        <v>45727</v>
      </c>
      <c r="D105" s="2" t="s">
        <v>180</v>
      </c>
      <c r="E105" s="2" t="s">
        <v>212</v>
      </c>
      <c r="F105" s="2" t="s">
        <v>182</v>
      </c>
      <c r="G105" s="2" t="s">
        <v>183</v>
      </c>
      <c r="H105" s="2" t="s">
        <v>184</v>
      </c>
      <c r="I105" s="2" t="s">
        <v>185</v>
      </c>
      <c r="J105" s="2" t="s">
        <v>186</v>
      </c>
      <c r="K105" s="2" t="s">
        <v>184</v>
      </c>
      <c r="L105" s="2" t="s">
        <v>187</v>
      </c>
      <c r="M105" s="2" t="s">
        <v>188</v>
      </c>
      <c r="N105" s="2" t="s">
        <v>189</v>
      </c>
      <c r="O105" s="11">
        <v>43891</v>
      </c>
      <c r="P105" s="2" t="s">
        <v>820</v>
      </c>
      <c r="Q105" s="2" t="s">
        <v>821</v>
      </c>
      <c r="R105" s="2" t="s">
        <v>244</v>
      </c>
      <c r="S105" s="2" t="s">
        <v>245</v>
      </c>
      <c r="T105" s="2" t="s">
        <v>621</v>
      </c>
      <c r="U105" s="2" t="s">
        <v>247</v>
      </c>
      <c r="V105" s="13">
        <v>55</v>
      </c>
      <c r="W105" s="13">
        <v>30</v>
      </c>
      <c r="X105" s="2">
        <v>2.2000000000000002</v>
      </c>
      <c r="Y105" s="2" t="s">
        <v>288</v>
      </c>
      <c r="Z105" s="2" t="s">
        <v>822</v>
      </c>
      <c r="AA105" s="2">
        <v>20</v>
      </c>
      <c r="AB105" s="2">
        <v>5</v>
      </c>
      <c r="AC105" s="2">
        <v>2</v>
      </c>
      <c r="AD105" s="2">
        <v>1</v>
      </c>
      <c r="AE105" s="17">
        <f>Table1[[#This Row],[Discount%]]/100</f>
        <v>0.05</v>
      </c>
      <c r="AF105" s="2">
        <v>5</v>
      </c>
      <c r="AG105" s="17">
        <f>Table1[[#This Row],[Tax%]]/100</f>
        <v>0.06</v>
      </c>
      <c r="AH105" s="2">
        <v>6</v>
      </c>
      <c r="AI105" s="23">
        <v>5</v>
      </c>
      <c r="AJ105" s="2" t="s">
        <v>249</v>
      </c>
      <c r="AK105" s="2" t="s">
        <v>199</v>
      </c>
      <c r="AL105" s="2" t="s">
        <v>200</v>
      </c>
      <c r="AM105" s="2" t="s">
        <v>201</v>
      </c>
      <c r="AN105" s="2" t="s">
        <v>978</v>
      </c>
      <c r="AO105" s="2" t="s">
        <v>203</v>
      </c>
      <c r="AP105" s="2" t="s">
        <v>880</v>
      </c>
      <c r="AQ105" s="25">
        <v>0</v>
      </c>
      <c r="AR105" s="25">
        <f>IFERROR((Table1[[#This Row],[Column7]]-Table1[[#This Row],[Column8]])/Table1[[#This Row],[Column7]], 0)</f>
        <v>-3.6058840936944296</v>
      </c>
      <c r="AS105" s="2">
        <v>45.45</v>
      </c>
      <c r="AT105" s="21">
        <f>Table1[[#This Row],[Quantity]] * Table1[[#This Row],[CostPrice]]</f>
        <v>30</v>
      </c>
      <c r="AU105" s="2">
        <v>30</v>
      </c>
      <c r="AV105" s="13">
        <f>Table1[[#This Row],[Quantity]] * Table1[[#This Row],[UnitPrice]]</f>
        <v>55</v>
      </c>
      <c r="AW105" s="2">
        <v>55</v>
      </c>
      <c r="AX105" s="21">
        <f>Table1[[#This Row],[Column3]] * (Table1[[#This Row],[Column1]]/100)</f>
        <v>2.75E-2</v>
      </c>
      <c r="AY105" s="2">
        <v>2.75</v>
      </c>
      <c r="AZ105" s="27">
        <f>Table1[[#This Row],[Column3]] * Table1[[#This Row],[Column4]]</f>
        <v>1.5125</v>
      </c>
      <c r="BA105" s="2">
        <v>52.25</v>
      </c>
      <c r="BB105" s="15">
        <f>Table1[[#This Row],[Column5]] * (Table1[[#This Row],[Column2]]/100)</f>
        <v>9.0749999999999989E-4</v>
      </c>
      <c r="BC105" s="2">
        <v>3.14</v>
      </c>
      <c r="BD105" s="19">
        <f>Table1[[#This Row],[Column5]] + Table1[[#This Row],[Column6]] + Table1[[#This Row],[ShippingCost]]</f>
        <v>6.5134074999999996</v>
      </c>
      <c r="BE105" s="2">
        <v>55.39</v>
      </c>
      <c r="BF105" s="2" t="s">
        <v>180</v>
      </c>
      <c r="BG105" s="2">
        <f>Table1[[#This Row],[DeliveryDate]]-Table1[[#This Row],[OrderDate]]</f>
        <v>3</v>
      </c>
      <c r="BH105" s="2">
        <v>3</v>
      </c>
      <c r="BI105" s="2" t="str">
        <f>IF(OR(Table1[[#This Row],[CustomerTier]]="Platinum", Table1[[#This Row],[Column7]]&gt;1000), "Yes", "No")</f>
        <v>Yes</v>
      </c>
      <c r="BJ105" s="2" t="s">
        <v>205</v>
      </c>
      <c r="BK105" s="2" t="str">
        <f>IF(Table1[[#This Row],[Quantity]]&gt;=10, "Yes", "No")</f>
        <v>No</v>
      </c>
      <c r="BL105" s="2" t="s">
        <v>205</v>
      </c>
      <c r="BM105" s="2">
        <f>IF(Table1[[#This Row],[Column12]]="Yes", 5%, 0)</f>
        <v>0</v>
      </c>
      <c r="BN105" s="2">
        <v>0</v>
      </c>
      <c r="BO105" s="2" t="s">
        <v>252</v>
      </c>
      <c r="BP105" s="2" t="s">
        <v>253</v>
      </c>
      <c r="BQ105" s="2" t="s">
        <v>254</v>
      </c>
      <c r="BR105" s="2" t="s">
        <v>209</v>
      </c>
      <c r="BS105" s="3" t="s">
        <v>210</v>
      </c>
    </row>
    <row r="106" spans="1:71" x14ac:dyDescent="0.25">
      <c r="A106" s="1" t="s">
        <v>823</v>
      </c>
      <c r="B106" s="11">
        <v>45724</v>
      </c>
      <c r="C106" s="11">
        <v>45729</v>
      </c>
      <c r="D106" s="2" t="s">
        <v>180</v>
      </c>
      <c r="E106" s="2" t="s">
        <v>181</v>
      </c>
      <c r="F106" s="2" t="s">
        <v>295</v>
      </c>
      <c r="G106" s="2" t="s">
        <v>296</v>
      </c>
      <c r="H106" s="2" t="s">
        <v>297</v>
      </c>
      <c r="I106" s="2" t="s">
        <v>298</v>
      </c>
      <c r="J106" s="2" t="s">
        <v>299</v>
      </c>
      <c r="K106" s="2" t="s">
        <v>297</v>
      </c>
      <c r="L106" s="2" t="s">
        <v>187</v>
      </c>
      <c r="M106" s="2" t="s">
        <v>300</v>
      </c>
      <c r="N106" s="2" t="s">
        <v>301</v>
      </c>
      <c r="O106" s="11">
        <v>43332</v>
      </c>
      <c r="P106" s="2" t="s">
        <v>824</v>
      </c>
      <c r="Q106" s="2" t="s">
        <v>825</v>
      </c>
      <c r="R106" s="2" t="s">
        <v>223</v>
      </c>
      <c r="S106" s="2" t="s">
        <v>363</v>
      </c>
      <c r="T106" s="2" t="s">
        <v>225</v>
      </c>
      <c r="U106" s="2" t="s">
        <v>226</v>
      </c>
      <c r="V106" s="13">
        <v>28</v>
      </c>
      <c r="W106" s="13">
        <v>15</v>
      </c>
      <c r="X106" s="2">
        <v>0.1</v>
      </c>
      <c r="Y106" s="2" t="s">
        <v>227</v>
      </c>
      <c r="Z106" s="2" t="s">
        <v>646</v>
      </c>
      <c r="AA106" s="2">
        <v>45</v>
      </c>
      <c r="AB106" s="2">
        <v>10</v>
      </c>
      <c r="AC106" s="2">
        <v>1</v>
      </c>
      <c r="AD106" s="2">
        <v>2</v>
      </c>
      <c r="AE106" s="17">
        <f>Table1[[#This Row],[Discount%]]/100</f>
        <v>0</v>
      </c>
      <c r="AF106" s="2">
        <v>0</v>
      </c>
      <c r="AG106" s="17">
        <f>Table1[[#This Row],[Tax%]]/100</f>
        <v>0.05</v>
      </c>
      <c r="AH106" s="2">
        <v>5</v>
      </c>
      <c r="AI106" s="23">
        <v>3</v>
      </c>
      <c r="AJ106" s="2" t="s">
        <v>198</v>
      </c>
      <c r="AK106" s="2" t="s">
        <v>199</v>
      </c>
      <c r="AL106" s="2" t="s">
        <v>270</v>
      </c>
      <c r="AM106" s="2" t="s">
        <v>271</v>
      </c>
      <c r="AN106" s="2" t="s">
        <v>979</v>
      </c>
      <c r="AO106" s="2" t="s">
        <v>203</v>
      </c>
      <c r="AP106" s="2" t="s">
        <v>880</v>
      </c>
      <c r="AQ106" s="25">
        <v>0</v>
      </c>
      <c r="AR106" s="25">
        <f>IFERROR((Table1[[#This Row],[Column7]]-Table1[[#This Row],[Column8]])/Table1[[#This Row],[Column7]], 0)</f>
        <v>-9</v>
      </c>
      <c r="AS106" s="2">
        <v>46.43</v>
      </c>
      <c r="AT106" s="21">
        <f>Table1[[#This Row],[Quantity]] * Table1[[#This Row],[CostPrice]]</f>
        <v>30</v>
      </c>
      <c r="AU106" s="2">
        <v>30</v>
      </c>
      <c r="AV106" s="13">
        <f>Table1[[#This Row],[Quantity]] * Table1[[#This Row],[UnitPrice]]</f>
        <v>56</v>
      </c>
      <c r="AW106" s="2">
        <v>56</v>
      </c>
      <c r="AX106" s="21">
        <f>Table1[[#This Row],[Column3]] * (Table1[[#This Row],[Column1]]/100)</f>
        <v>0</v>
      </c>
      <c r="AY106" s="2">
        <v>0</v>
      </c>
      <c r="AZ106" s="27">
        <f>Table1[[#This Row],[Column3]] * Table1[[#This Row],[Column4]]</f>
        <v>0</v>
      </c>
      <c r="BA106" s="2">
        <v>56</v>
      </c>
      <c r="BB106" s="15">
        <f>Table1[[#This Row],[Column5]] * (Table1[[#This Row],[Column2]]/100)</f>
        <v>0</v>
      </c>
      <c r="BC106" s="2">
        <v>2.8</v>
      </c>
      <c r="BD106" s="19">
        <f>Table1[[#This Row],[Column5]] + Table1[[#This Row],[Column6]] + Table1[[#This Row],[ShippingCost]]</f>
        <v>3</v>
      </c>
      <c r="BE106" s="2">
        <v>58.8</v>
      </c>
      <c r="BF106" s="2" t="s">
        <v>180</v>
      </c>
      <c r="BG106" s="2">
        <f>Table1[[#This Row],[DeliveryDate]]-Table1[[#This Row],[OrderDate]]</f>
        <v>5</v>
      </c>
      <c r="BH106" s="2">
        <v>5</v>
      </c>
      <c r="BI106" s="2" t="str">
        <f>IF(OR(Table1[[#This Row],[CustomerTier]]="Platinum", Table1[[#This Row],[Column7]]&gt;1000), "Yes", "No")</f>
        <v>No</v>
      </c>
      <c r="BJ106" s="2" t="s">
        <v>205</v>
      </c>
      <c r="BK106" s="2" t="str">
        <f>IF(Table1[[#This Row],[Quantity]]&gt;=10, "Yes", "No")</f>
        <v>No</v>
      </c>
      <c r="BL106" s="2" t="s">
        <v>205</v>
      </c>
      <c r="BM106" s="2">
        <f>IF(Table1[[#This Row],[Column12]]="Yes", 5%, 0)</f>
        <v>0</v>
      </c>
      <c r="BN106" s="2">
        <v>0</v>
      </c>
      <c r="BO106" s="2"/>
      <c r="BP106" s="2"/>
      <c r="BQ106" s="2" t="s">
        <v>234</v>
      </c>
      <c r="BR106" s="2" t="s">
        <v>209</v>
      </c>
      <c r="BS106" s="3" t="s">
        <v>210</v>
      </c>
    </row>
    <row r="107" spans="1:71" x14ac:dyDescent="0.25">
      <c r="A107" s="1" t="s">
        <v>826</v>
      </c>
      <c r="B107" s="11">
        <v>45725</v>
      </c>
      <c r="C107" s="11">
        <v>45728</v>
      </c>
      <c r="D107" s="2" t="s">
        <v>180</v>
      </c>
      <c r="E107" s="2" t="s">
        <v>212</v>
      </c>
      <c r="F107" s="2" t="s">
        <v>311</v>
      </c>
      <c r="G107" s="2" t="s">
        <v>312</v>
      </c>
      <c r="H107" s="2" t="s">
        <v>184</v>
      </c>
      <c r="I107" s="2" t="s">
        <v>313</v>
      </c>
      <c r="J107" s="2" t="s">
        <v>314</v>
      </c>
      <c r="K107" s="2" t="s">
        <v>184</v>
      </c>
      <c r="L107" s="2" t="s">
        <v>218</v>
      </c>
      <c r="M107" s="2" t="s">
        <v>315</v>
      </c>
      <c r="N107" s="2" t="s">
        <v>316</v>
      </c>
      <c r="O107" s="11">
        <v>44745</v>
      </c>
      <c r="P107" s="2" t="s">
        <v>827</v>
      </c>
      <c r="Q107" s="2" t="s">
        <v>828</v>
      </c>
      <c r="R107" s="2" t="s">
        <v>402</v>
      </c>
      <c r="S107" s="2" t="s">
        <v>403</v>
      </c>
      <c r="T107" s="2" t="s">
        <v>538</v>
      </c>
      <c r="U107" s="2" t="s">
        <v>405</v>
      </c>
      <c r="V107" s="13">
        <v>24</v>
      </c>
      <c r="W107" s="13">
        <v>13</v>
      </c>
      <c r="X107" s="2">
        <v>0.3</v>
      </c>
      <c r="Y107" s="2" t="s">
        <v>382</v>
      </c>
      <c r="Z107" s="2" t="s">
        <v>880</v>
      </c>
      <c r="AA107" s="2">
        <v>55</v>
      </c>
      <c r="AB107" s="2">
        <v>12</v>
      </c>
      <c r="AC107" s="2">
        <v>1</v>
      </c>
      <c r="AD107" s="2">
        <v>3</v>
      </c>
      <c r="AE107" s="17">
        <f>Table1[[#This Row],[Discount%]]/100</f>
        <v>0</v>
      </c>
      <c r="AF107" s="2">
        <v>0</v>
      </c>
      <c r="AG107" s="17">
        <f>Table1[[#This Row],[Tax%]]/100</f>
        <v>0.05</v>
      </c>
      <c r="AH107" s="2">
        <v>5</v>
      </c>
      <c r="AI107" s="23">
        <v>3</v>
      </c>
      <c r="AJ107" s="2" t="s">
        <v>366</v>
      </c>
      <c r="AK107" s="2" t="s">
        <v>230</v>
      </c>
      <c r="AL107" s="2" t="s">
        <v>322</v>
      </c>
      <c r="AM107" s="2" t="s">
        <v>232</v>
      </c>
      <c r="AN107" s="2" t="s">
        <v>980</v>
      </c>
      <c r="AO107" s="2" t="s">
        <v>203</v>
      </c>
      <c r="AP107" s="2" t="s">
        <v>880</v>
      </c>
      <c r="AQ107" s="25">
        <v>0</v>
      </c>
      <c r="AR107" s="25">
        <f>IFERROR((Table1[[#This Row],[Column7]]-Table1[[#This Row],[Column8]])/Table1[[#This Row],[Column7]], 0)</f>
        <v>-12</v>
      </c>
      <c r="AS107" s="2">
        <v>45.83</v>
      </c>
      <c r="AT107" s="21">
        <f>Table1[[#This Row],[Quantity]] * Table1[[#This Row],[CostPrice]]</f>
        <v>39</v>
      </c>
      <c r="AU107" s="2">
        <v>39</v>
      </c>
      <c r="AV107" s="13">
        <f>Table1[[#This Row],[Quantity]] * Table1[[#This Row],[UnitPrice]]</f>
        <v>72</v>
      </c>
      <c r="AW107" s="2">
        <v>72</v>
      </c>
      <c r="AX107" s="21">
        <f>Table1[[#This Row],[Column3]] * (Table1[[#This Row],[Column1]]/100)</f>
        <v>0</v>
      </c>
      <c r="AY107" s="2">
        <v>0</v>
      </c>
      <c r="AZ107" s="27">
        <f>Table1[[#This Row],[Column3]] * Table1[[#This Row],[Column4]]</f>
        <v>0</v>
      </c>
      <c r="BA107" s="2">
        <v>72</v>
      </c>
      <c r="BB107" s="15">
        <f>Table1[[#This Row],[Column5]] * (Table1[[#This Row],[Column2]]/100)</f>
        <v>0</v>
      </c>
      <c r="BC107" s="2">
        <v>3.6</v>
      </c>
      <c r="BD107" s="19">
        <f>Table1[[#This Row],[Column5]] + Table1[[#This Row],[Column6]] + Table1[[#This Row],[ShippingCost]]</f>
        <v>3</v>
      </c>
      <c r="BE107" s="2">
        <v>75.599999999999994</v>
      </c>
      <c r="BF107" s="2" t="s">
        <v>180</v>
      </c>
      <c r="BG107" s="2">
        <f>Table1[[#This Row],[DeliveryDate]]-Table1[[#This Row],[OrderDate]]</f>
        <v>3</v>
      </c>
      <c r="BH107" s="2">
        <v>3</v>
      </c>
      <c r="BI107" s="2" t="str">
        <f>IF(OR(Table1[[#This Row],[CustomerTier]]="Platinum", Table1[[#This Row],[Column7]]&gt;1000), "Yes", "No")</f>
        <v>No</v>
      </c>
      <c r="BJ107" s="2" t="s">
        <v>205</v>
      </c>
      <c r="BK107" s="2" t="str">
        <f>IF(Table1[[#This Row],[Quantity]]&gt;=10, "Yes", "No")</f>
        <v>No</v>
      </c>
      <c r="BL107" s="2" t="s">
        <v>205</v>
      </c>
      <c r="BM107" s="2">
        <f>IF(Table1[[#This Row],[Column12]]="Yes", 5%, 0)</f>
        <v>0</v>
      </c>
      <c r="BN107" s="2">
        <v>0</v>
      </c>
      <c r="BO107" s="2"/>
      <c r="BP107" s="2"/>
      <c r="BQ107" s="2" t="s">
        <v>539</v>
      </c>
      <c r="BR107" s="2" t="s">
        <v>209</v>
      </c>
      <c r="BS107" s="3" t="s">
        <v>210</v>
      </c>
    </row>
    <row r="108" spans="1:71" x14ac:dyDescent="0.25">
      <c r="A108" s="1" t="s">
        <v>829</v>
      </c>
      <c r="B108" s="11">
        <v>45725</v>
      </c>
      <c r="C108" s="11">
        <v>45730</v>
      </c>
      <c r="D108" s="2" t="s">
        <v>371</v>
      </c>
      <c r="E108" s="2" t="s">
        <v>181</v>
      </c>
      <c r="F108" s="2" t="s">
        <v>325</v>
      </c>
      <c r="G108" s="2" t="s">
        <v>326</v>
      </c>
      <c r="H108" s="2" t="s">
        <v>215</v>
      </c>
      <c r="I108" s="2" t="s">
        <v>327</v>
      </c>
      <c r="J108" s="2" t="s">
        <v>217</v>
      </c>
      <c r="K108" s="2" t="s">
        <v>215</v>
      </c>
      <c r="L108" s="2" t="s">
        <v>218</v>
      </c>
      <c r="M108" s="2" t="s">
        <v>328</v>
      </c>
      <c r="N108" s="2" t="s">
        <v>329</v>
      </c>
      <c r="O108" s="11">
        <v>44300</v>
      </c>
      <c r="P108" s="2" t="s">
        <v>830</v>
      </c>
      <c r="Q108" s="2" t="s">
        <v>831</v>
      </c>
      <c r="R108" s="2" t="s">
        <v>244</v>
      </c>
      <c r="S108" s="2" t="s">
        <v>667</v>
      </c>
      <c r="T108" s="2" t="s">
        <v>668</v>
      </c>
      <c r="U108" s="2" t="s">
        <v>247</v>
      </c>
      <c r="V108" s="13">
        <v>48</v>
      </c>
      <c r="W108" s="13">
        <v>26</v>
      </c>
      <c r="X108" s="2">
        <v>1.2</v>
      </c>
      <c r="Y108" s="2" t="s">
        <v>382</v>
      </c>
      <c r="Z108" s="2" t="s">
        <v>218</v>
      </c>
      <c r="AA108" s="2">
        <v>25</v>
      </c>
      <c r="AB108" s="2">
        <v>6</v>
      </c>
      <c r="AC108" s="2">
        <v>2</v>
      </c>
      <c r="AD108" s="2">
        <v>2</v>
      </c>
      <c r="AE108" s="17">
        <f>Table1[[#This Row],[Discount%]]/100</f>
        <v>0.05</v>
      </c>
      <c r="AF108" s="2">
        <v>5</v>
      </c>
      <c r="AG108" s="17">
        <f>Table1[[#This Row],[Tax%]]/100</f>
        <v>0.06</v>
      </c>
      <c r="AH108" s="2">
        <v>6</v>
      </c>
      <c r="AI108" s="23">
        <v>5</v>
      </c>
      <c r="AJ108" s="2" t="s">
        <v>229</v>
      </c>
      <c r="AK108" s="2" t="s">
        <v>230</v>
      </c>
      <c r="AL108" s="2" t="s">
        <v>307</v>
      </c>
      <c r="AM108" s="2" t="s">
        <v>196</v>
      </c>
      <c r="AN108" s="2" t="s">
        <v>981</v>
      </c>
      <c r="AO108" s="2" t="s">
        <v>203</v>
      </c>
      <c r="AP108" s="2" t="s">
        <v>880</v>
      </c>
      <c r="AQ108" s="25">
        <v>0</v>
      </c>
      <c r="AR108" s="25">
        <f>IFERROR((Table1[[#This Row],[Column7]]-Table1[[#This Row],[Column8]])/Table1[[#This Row],[Column7]], 0)</f>
        <v>-4.4105995810031686</v>
      </c>
      <c r="AS108" s="2">
        <v>45.83</v>
      </c>
      <c r="AT108" s="21">
        <f>Table1[[#This Row],[Quantity]] * Table1[[#This Row],[CostPrice]]</f>
        <v>52</v>
      </c>
      <c r="AU108" s="2">
        <v>52</v>
      </c>
      <c r="AV108" s="13">
        <f>Table1[[#This Row],[Quantity]] * Table1[[#This Row],[UnitPrice]]</f>
        <v>96</v>
      </c>
      <c r="AW108" s="2">
        <v>96</v>
      </c>
      <c r="AX108" s="21">
        <f>Table1[[#This Row],[Column3]] * (Table1[[#This Row],[Column1]]/100)</f>
        <v>4.8000000000000001E-2</v>
      </c>
      <c r="AY108" s="2">
        <v>4.8</v>
      </c>
      <c r="AZ108" s="27">
        <f>Table1[[#This Row],[Column3]] * Table1[[#This Row],[Column4]]</f>
        <v>4.6080000000000005</v>
      </c>
      <c r="BA108" s="2">
        <v>91.2</v>
      </c>
      <c r="BB108" s="15">
        <f>Table1[[#This Row],[Column5]] * (Table1[[#This Row],[Column2]]/100)</f>
        <v>2.7648E-3</v>
      </c>
      <c r="BC108" s="2">
        <v>5.47</v>
      </c>
      <c r="BD108" s="19">
        <f>Table1[[#This Row],[Column5]] + Table1[[#This Row],[Column6]] + Table1[[#This Row],[ShippingCost]]</f>
        <v>9.6107648000000001</v>
      </c>
      <c r="BE108" s="2">
        <v>96.67</v>
      </c>
      <c r="BF108" s="2" t="s">
        <v>371</v>
      </c>
      <c r="BG108" s="2">
        <f>Table1[[#This Row],[DeliveryDate]]-Table1[[#This Row],[OrderDate]]</f>
        <v>5</v>
      </c>
      <c r="BH108" s="2">
        <v>5</v>
      </c>
      <c r="BI108" s="2" t="str">
        <f>IF(OR(Table1[[#This Row],[CustomerTier]]="Platinum", Table1[[#This Row],[Column7]]&gt;1000), "Yes", "No")</f>
        <v>No</v>
      </c>
      <c r="BJ108" s="2" t="s">
        <v>205</v>
      </c>
      <c r="BK108" s="2" t="str">
        <f>IF(Table1[[#This Row],[Quantity]]&gt;=10, "Yes", "No")</f>
        <v>No</v>
      </c>
      <c r="BL108" s="2" t="s">
        <v>205</v>
      </c>
      <c r="BM108" s="2">
        <f>IF(Table1[[#This Row],[Column12]]="Yes", 5%, 0)</f>
        <v>0</v>
      </c>
      <c r="BN108" s="2">
        <v>0</v>
      </c>
      <c r="BO108" s="2" t="s">
        <v>291</v>
      </c>
      <c r="BP108" s="2" t="s">
        <v>292</v>
      </c>
      <c r="BQ108" s="2" t="s">
        <v>254</v>
      </c>
      <c r="BR108" s="2" t="s">
        <v>255</v>
      </c>
      <c r="BS108" s="3" t="s">
        <v>210</v>
      </c>
    </row>
    <row r="109" spans="1:71" x14ac:dyDescent="0.25">
      <c r="A109" s="1" t="s">
        <v>832</v>
      </c>
      <c r="B109" s="11">
        <v>45726</v>
      </c>
      <c r="C109" s="11">
        <v>45729</v>
      </c>
      <c r="D109" s="2" t="s">
        <v>180</v>
      </c>
      <c r="E109" s="2" t="s">
        <v>212</v>
      </c>
      <c r="F109" s="2" t="s">
        <v>337</v>
      </c>
      <c r="G109" s="2" t="s">
        <v>338</v>
      </c>
      <c r="H109" s="2" t="s">
        <v>184</v>
      </c>
      <c r="I109" s="2" t="s">
        <v>339</v>
      </c>
      <c r="J109" s="2" t="s">
        <v>340</v>
      </c>
      <c r="K109" s="2" t="s">
        <v>184</v>
      </c>
      <c r="L109" s="2" t="s">
        <v>218</v>
      </c>
      <c r="M109" s="2" t="s">
        <v>341</v>
      </c>
      <c r="N109" s="2" t="s">
        <v>342</v>
      </c>
      <c r="O109" s="11">
        <v>44982</v>
      </c>
      <c r="P109" s="2" t="s">
        <v>833</v>
      </c>
      <c r="Q109" s="2" t="s">
        <v>834</v>
      </c>
      <c r="R109" s="2" t="s">
        <v>810</v>
      </c>
      <c r="S109" s="2" t="s">
        <v>363</v>
      </c>
      <c r="T109" s="2" t="s">
        <v>835</v>
      </c>
      <c r="U109" s="2" t="s">
        <v>812</v>
      </c>
      <c r="V109" s="13">
        <v>8</v>
      </c>
      <c r="W109" s="13">
        <v>4</v>
      </c>
      <c r="X109" s="2">
        <v>0.1</v>
      </c>
      <c r="Y109" s="2" t="s">
        <v>836</v>
      </c>
      <c r="Z109" s="2" t="s">
        <v>880</v>
      </c>
      <c r="AA109" s="2">
        <v>150</v>
      </c>
      <c r="AB109" s="2">
        <v>30</v>
      </c>
      <c r="AC109" s="2">
        <v>1</v>
      </c>
      <c r="AD109" s="2">
        <v>6</v>
      </c>
      <c r="AE109" s="17">
        <f>Table1[[#This Row],[Discount%]]/100</f>
        <v>0</v>
      </c>
      <c r="AF109" s="2">
        <v>0</v>
      </c>
      <c r="AG109" s="17">
        <f>Table1[[#This Row],[Tax%]]/100</f>
        <v>0.05</v>
      </c>
      <c r="AH109" s="2">
        <v>5</v>
      </c>
      <c r="AI109" s="23">
        <v>2</v>
      </c>
      <c r="AJ109" s="2" t="s">
        <v>249</v>
      </c>
      <c r="AK109" s="2" t="s">
        <v>199</v>
      </c>
      <c r="AL109" s="2" t="s">
        <v>290</v>
      </c>
      <c r="AM109" s="2" t="s">
        <v>201</v>
      </c>
      <c r="AN109" s="2" t="s">
        <v>982</v>
      </c>
      <c r="AO109" s="2" t="s">
        <v>203</v>
      </c>
      <c r="AP109" s="2" t="s">
        <v>880</v>
      </c>
      <c r="AQ109" s="25">
        <v>0</v>
      </c>
      <c r="AR109" s="25">
        <f>IFERROR((Table1[[#This Row],[Column7]]-Table1[[#This Row],[Column8]])/Table1[[#This Row],[Column7]], 0)</f>
        <v>-11</v>
      </c>
      <c r="AS109" s="2">
        <v>50</v>
      </c>
      <c r="AT109" s="21">
        <f>Table1[[#This Row],[Quantity]] * Table1[[#This Row],[CostPrice]]</f>
        <v>24</v>
      </c>
      <c r="AU109" s="2">
        <v>24</v>
      </c>
      <c r="AV109" s="13">
        <f>Table1[[#This Row],[Quantity]] * Table1[[#This Row],[UnitPrice]]</f>
        <v>48</v>
      </c>
      <c r="AW109" s="2">
        <v>48</v>
      </c>
      <c r="AX109" s="21">
        <f>Table1[[#This Row],[Column3]] * (Table1[[#This Row],[Column1]]/100)</f>
        <v>0</v>
      </c>
      <c r="AY109" s="2">
        <v>0</v>
      </c>
      <c r="AZ109" s="27">
        <f>Table1[[#This Row],[Column3]] * Table1[[#This Row],[Column4]]</f>
        <v>0</v>
      </c>
      <c r="BA109" s="2">
        <v>48</v>
      </c>
      <c r="BB109" s="15">
        <f>Table1[[#This Row],[Column5]] * (Table1[[#This Row],[Column2]]/100)</f>
        <v>0</v>
      </c>
      <c r="BC109" s="2">
        <v>2.4</v>
      </c>
      <c r="BD109" s="19">
        <f>Table1[[#This Row],[Column5]] + Table1[[#This Row],[Column6]] + Table1[[#This Row],[ShippingCost]]</f>
        <v>2</v>
      </c>
      <c r="BE109" s="2">
        <v>50.4</v>
      </c>
      <c r="BF109" s="2" t="s">
        <v>180</v>
      </c>
      <c r="BG109" s="2">
        <f>Table1[[#This Row],[DeliveryDate]]-Table1[[#This Row],[OrderDate]]</f>
        <v>3</v>
      </c>
      <c r="BH109" s="2">
        <v>3</v>
      </c>
      <c r="BI109" s="2" t="str">
        <f>IF(OR(Table1[[#This Row],[CustomerTier]]="Platinum", Table1[[#This Row],[Column7]]&gt;1000), "Yes", "No")</f>
        <v>Yes</v>
      </c>
      <c r="BJ109" s="2" t="s">
        <v>205</v>
      </c>
      <c r="BK109" s="2" t="str">
        <f>IF(Table1[[#This Row],[Quantity]]&gt;=10, "Yes", "No")</f>
        <v>No</v>
      </c>
      <c r="BL109" s="2" t="s">
        <v>204</v>
      </c>
      <c r="BM109" s="2">
        <f>IF(Table1[[#This Row],[Column12]]="Yes", 5%, 0)</f>
        <v>0</v>
      </c>
      <c r="BN109" s="2">
        <v>5</v>
      </c>
      <c r="BO109" s="2" t="s">
        <v>369</v>
      </c>
      <c r="BP109" s="2" t="s">
        <v>173</v>
      </c>
      <c r="BQ109" s="2" t="s">
        <v>813</v>
      </c>
      <c r="BR109" s="2" t="s">
        <v>209</v>
      </c>
      <c r="BS109" s="3" t="s">
        <v>210</v>
      </c>
    </row>
    <row r="110" spans="1:71" x14ac:dyDescent="0.25">
      <c r="A110" s="1" t="s">
        <v>837</v>
      </c>
      <c r="B110" s="11">
        <v>45726</v>
      </c>
      <c r="C110" s="11">
        <v>45731</v>
      </c>
      <c r="D110" s="2" t="s">
        <v>180</v>
      </c>
      <c r="E110" s="2" t="s">
        <v>181</v>
      </c>
      <c r="F110" s="2" t="s">
        <v>355</v>
      </c>
      <c r="G110" s="2" t="s">
        <v>356</v>
      </c>
      <c r="H110" s="2" t="s">
        <v>297</v>
      </c>
      <c r="I110" s="2" t="s">
        <v>357</v>
      </c>
      <c r="J110" s="2" t="s">
        <v>358</v>
      </c>
      <c r="K110" s="2" t="s">
        <v>297</v>
      </c>
      <c r="L110" s="2" t="s">
        <v>218</v>
      </c>
      <c r="M110" s="2" t="s">
        <v>359</v>
      </c>
      <c r="N110" s="2" t="s">
        <v>360</v>
      </c>
      <c r="O110" s="11">
        <v>44895</v>
      </c>
      <c r="P110" s="2" t="s">
        <v>838</v>
      </c>
      <c r="Q110" s="2" t="s">
        <v>839</v>
      </c>
      <c r="R110" s="2" t="s">
        <v>244</v>
      </c>
      <c r="S110" s="2" t="s">
        <v>380</v>
      </c>
      <c r="T110" s="2" t="s">
        <v>381</v>
      </c>
      <c r="U110" s="2" t="s">
        <v>247</v>
      </c>
      <c r="V110" s="13">
        <v>52</v>
      </c>
      <c r="W110" s="13">
        <v>29</v>
      </c>
      <c r="X110" s="2">
        <v>1.1000000000000001</v>
      </c>
      <c r="Y110" s="2" t="s">
        <v>288</v>
      </c>
      <c r="Z110" s="2" t="s">
        <v>880</v>
      </c>
      <c r="AA110" s="2">
        <v>18</v>
      </c>
      <c r="AB110" s="2">
        <v>4</v>
      </c>
      <c r="AC110" s="2">
        <v>2</v>
      </c>
      <c r="AD110" s="2">
        <v>1</v>
      </c>
      <c r="AE110" s="17">
        <f>Table1[[#This Row],[Discount%]]/100</f>
        <v>0</v>
      </c>
      <c r="AF110" s="2">
        <v>0</v>
      </c>
      <c r="AG110" s="17">
        <f>Table1[[#This Row],[Tax%]]/100</f>
        <v>0.06</v>
      </c>
      <c r="AH110" s="2">
        <v>6</v>
      </c>
      <c r="AI110" s="23">
        <v>5</v>
      </c>
      <c r="AJ110" s="2" t="s">
        <v>198</v>
      </c>
      <c r="AK110" s="2" t="s">
        <v>199</v>
      </c>
      <c r="AL110" s="2" t="s">
        <v>200</v>
      </c>
      <c r="AM110" s="2" t="s">
        <v>201</v>
      </c>
      <c r="AN110" s="2" t="s">
        <v>983</v>
      </c>
      <c r="AO110" s="2" t="s">
        <v>203</v>
      </c>
      <c r="AP110" s="2" t="s">
        <v>880</v>
      </c>
      <c r="AQ110" s="25">
        <v>0</v>
      </c>
      <c r="AR110" s="25">
        <f>IFERROR((Table1[[#This Row],[Column7]]-Table1[[#This Row],[Column8]])/Table1[[#This Row],[Column7]], 0)</f>
        <v>-4.8</v>
      </c>
      <c r="AS110" s="2">
        <v>44.23</v>
      </c>
      <c r="AT110" s="21">
        <f>Table1[[#This Row],[Quantity]] * Table1[[#This Row],[CostPrice]]</f>
        <v>29</v>
      </c>
      <c r="AU110" s="2">
        <v>29</v>
      </c>
      <c r="AV110" s="13">
        <f>Table1[[#This Row],[Quantity]] * Table1[[#This Row],[UnitPrice]]</f>
        <v>52</v>
      </c>
      <c r="AW110" s="2">
        <v>52</v>
      </c>
      <c r="AX110" s="21">
        <f>Table1[[#This Row],[Column3]] * (Table1[[#This Row],[Column1]]/100)</f>
        <v>0</v>
      </c>
      <c r="AY110" s="2">
        <v>0</v>
      </c>
      <c r="AZ110" s="27">
        <f>Table1[[#This Row],[Column3]] * Table1[[#This Row],[Column4]]</f>
        <v>0</v>
      </c>
      <c r="BA110" s="2">
        <v>52</v>
      </c>
      <c r="BB110" s="15">
        <f>Table1[[#This Row],[Column5]] * (Table1[[#This Row],[Column2]]/100)</f>
        <v>0</v>
      </c>
      <c r="BC110" s="2">
        <v>3.12</v>
      </c>
      <c r="BD110" s="19">
        <f>Table1[[#This Row],[Column5]] + Table1[[#This Row],[Column6]] + Table1[[#This Row],[ShippingCost]]</f>
        <v>5</v>
      </c>
      <c r="BE110" s="2">
        <v>55.12</v>
      </c>
      <c r="BF110" s="2" t="s">
        <v>180</v>
      </c>
      <c r="BG110" s="2">
        <f>Table1[[#This Row],[DeliveryDate]]-Table1[[#This Row],[OrderDate]]</f>
        <v>5</v>
      </c>
      <c r="BH110" s="2">
        <v>5</v>
      </c>
      <c r="BI110" s="2" t="str">
        <f>IF(OR(Table1[[#This Row],[CustomerTier]]="Platinum", Table1[[#This Row],[Column7]]&gt;1000), "Yes", "No")</f>
        <v>Yes</v>
      </c>
      <c r="BJ110" s="2" t="s">
        <v>205</v>
      </c>
      <c r="BK110" s="2" t="str">
        <f>IF(Table1[[#This Row],[Quantity]]&gt;=10, "Yes", "No")</f>
        <v>No</v>
      </c>
      <c r="BL110" s="2" t="s">
        <v>205</v>
      </c>
      <c r="BM110" s="2">
        <f>IF(Table1[[#This Row],[Column12]]="Yes", 5%, 0)</f>
        <v>0</v>
      </c>
      <c r="BN110" s="2">
        <v>0</v>
      </c>
      <c r="BO110" s="2" t="s">
        <v>206</v>
      </c>
      <c r="BP110" s="2" t="s">
        <v>207</v>
      </c>
      <c r="BQ110" s="2" t="s">
        <v>254</v>
      </c>
      <c r="BR110" s="2" t="s">
        <v>209</v>
      </c>
      <c r="BS110" s="3" t="s">
        <v>210</v>
      </c>
    </row>
    <row r="111" spans="1:71" x14ac:dyDescent="0.25">
      <c r="A111" s="1" t="s">
        <v>840</v>
      </c>
      <c r="B111" s="11">
        <v>45727</v>
      </c>
      <c r="C111" s="11">
        <v>45730</v>
      </c>
      <c r="D111" s="2" t="s">
        <v>180</v>
      </c>
      <c r="E111" s="2" t="s">
        <v>212</v>
      </c>
      <c r="F111" s="2" t="s">
        <v>372</v>
      </c>
      <c r="G111" s="2" t="s">
        <v>373</v>
      </c>
      <c r="H111" s="2" t="s">
        <v>297</v>
      </c>
      <c r="I111" s="2" t="s">
        <v>374</v>
      </c>
      <c r="J111" s="2" t="s">
        <v>375</v>
      </c>
      <c r="K111" s="2" t="s">
        <v>297</v>
      </c>
      <c r="L111" s="2" t="s">
        <v>218</v>
      </c>
      <c r="M111" s="2" t="s">
        <v>376</v>
      </c>
      <c r="N111" s="2" t="s">
        <v>377</v>
      </c>
      <c r="O111" s="11">
        <v>45033</v>
      </c>
      <c r="P111" s="2" t="s">
        <v>841</v>
      </c>
      <c r="Q111" s="2" t="s">
        <v>842</v>
      </c>
      <c r="R111" s="2" t="s">
        <v>265</v>
      </c>
      <c r="S111" s="2" t="s">
        <v>499</v>
      </c>
      <c r="T111" s="2" t="s">
        <v>500</v>
      </c>
      <c r="U111" s="2" t="s">
        <v>268</v>
      </c>
      <c r="V111" s="13">
        <v>32</v>
      </c>
      <c r="W111" s="13">
        <v>17</v>
      </c>
      <c r="X111" s="2">
        <v>1.2</v>
      </c>
      <c r="Y111" s="2" t="s">
        <v>843</v>
      </c>
      <c r="Z111" s="2">
        <v>7</v>
      </c>
      <c r="AA111" s="2">
        <v>35</v>
      </c>
      <c r="AB111" s="2">
        <v>8</v>
      </c>
      <c r="AC111" s="2">
        <v>1</v>
      </c>
      <c r="AD111" s="2">
        <v>2</v>
      </c>
      <c r="AE111" s="17">
        <f>Table1[[#This Row],[Discount%]]/100</f>
        <v>0</v>
      </c>
      <c r="AF111" s="2">
        <v>0</v>
      </c>
      <c r="AG111" s="17">
        <f>Table1[[#This Row],[Tax%]]/100</f>
        <v>0.05</v>
      </c>
      <c r="AH111" s="2">
        <v>5</v>
      </c>
      <c r="AI111" s="23">
        <v>4</v>
      </c>
      <c r="AJ111" s="2" t="s">
        <v>289</v>
      </c>
      <c r="AK111" s="2" t="s">
        <v>230</v>
      </c>
      <c r="AL111" s="2" t="s">
        <v>231</v>
      </c>
      <c r="AM111" s="2" t="s">
        <v>232</v>
      </c>
      <c r="AN111" s="2" t="s">
        <v>984</v>
      </c>
      <c r="AO111" s="2" t="s">
        <v>203</v>
      </c>
      <c r="AP111" s="2" t="s">
        <v>880</v>
      </c>
      <c r="AQ111" s="25">
        <v>0</v>
      </c>
      <c r="AR111" s="25">
        <f>IFERROR((Table1[[#This Row],[Column7]]-Table1[[#This Row],[Column8]])/Table1[[#This Row],[Column7]], 0)</f>
        <v>-7.5</v>
      </c>
      <c r="AS111" s="2">
        <v>46.88</v>
      </c>
      <c r="AT111" s="21">
        <f>Table1[[#This Row],[Quantity]] * Table1[[#This Row],[CostPrice]]</f>
        <v>34</v>
      </c>
      <c r="AU111" s="2">
        <v>34</v>
      </c>
      <c r="AV111" s="13">
        <f>Table1[[#This Row],[Quantity]] * Table1[[#This Row],[UnitPrice]]</f>
        <v>64</v>
      </c>
      <c r="AW111" s="2">
        <v>64</v>
      </c>
      <c r="AX111" s="21">
        <f>Table1[[#This Row],[Column3]] * (Table1[[#This Row],[Column1]]/100)</f>
        <v>0</v>
      </c>
      <c r="AY111" s="2">
        <v>0</v>
      </c>
      <c r="AZ111" s="27">
        <f>Table1[[#This Row],[Column3]] * Table1[[#This Row],[Column4]]</f>
        <v>0</v>
      </c>
      <c r="BA111" s="2">
        <v>64</v>
      </c>
      <c r="BB111" s="15">
        <f>Table1[[#This Row],[Column5]] * (Table1[[#This Row],[Column2]]/100)</f>
        <v>0</v>
      </c>
      <c r="BC111" s="2">
        <v>3.2</v>
      </c>
      <c r="BD111" s="19">
        <f>Table1[[#This Row],[Column5]] + Table1[[#This Row],[Column6]] + Table1[[#This Row],[ShippingCost]]</f>
        <v>4</v>
      </c>
      <c r="BE111" s="2">
        <v>67.2</v>
      </c>
      <c r="BF111" s="2" t="s">
        <v>180</v>
      </c>
      <c r="BG111" s="2">
        <f>Table1[[#This Row],[DeliveryDate]]-Table1[[#This Row],[OrderDate]]</f>
        <v>3</v>
      </c>
      <c r="BH111" s="2">
        <v>3</v>
      </c>
      <c r="BI111" s="2" t="str">
        <f>IF(OR(Table1[[#This Row],[CustomerTier]]="Platinum", Table1[[#This Row],[Column7]]&gt;1000), "Yes", "No")</f>
        <v>No</v>
      </c>
      <c r="BJ111" s="2" t="s">
        <v>205</v>
      </c>
      <c r="BK111" s="2" t="str">
        <f>IF(Table1[[#This Row],[Quantity]]&gt;=10, "Yes", "No")</f>
        <v>No</v>
      </c>
      <c r="BL111" s="2" t="s">
        <v>205</v>
      </c>
      <c r="BM111" s="2">
        <f>IF(Table1[[#This Row],[Column12]]="Yes", 5%, 0)</f>
        <v>0</v>
      </c>
      <c r="BN111" s="2">
        <v>0</v>
      </c>
      <c r="BO111" s="2"/>
      <c r="BP111" s="2"/>
      <c r="BQ111" s="2" t="s">
        <v>273</v>
      </c>
      <c r="BR111" s="2" t="s">
        <v>209</v>
      </c>
      <c r="BS111" s="3" t="s">
        <v>210</v>
      </c>
    </row>
    <row r="112" spans="1:71" x14ac:dyDescent="0.25">
      <c r="A112" s="1" t="s">
        <v>844</v>
      </c>
      <c r="B112" s="11">
        <v>45727</v>
      </c>
      <c r="C112" s="11">
        <v>45732</v>
      </c>
      <c r="D112" s="2" t="s">
        <v>310</v>
      </c>
      <c r="E112" s="2" t="s">
        <v>181</v>
      </c>
      <c r="F112" s="2" t="s">
        <v>213</v>
      </c>
      <c r="G112" s="2" t="s">
        <v>214</v>
      </c>
      <c r="H112" s="2" t="s">
        <v>215</v>
      </c>
      <c r="I112" s="2" t="s">
        <v>216</v>
      </c>
      <c r="J112" s="2" t="s">
        <v>217</v>
      </c>
      <c r="K112" s="2" t="s">
        <v>215</v>
      </c>
      <c r="L112" s="2" t="s">
        <v>218</v>
      </c>
      <c r="M112" s="2" t="s">
        <v>219</v>
      </c>
      <c r="N112" s="2" t="s">
        <v>220</v>
      </c>
      <c r="O112" s="11">
        <v>44362</v>
      </c>
      <c r="P112" s="2" t="s">
        <v>845</v>
      </c>
      <c r="Q112" s="2" t="s">
        <v>846</v>
      </c>
      <c r="R112" s="2" t="s">
        <v>244</v>
      </c>
      <c r="S112" s="2" t="s">
        <v>332</v>
      </c>
      <c r="T112" s="2" t="s">
        <v>847</v>
      </c>
      <c r="U112" s="2" t="s">
        <v>247</v>
      </c>
      <c r="V112" s="13">
        <v>38</v>
      </c>
      <c r="W112" s="13">
        <v>21</v>
      </c>
      <c r="X112" s="2">
        <v>1.8</v>
      </c>
      <c r="Y112" s="2" t="s">
        <v>288</v>
      </c>
      <c r="Z112" s="2" t="s">
        <v>880</v>
      </c>
      <c r="AA112" s="2">
        <v>22</v>
      </c>
      <c r="AB112" s="2">
        <v>5</v>
      </c>
      <c r="AC112" s="2">
        <v>2</v>
      </c>
      <c r="AD112" s="2">
        <v>1</v>
      </c>
      <c r="AE112" s="17">
        <f>Table1[[#This Row],[Discount%]]/100</f>
        <v>0</v>
      </c>
      <c r="AF112" s="2">
        <v>0</v>
      </c>
      <c r="AG112" s="17">
        <f>Table1[[#This Row],[Tax%]]/100</f>
        <v>0.06</v>
      </c>
      <c r="AH112" s="2">
        <v>6</v>
      </c>
      <c r="AI112" s="23">
        <v>5</v>
      </c>
      <c r="AJ112" s="2" t="s">
        <v>198</v>
      </c>
      <c r="AK112" s="2" t="s">
        <v>230</v>
      </c>
      <c r="AL112" s="2" t="s">
        <v>250</v>
      </c>
      <c r="AM112" s="2" t="s">
        <v>196</v>
      </c>
      <c r="AN112" s="2" t="s">
        <v>985</v>
      </c>
      <c r="AO112" s="2" t="s">
        <v>203</v>
      </c>
      <c r="AP112" s="2" t="s">
        <v>880</v>
      </c>
      <c r="AQ112" s="25">
        <v>0</v>
      </c>
      <c r="AR112" s="25">
        <f>IFERROR((Table1[[#This Row],[Column7]]-Table1[[#This Row],[Column8]])/Table1[[#This Row],[Column7]], 0)</f>
        <v>-3.2</v>
      </c>
      <c r="AS112" s="2">
        <v>44.74</v>
      </c>
      <c r="AT112" s="21">
        <f>Table1[[#This Row],[Quantity]] * Table1[[#This Row],[CostPrice]]</f>
        <v>21</v>
      </c>
      <c r="AU112" s="2">
        <v>21</v>
      </c>
      <c r="AV112" s="13">
        <f>Table1[[#This Row],[Quantity]] * Table1[[#This Row],[UnitPrice]]</f>
        <v>38</v>
      </c>
      <c r="AW112" s="2">
        <v>38</v>
      </c>
      <c r="AX112" s="21">
        <f>Table1[[#This Row],[Column3]] * (Table1[[#This Row],[Column1]]/100)</f>
        <v>0</v>
      </c>
      <c r="AY112" s="2">
        <v>0</v>
      </c>
      <c r="AZ112" s="27">
        <f>Table1[[#This Row],[Column3]] * Table1[[#This Row],[Column4]]</f>
        <v>0</v>
      </c>
      <c r="BA112" s="2">
        <v>38</v>
      </c>
      <c r="BB112" s="15">
        <f>Table1[[#This Row],[Column5]] * (Table1[[#This Row],[Column2]]/100)</f>
        <v>0</v>
      </c>
      <c r="BC112" s="2">
        <v>2.2799999999999998</v>
      </c>
      <c r="BD112" s="19">
        <f>Table1[[#This Row],[Column5]] + Table1[[#This Row],[Column6]] + Table1[[#This Row],[ShippingCost]]</f>
        <v>5</v>
      </c>
      <c r="BE112" s="2">
        <v>40.28</v>
      </c>
      <c r="BF112" s="2" t="s">
        <v>310</v>
      </c>
      <c r="BG112" s="2">
        <f>Table1[[#This Row],[DeliveryDate]]-Table1[[#This Row],[OrderDate]]</f>
        <v>5</v>
      </c>
      <c r="BH112" s="2">
        <v>5</v>
      </c>
      <c r="BI112" s="2" t="str">
        <f>IF(OR(Table1[[#This Row],[CustomerTier]]="Platinum", Table1[[#This Row],[Column7]]&gt;1000), "Yes", "No")</f>
        <v>No</v>
      </c>
      <c r="BJ112" s="2" t="s">
        <v>205</v>
      </c>
      <c r="BK112" s="2" t="str">
        <f>IF(Table1[[#This Row],[Quantity]]&gt;=10, "Yes", "No")</f>
        <v>No</v>
      </c>
      <c r="BL112" s="2" t="s">
        <v>205</v>
      </c>
      <c r="BM112" s="2">
        <f>IF(Table1[[#This Row],[Column12]]="Yes", 5%, 0)</f>
        <v>0</v>
      </c>
      <c r="BN112" s="2">
        <v>0</v>
      </c>
      <c r="BO112" s="2"/>
      <c r="BP112" s="2"/>
      <c r="BQ112" s="2" t="s">
        <v>254</v>
      </c>
      <c r="BR112" s="2" t="s">
        <v>209</v>
      </c>
      <c r="BS112" s="3" t="s">
        <v>210</v>
      </c>
    </row>
    <row r="113" spans="1:71" x14ac:dyDescent="0.25">
      <c r="A113" s="1" t="s">
        <v>848</v>
      </c>
      <c r="B113" s="11">
        <v>45728</v>
      </c>
      <c r="C113" s="11">
        <v>45731</v>
      </c>
      <c r="D113" s="2" t="s">
        <v>180</v>
      </c>
      <c r="E113" s="2" t="s">
        <v>212</v>
      </c>
      <c r="F113" s="2" t="s">
        <v>257</v>
      </c>
      <c r="G113" s="2" t="s">
        <v>258</v>
      </c>
      <c r="H113" s="2" t="s">
        <v>184</v>
      </c>
      <c r="I113" s="2" t="s">
        <v>259</v>
      </c>
      <c r="J113" s="2" t="s">
        <v>260</v>
      </c>
      <c r="K113" s="2" t="s">
        <v>184</v>
      </c>
      <c r="L113" s="2" t="s">
        <v>218</v>
      </c>
      <c r="M113" s="2" t="s">
        <v>261</v>
      </c>
      <c r="N113" s="2" t="s">
        <v>262</v>
      </c>
      <c r="O113" s="11">
        <v>44140</v>
      </c>
      <c r="P113" s="2" t="s">
        <v>849</v>
      </c>
      <c r="Q113" s="2" t="s">
        <v>850</v>
      </c>
      <c r="R113" s="2" t="s">
        <v>810</v>
      </c>
      <c r="S113" s="2" t="s">
        <v>363</v>
      </c>
      <c r="T113" s="2" t="s">
        <v>851</v>
      </c>
      <c r="U113" s="2" t="s">
        <v>812</v>
      </c>
      <c r="V113" s="13">
        <v>18</v>
      </c>
      <c r="W113" s="13">
        <v>10</v>
      </c>
      <c r="X113" s="2">
        <v>0.3</v>
      </c>
      <c r="Y113" s="2" t="s">
        <v>288</v>
      </c>
      <c r="Z113" s="2" t="s">
        <v>852</v>
      </c>
      <c r="AA113" s="2">
        <v>60</v>
      </c>
      <c r="AB113" s="2">
        <v>15</v>
      </c>
      <c r="AC113" s="2">
        <v>1</v>
      </c>
      <c r="AD113" s="2">
        <v>3</v>
      </c>
      <c r="AE113" s="17">
        <f>Table1[[#This Row],[Discount%]]/100</f>
        <v>0</v>
      </c>
      <c r="AF113" s="2">
        <v>0</v>
      </c>
      <c r="AG113" s="17">
        <f>Table1[[#This Row],[Tax%]]/100</f>
        <v>0.05</v>
      </c>
      <c r="AH113" s="2">
        <v>5</v>
      </c>
      <c r="AI113" s="23">
        <v>3</v>
      </c>
      <c r="AJ113" s="2" t="s">
        <v>249</v>
      </c>
      <c r="AK113" s="2" t="s">
        <v>199</v>
      </c>
      <c r="AL113" s="2" t="s">
        <v>367</v>
      </c>
      <c r="AM113" s="2" t="s">
        <v>271</v>
      </c>
      <c r="AN113" s="2" t="s">
        <v>986</v>
      </c>
      <c r="AO113" s="2" t="s">
        <v>203</v>
      </c>
      <c r="AP113" s="2" t="s">
        <v>880</v>
      </c>
      <c r="AQ113" s="25">
        <v>0</v>
      </c>
      <c r="AR113" s="25">
        <f>IFERROR((Table1[[#This Row],[Column7]]-Table1[[#This Row],[Column8]])/Table1[[#This Row],[Column7]], 0)</f>
        <v>-9</v>
      </c>
      <c r="AS113" s="2">
        <v>44.44</v>
      </c>
      <c r="AT113" s="21">
        <f>Table1[[#This Row],[Quantity]] * Table1[[#This Row],[CostPrice]]</f>
        <v>30</v>
      </c>
      <c r="AU113" s="2">
        <v>30</v>
      </c>
      <c r="AV113" s="13">
        <f>Table1[[#This Row],[Quantity]] * Table1[[#This Row],[UnitPrice]]</f>
        <v>54</v>
      </c>
      <c r="AW113" s="2">
        <v>54</v>
      </c>
      <c r="AX113" s="21">
        <f>Table1[[#This Row],[Column3]] * (Table1[[#This Row],[Column1]]/100)</f>
        <v>0</v>
      </c>
      <c r="AY113" s="2">
        <v>0</v>
      </c>
      <c r="AZ113" s="27">
        <f>Table1[[#This Row],[Column3]] * Table1[[#This Row],[Column4]]</f>
        <v>0</v>
      </c>
      <c r="BA113" s="2">
        <v>54</v>
      </c>
      <c r="BB113" s="15">
        <f>Table1[[#This Row],[Column5]] * (Table1[[#This Row],[Column2]]/100)</f>
        <v>0</v>
      </c>
      <c r="BC113" s="2">
        <v>2.7</v>
      </c>
      <c r="BD113" s="19">
        <f>Table1[[#This Row],[Column5]] + Table1[[#This Row],[Column6]] + Table1[[#This Row],[ShippingCost]]</f>
        <v>3</v>
      </c>
      <c r="BE113" s="2">
        <v>56.7</v>
      </c>
      <c r="BF113" s="2" t="s">
        <v>180</v>
      </c>
      <c r="BG113" s="2">
        <f>Table1[[#This Row],[DeliveryDate]]-Table1[[#This Row],[OrderDate]]</f>
        <v>3</v>
      </c>
      <c r="BH113" s="2">
        <v>3</v>
      </c>
      <c r="BI113" s="2" t="str">
        <f>IF(OR(Table1[[#This Row],[CustomerTier]]="Platinum", Table1[[#This Row],[Column7]]&gt;1000), "Yes", "No")</f>
        <v>No</v>
      </c>
      <c r="BJ113" s="2" t="s">
        <v>205</v>
      </c>
      <c r="BK113" s="2" t="str">
        <f>IF(Table1[[#This Row],[Quantity]]&gt;=10, "Yes", "No")</f>
        <v>No</v>
      </c>
      <c r="BL113" s="2" t="s">
        <v>205</v>
      </c>
      <c r="BM113" s="2">
        <f>IF(Table1[[#This Row],[Column12]]="Yes", 5%, 0)</f>
        <v>0</v>
      </c>
      <c r="BN113" s="2">
        <v>0</v>
      </c>
      <c r="BO113" s="2"/>
      <c r="BP113" s="2"/>
      <c r="BQ113" s="2" t="s">
        <v>813</v>
      </c>
      <c r="BR113" s="2" t="s">
        <v>209</v>
      </c>
      <c r="BS113" s="3" t="s">
        <v>210</v>
      </c>
    </row>
    <row r="114" spans="1:71" x14ac:dyDescent="0.25">
      <c r="A114" s="1" t="s">
        <v>853</v>
      </c>
      <c r="B114" s="11">
        <v>45728</v>
      </c>
      <c r="C114" s="11">
        <v>45733</v>
      </c>
      <c r="D114" s="2" t="s">
        <v>180</v>
      </c>
      <c r="E114" s="2" t="s">
        <v>181</v>
      </c>
      <c r="F114" s="2" t="s">
        <v>275</v>
      </c>
      <c r="G114" s="2" t="s">
        <v>276</v>
      </c>
      <c r="H114" s="2" t="s">
        <v>277</v>
      </c>
      <c r="I114" s="2" t="s">
        <v>278</v>
      </c>
      <c r="J114" s="2" t="s">
        <v>279</v>
      </c>
      <c r="K114" s="2" t="s">
        <v>277</v>
      </c>
      <c r="L114" s="2" t="s">
        <v>187</v>
      </c>
      <c r="M114" s="2" t="s">
        <v>280</v>
      </c>
      <c r="N114" s="2" t="s">
        <v>281</v>
      </c>
      <c r="O114" s="11">
        <v>43508</v>
      </c>
      <c r="P114" s="2" t="s">
        <v>854</v>
      </c>
      <c r="Q114" s="2" t="s">
        <v>855</v>
      </c>
      <c r="R114" s="2" t="s">
        <v>192</v>
      </c>
      <c r="S114" s="2" t="s">
        <v>363</v>
      </c>
      <c r="T114" s="2" t="s">
        <v>364</v>
      </c>
      <c r="U114" s="2" t="s">
        <v>365</v>
      </c>
      <c r="V114" s="13">
        <v>22</v>
      </c>
      <c r="W114" s="13">
        <v>12</v>
      </c>
      <c r="X114" s="2">
        <v>0.1</v>
      </c>
      <c r="Y114" s="2" t="s">
        <v>288</v>
      </c>
      <c r="Z114" s="2" t="s">
        <v>880</v>
      </c>
      <c r="AA114" s="2">
        <v>70</v>
      </c>
      <c r="AB114" s="2">
        <v>15</v>
      </c>
      <c r="AC114" s="2">
        <v>1</v>
      </c>
      <c r="AD114" s="2">
        <v>3</v>
      </c>
      <c r="AE114" s="17">
        <f>Table1[[#This Row],[Discount%]]/100</f>
        <v>0</v>
      </c>
      <c r="AF114" s="2">
        <v>0</v>
      </c>
      <c r="AG114" s="17">
        <f>Table1[[#This Row],[Tax%]]/100</f>
        <v>0.05</v>
      </c>
      <c r="AH114" s="2">
        <v>5</v>
      </c>
      <c r="AI114" s="23">
        <v>2</v>
      </c>
      <c r="AJ114" s="2" t="s">
        <v>229</v>
      </c>
      <c r="AK114" s="2" t="s">
        <v>230</v>
      </c>
      <c r="AL114" s="2" t="s">
        <v>348</v>
      </c>
      <c r="AM114" s="2" t="s">
        <v>232</v>
      </c>
      <c r="AN114" s="2" t="s">
        <v>987</v>
      </c>
      <c r="AO114" s="2" t="s">
        <v>203</v>
      </c>
      <c r="AP114" s="2" t="s">
        <v>880</v>
      </c>
      <c r="AQ114" s="25">
        <v>0</v>
      </c>
      <c r="AR114" s="25">
        <f>IFERROR((Table1[[#This Row],[Column7]]-Table1[[#This Row],[Column8]])/Table1[[#This Row],[Column7]], 0)</f>
        <v>-17</v>
      </c>
      <c r="AS114" s="2">
        <v>45.45</v>
      </c>
      <c r="AT114" s="21">
        <f>Table1[[#This Row],[Quantity]] * Table1[[#This Row],[CostPrice]]</f>
        <v>36</v>
      </c>
      <c r="AU114" s="2">
        <v>36</v>
      </c>
      <c r="AV114" s="13">
        <f>Table1[[#This Row],[Quantity]] * Table1[[#This Row],[UnitPrice]]</f>
        <v>66</v>
      </c>
      <c r="AW114" s="2">
        <v>66</v>
      </c>
      <c r="AX114" s="21">
        <f>Table1[[#This Row],[Column3]] * (Table1[[#This Row],[Column1]]/100)</f>
        <v>0</v>
      </c>
      <c r="AY114" s="2">
        <v>0</v>
      </c>
      <c r="AZ114" s="27">
        <f>Table1[[#This Row],[Column3]] * Table1[[#This Row],[Column4]]</f>
        <v>0</v>
      </c>
      <c r="BA114" s="2">
        <v>66</v>
      </c>
      <c r="BB114" s="15">
        <f>Table1[[#This Row],[Column5]] * (Table1[[#This Row],[Column2]]/100)</f>
        <v>0</v>
      </c>
      <c r="BC114" s="2">
        <v>3.3</v>
      </c>
      <c r="BD114" s="19">
        <f>Table1[[#This Row],[Column5]] + Table1[[#This Row],[Column6]] + Table1[[#This Row],[ShippingCost]]</f>
        <v>2</v>
      </c>
      <c r="BE114" s="2">
        <v>69.3</v>
      </c>
      <c r="BF114" s="2" t="s">
        <v>180</v>
      </c>
      <c r="BG114" s="2">
        <f>Table1[[#This Row],[DeliveryDate]]-Table1[[#This Row],[OrderDate]]</f>
        <v>5</v>
      </c>
      <c r="BH114" s="2">
        <v>5</v>
      </c>
      <c r="BI114" s="2" t="str">
        <f>IF(OR(Table1[[#This Row],[CustomerTier]]="Platinum", Table1[[#This Row],[Column7]]&gt;1000), "Yes", "No")</f>
        <v>No</v>
      </c>
      <c r="BJ114" s="2" t="s">
        <v>205</v>
      </c>
      <c r="BK114" s="2" t="str">
        <f>IF(Table1[[#This Row],[Quantity]]&gt;=10, "Yes", "No")</f>
        <v>No</v>
      </c>
      <c r="BL114" s="2" t="s">
        <v>205</v>
      </c>
      <c r="BM114" s="2">
        <f>IF(Table1[[#This Row],[Column12]]="Yes", 5%, 0)</f>
        <v>0</v>
      </c>
      <c r="BN114" s="2">
        <v>0</v>
      </c>
      <c r="BO114" s="2" t="s">
        <v>206</v>
      </c>
      <c r="BP114" s="2"/>
      <c r="BQ114" s="2" t="s">
        <v>208</v>
      </c>
      <c r="BR114" s="2" t="s">
        <v>209</v>
      </c>
      <c r="BS114" s="3" t="s">
        <v>210</v>
      </c>
    </row>
    <row r="115" spans="1:71" x14ac:dyDescent="0.25">
      <c r="A115" s="1" t="s">
        <v>856</v>
      </c>
      <c r="B115" s="11">
        <v>45729</v>
      </c>
      <c r="C115" s="11">
        <v>45732</v>
      </c>
      <c r="D115" s="2" t="s">
        <v>180</v>
      </c>
      <c r="E115" s="2" t="s">
        <v>212</v>
      </c>
      <c r="F115" s="2" t="s">
        <v>236</v>
      </c>
      <c r="G115" s="2" t="s">
        <v>237</v>
      </c>
      <c r="H115" s="2" t="s">
        <v>215</v>
      </c>
      <c r="I115" s="2" t="s">
        <v>238</v>
      </c>
      <c r="J115" s="2" t="s">
        <v>239</v>
      </c>
      <c r="K115" s="2" t="s">
        <v>215</v>
      </c>
      <c r="L115" s="2" t="s">
        <v>218</v>
      </c>
      <c r="M115" s="2" t="s">
        <v>240</v>
      </c>
      <c r="N115" s="2" t="s">
        <v>241</v>
      </c>
      <c r="O115" s="11">
        <v>44814</v>
      </c>
      <c r="P115" s="2" t="s">
        <v>857</v>
      </c>
      <c r="Q115" s="2" t="s">
        <v>858</v>
      </c>
      <c r="R115" s="2" t="s">
        <v>244</v>
      </c>
      <c r="S115" s="2" t="s">
        <v>563</v>
      </c>
      <c r="T115" s="2" t="s">
        <v>564</v>
      </c>
      <c r="U115" s="2" t="s">
        <v>247</v>
      </c>
      <c r="V115" s="13">
        <v>22</v>
      </c>
      <c r="W115" s="13">
        <v>12</v>
      </c>
      <c r="X115" s="2">
        <v>0.6</v>
      </c>
      <c r="Y115" s="2" t="s">
        <v>461</v>
      </c>
      <c r="Z115" s="2" t="s">
        <v>880</v>
      </c>
      <c r="AA115" s="2">
        <v>45</v>
      </c>
      <c r="AB115" s="2">
        <v>10</v>
      </c>
      <c r="AC115" s="2">
        <v>1</v>
      </c>
      <c r="AD115" s="2">
        <v>2</v>
      </c>
      <c r="AE115" s="17">
        <f>Table1[[#This Row],[Discount%]]/100</f>
        <v>0</v>
      </c>
      <c r="AF115" s="2">
        <v>0</v>
      </c>
      <c r="AG115" s="17">
        <f>Table1[[#This Row],[Tax%]]/100</f>
        <v>0.05</v>
      </c>
      <c r="AH115" s="2">
        <v>5</v>
      </c>
      <c r="AI115" s="23">
        <v>3</v>
      </c>
      <c r="AJ115" s="2" t="s">
        <v>366</v>
      </c>
      <c r="AK115" s="2" t="s">
        <v>230</v>
      </c>
      <c r="AL115" s="2" t="s">
        <v>307</v>
      </c>
      <c r="AM115" s="2" t="s">
        <v>196</v>
      </c>
      <c r="AN115" s="2" t="s">
        <v>988</v>
      </c>
      <c r="AO115" s="2" t="s">
        <v>203</v>
      </c>
      <c r="AP115" s="2" t="s">
        <v>880</v>
      </c>
      <c r="AQ115" s="25">
        <v>0</v>
      </c>
      <c r="AR115" s="25">
        <f>IFERROR((Table1[[#This Row],[Column7]]-Table1[[#This Row],[Column8]])/Table1[[#This Row],[Column7]], 0)</f>
        <v>-7</v>
      </c>
      <c r="AS115" s="2">
        <v>45.45</v>
      </c>
      <c r="AT115" s="21">
        <f>Table1[[#This Row],[Quantity]] * Table1[[#This Row],[CostPrice]]</f>
        <v>24</v>
      </c>
      <c r="AU115" s="2">
        <v>24</v>
      </c>
      <c r="AV115" s="13">
        <f>Table1[[#This Row],[Quantity]] * Table1[[#This Row],[UnitPrice]]</f>
        <v>44</v>
      </c>
      <c r="AW115" s="2">
        <v>44</v>
      </c>
      <c r="AX115" s="21">
        <f>Table1[[#This Row],[Column3]] * (Table1[[#This Row],[Column1]]/100)</f>
        <v>0</v>
      </c>
      <c r="AY115" s="2">
        <v>0</v>
      </c>
      <c r="AZ115" s="27">
        <f>Table1[[#This Row],[Column3]] * Table1[[#This Row],[Column4]]</f>
        <v>0</v>
      </c>
      <c r="BA115" s="2">
        <v>44</v>
      </c>
      <c r="BB115" s="15">
        <f>Table1[[#This Row],[Column5]] * (Table1[[#This Row],[Column2]]/100)</f>
        <v>0</v>
      </c>
      <c r="BC115" s="2">
        <v>2.2000000000000002</v>
      </c>
      <c r="BD115" s="19">
        <f>Table1[[#This Row],[Column5]] + Table1[[#This Row],[Column6]] + Table1[[#This Row],[ShippingCost]]</f>
        <v>3</v>
      </c>
      <c r="BE115" s="2">
        <v>46.2</v>
      </c>
      <c r="BF115" s="2" t="s">
        <v>180</v>
      </c>
      <c r="BG115" s="2">
        <f>Table1[[#This Row],[DeliveryDate]]-Table1[[#This Row],[OrderDate]]</f>
        <v>3</v>
      </c>
      <c r="BH115" s="2">
        <v>3</v>
      </c>
      <c r="BI115" s="2" t="str">
        <f>IF(OR(Table1[[#This Row],[CustomerTier]]="Platinum", Table1[[#This Row],[Column7]]&gt;1000), "Yes", "No")</f>
        <v>No</v>
      </c>
      <c r="BJ115" s="2" t="s">
        <v>205</v>
      </c>
      <c r="BK115" s="2" t="str">
        <f>IF(Table1[[#This Row],[Quantity]]&gt;=10, "Yes", "No")</f>
        <v>No</v>
      </c>
      <c r="BL115" s="2" t="s">
        <v>205</v>
      </c>
      <c r="BM115" s="2">
        <f>IF(Table1[[#This Row],[Column12]]="Yes", 5%, 0)</f>
        <v>0</v>
      </c>
      <c r="BN115" s="2">
        <v>0</v>
      </c>
      <c r="BO115" s="2"/>
      <c r="BP115" s="2"/>
      <c r="BQ115" s="2" t="s">
        <v>254</v>
      </c>
      <c r="BR115" s="2" t="s">
        <v>209</v>
      </c>
      <c r="BS115" s="3" t="s">
        <v>210</v>
      </c>
    </row>
    <row r="116" spans="1:71" x14ac:dyDescent="0.25">
      <c r="A116" s="1" t="s">
        <v>859</v>
      </c>
      <c r="B116" s="11">
        <v>45729</v>
      </c>
      <c r="C116" s="11">
        <v>45734</v>
      </c>
      <c r="D116" s="2" t="s">
        <v>371</v>
      </c>
      <c r="E116" s="2" t="s">
        <v>181</v>
      </c>
      <c r="F116" s="2" t="s">
        <v>182</v>
      </c>
      <c r="G116" s="2" t="s">
        <v>183</v>
      </c>
      <c r="H116" s="2" t="s">
        <v>184</v>
      </c>
      <c r="I116" s="2" t="s">
        <v>185</v>
      </c>
      <c r="J116" s="2" t="s">
        <v>186</v>
      </c>
      <c r="K116" s="2" t="s">
        <v>184</v>
      </c>
      <c r="L116" s="2" t="s">
        <v>187</v>
      </c>
      <c r="M116" s="2" t="s">
        <v>188</v>
      </c>
      <c r="N116" s="2" t="s">
        <v>189</v>
      </c>
      <c r="O116" s="11">
        <v>43891</v>
      </c>
      <c r="P116" s="2" t="s">
        <v>860</v>
      </c>
      <c r="Q116" s="2" t="s">
        <v>861</v>
      </c>
      <c r="R116" s="2" t="s">
        <v>192</v>
      </c>
      <c r="S116" s="2" t="s">
        <v>456</v>
      </c>
      <c r="T116" s="2" t="s">
        <v>457</v>
      </c>
      <c r="U116" s="2" t="s">
        <v>365</v>
      </c>
      <c r="V116" s="13">
        <v>16</v>
      </c>
      <c r="W116" s="13">
        <v>9</v>
      </c>
      <c r="X116" s="2">
        <v>0.1</v>
      </c>
      <c r="Y116" s="2" t="s">
        <v>288</v>
      </c>
      <c r="Z116" s="2" t="s">
        <v>880</v>
      </c>
      <c r="AA116" s="2">
        <v>45</v>
      </c>
      <c r="AB116" s="2">
        <v>10</v>
      </c>
      <c r="AC116" s="2">
        <v>1</v>
      </c>
      <c r="AD116" s="2">
        <v>3</v>
      </c>
      <c r="AE116" s="17">
        <f>Table1[[#This Row],[Discount%]]/100</f>
        <v>0</v>
      </c>
      <c r="AF116" s="2">
        <v>0</v>
      </c>
      <c r="AG116" s="17">
        <f>Table1[[#This Row],[Tax%]]/100</f>
        <v>0.05</v>
      </c>
      <c r="AH116" s="2">
        <v>5</v>
      </c>
      <c r="AI116" s="23">
        <v>2</v>
      </c>
      <c r="AJ116" s="2" t="s">
        <v>198</v>
      </c>
      <c r="AK116" s="2" t="s">
        <v>199</v>
      </c>
      <c r="AL116" s="2" t="s">
        <v>270</v>
      </c>
      <c r="AM116" s="2" t="s">
        <v>271</v>
      </c>
      <c r="AN116" s="2" t="s">
        <v>989</v>
      </c>
      <c r="AO116" s="2" t="s">
        <v>203</v>
      </c>
      <c r="AP116" s="2" t="s">
        <v>880</v>
      </c>
      <c r="AQ116" s="25">
        <v>0</v>
      </c>
      <c r="AR116" s="25">
        <f>IFERROR((Table1[[#This Row],[Column7]]-Table1[[#This Row],[Column8]])/Table1[[#This Row],[Column7]], 0)</f>
        <v>-12.5</v>
      </c>
      <c r="AS116" s="2">
        <v>43.75</v>
      </c>
      <c r="AT116" s="21">
        <f>Table1[[#This Row],[Quantity]] * Table1[[#This Row],[CostPrice]]</f>
        <v>27</v>
      </c>
      <c r="AU116" s="2">
        <v>27</v>
      </c>
      <c r="AV116" s="13">
        <f>Table1[[#This Row],[Quantity]] * Table1[[#This Row],[UnitPrice]]</f>
        <v>48</v>
      </c>
      <c r="AW116" s="2">
        <v>48</v>
      </c>
      <c r="AX116" s="21">
        <f>Table1[[#This Row],[Column3]] * (Table1[[#This Row],[Column1]]/100)</f>
        <v>0</v>
      </c>
      <c r="AY116" s="2">
        <v>0</v>
      </c>
      <c r="AZ116" s="27">
        <f>Table1[[#This Row],[Column3]] * Table1[[#This Row],[Column4]]</f>
        <v>0</v>
      </c>
      <c r="BA116" s="2">
        <v>48</v>
      </c>
      <c r="BB116" s="15">
        <f>Table1[[#This Row],[Column5]] * (Table1[[#This Row],[Column2]]/100)</f>
        <v>0</v>
      </c>
      <c r="BC116" s="2">
        <v>2.4</v>
      </c>
      <c r="BD116" s="19">
        <f>Table1[[#This Row],[Column5]] + Table1[[#This Row],[Column6]] + Table1[[#This Row],[ShippingCost]]</f>
        <v>2</v>
      </c>
      <c r="BE116" s="2">
        <v>50.4</v>
      </c>
      <c r="BF116" s="2" t="s">
        <v>371</v>
      </c>
      <c r="BG116" s="2">
        <f>Table1[[#This Row],[DeliveryDate]]-Table1[[#This Row],[OrderDate]]</f>
        <v>5</v>
      </c>
      <c r="BH116" s="2">
        <v>5</v>
      </c>
      <c r="BI116" s="2" t="str">
        <f>IF(OR(Table1[[#This Row],[CustomerTier]]="Platinum", Table1[[#This Row],[Column7]]&gt;1000), "Yes", "No")</f>
        <v>No</v>
      </c>
      <c r="BJ116" s="2" t="s">
        <v>205</v>
      </c>
      <c r="BK116" s="2" t="str">
        <f>IF(Table1[[#This Row],[Quantity]]&gt;=10, "Yes", "No")</f>
        <v>No</v>
      </c>
      <c r="BL116" s="2" t="s">
        <v>205</v>
      </c>
      <c r="BM116" s="2">
        <f>IF(Table1[[#This Row],[Column12]]="Yes", 5%, 0)</f>
        <v>0</v>
      </c>
      <c r="BN116" s="2">
        <v>0</v>
      </c>
      <c r="BO116" s="2"/>
      <c r="BP116" s="2"/>
      <c r="BQ116" s="2" t="s">
        <v>208</v>
      </c>
      <c r="BR116" s="2" t="s">
        <v>209</v>
      </c>
      <c r="BS116" s="3" t="s">
        <v>210</v>
      </c>
    </row>
    <row r="117" spans="1:71" x14ac:dyDescent="0.25">
      <c r="A117" s="1" t="s">
        <v>862</v>
      </c>
      <c r="B117" s="11">
        <v>45730</v>
      </c>
      <c r="C117" s="11">
        <v>45733</v>
      </c>
      <c r="D117" s="2" t="s">
        <v>180</v>
      </c>
      <c r="E117" s="2" t="s">
        <v>212</v>
      </c>
      <c r="F117" s="2" t="s">
        <v>295</v>
      </c>
      <c r="G117" s="2" t="s">
        <v>296</v>
      </c>
      <c r="H117" s="2" t="s">
        <v>297</v>
      </c>
      <c r="I117" s="2" t="s">
        <v>298</v>
      </c>
      <c r="J117" s="2" t="s">
        <v>299</v>
      </c>
      <c r="K117" s="2" t="s">
        <v>297</v>
      </c>
      <c r="L117" s="2" t="s">
        <v>187</v>
      </c>
      <c r="M117" s="2" t="s">
        <v>300</v>
      </c>
      <c r="N117" s="2" t="s">
        <v>301</v>
      </c>
      <c r="O117" s="11">
        <v>43332</v>
      </c>
      <c r="P117" s="2" t="s">
        <v>863</v>
      </c>
      <c r="Q117" s="2" t="s">
        <v>864</v>
      </c>
      <c r="R117" s="2" t="s">
        <v>244</v>
      </c>
      <c r="S117" s="2" t="s">
        <v>245</v>
      </c>
      <c r="T117" s="2" t="s">
        <v>621</v>
      </c>
      <c r="U117" s="2" t="s">
        <v>247</v>
      </c>
      <c r="V117" s="13">
        <v>48</v>
      </c>
      <c r="W117" s="13">
        <v>26</v>
      </c>
      <c r="X117" s="2">
        <v>2.2000000000000002</v>
      </c>
      <c r="Y117" s="2" t="s">
        <v>288</v>
      </c>
      <c r="Z117" s="2" t="s">
        <v>627</v>
      </c>
      <c r="AA117" s="2">
        <v>15</v>
      </c>
      <c r="AB117" s="2">
        <v>4</v>
      </c>
      <c r="AC117" s="2">
        <v>2</v>
      </c>
      <c r="AD117" s="2">
        <v>1</v>
      </c>
      <c r="AE117" s="17">
        <f>Table1[[#This Row],[Discount%]]/100</f>
        <v>0</v>
      </c>
      <c r="AF117" s="2">
        <v>0</v>
      </c>
      <c r="AG117" s="17">
        <f>Table1[[#This Row],[Tax%]]/100</f>
        <v>0.06</v>
      </c>
      <c r="AH117" s="2">
        <v>6</v>
      </c>
      <c r="AI117" s="23">
        <v>5</v>
      </c>
      <c r="AJ117" s="2" t="s">
        <v>289</v>
      </c>
      <c r="AK117" s="2" t="s">
        <v>199</v>
      </c>
      <c r="AL117" s="2" t="s">
        <v>290</v>
      </c>
      <c r="AM117" s="2" t="s">
        <v>201</v>
      </c>
      <c r="AN117" s="2" t="s">
        <v>990</v>
      </c>
      <c r="AO117" s="2" t="s">
        <v>203</v>
      </c>
      <c r="AP117" s="2" t="s">
        <v>880</v>
      </c>
      <c r="AQ117" s="25">
        <v>0</v>
      </c>
      <c r="AR117" s="25">
        <f>IFERROR((Table1[[#This Row],[Column7]]-Table1[[#This Row],[Column8]])/Table1[[#This Row],[Column7]], 0)</f>
        <v>-4.2</v>
      </c>
      <c r="AS117" s="2">
        <v>45.83</v>
      </c>
      <c r="AT117" s="21">
        <f>Table1[[#This Row],[Quantity]] * Table1[[#This Row],[CostPrice]]</f>
        <v>26</v>
      </c>
      <c r="AU117" s="2">
        <v>26</v>
      </c>
      <c r="AV117" s="13">
        <f>Table1[[#This Row],[Quantity]] * Table1[[#This Row],[UnitPrice]]</f>
        <v>48</v>
      </c>
      <c r="AW117" s="2">
        <v>48</v>
      </c>
      <c r="AX117" s="21">
        <f>Table1[[#This Row],[Column3]] * (Table1[[#This Row],[Column1]]/100)</f>
        <v>0</v>
      </c>
      <c r="AY117" s="2">
        <v>0</v>
      </c>
      <c r="AZ117" s="27">
        <f>Table1[[#This Row],[Column3]] * Table1[[#This Row],[Column4]]</f>
        <v>0</v>
      </c>
      <c r="BA117" s="2">
        <v>48</v>
      </c>
      <c r="BB117" s="15">
        <f>Table1[[#This Row],[Column5]] * (Table1[[#This Row],[Column2]]/100)</f>
        <v>0</v>
      </c>
      <c r="BC117" s="2">
        <v>2.88</v>
      </c>
      <c r="BD117" s="19">
        <f>Table1[[#This Row],[Column5]] + Table1[[#This Row],[Column6]] + Table1[[#This Row],[ShippingCost]]</f>
        <v>5</v>
      </c>
      <c r="BE117" s="2">
        <v>50.88</v>
      </c>
      <c r="BF117" s="2" t="s">
        <v>180</v>
      </c>
      <c r="BG117" s="2">
        <f>Table1[[#This Row],[DeliveryDate]]-Table1[[#This Row],[OrderDate]]</f>
        <v>3</v>
      </c>
      <c r="BH117" s="2">
        <v>3</v>
      </c>
      <c r="BI117" s="2" t="str">
        <f>IF(OR(Table1[[#This Row],[CustomerTier]]="Platinum", Table1[[#This Row],[Column7]]&gt;1000), "Yes", "No")</f>
        <v>Yes</v>
      </c>
      <c r="BJ117" s="2" t="s">
        <v>205</v>
      </c>
      <c r="BK117" s="2" t="str">
        <f>IF(Table1[[#This Row],[Quantity]]&gt;=10, "Yes", "No")</f>
        <v>No</v>
      </c>
      <c r="BL117" s="2" t="s">
        <v>205</v>
      </c>
      <c r="BM117" s="2">
        <f>IF(Table1[[#This Row],[Column12]]="Yes", 5%, 0)</f>
        <v>0</v>
      </c>
      <c r="BN117" s="2">
        <v>0</v>
      </c>
      <c r="BO117" s="2" t="s">
        <v>252</v>
      </c>
      <c r="BP117" s="2" t="s">
        <v>253</v>
      </c>
      <c r="BQ117" s="2" t="s">
        <v>254</v>
      </c>
      <c r="BR117" s="2" t="s">
        <v>209</v>
      </c>
      <c r="BS117" s="3" t="s">
        <v>210</v>
      </c>
    </row>
    <row r="118" spans="1:71" x14ac:dyDescent="0.25">
      <c r="A118" s="1" t="s">
        <v>865</v>
      </c>
      <c r="B118" s="11">
        <v>45730</v>
      </c>
      <c r="C118" s="11">
        <v>45735</v>
      </c>
      <c r="D118" s="2" t="s">
        <v>180</v>
      </c>
      <c r="E118" s="2" t="s">
        <v>181</v>
      </c>
      <c r="F118" s="2" t="s">
        <v>311</v>
      </c>
      <c r="G118" s="2" t="s">
        <v>312</v>
      </c>
      <c r="H118" s="2" t="s">
        <v>184</v>
      </c>
      <c r="I118" s="2" t="s">
        <v>313</v>
      </c>
      <c r="J118" s="2" t="s">
        <v>314</v>
      </c>
      <c r="K118" s="2" t="s">
        <v>184</v>
      </c>
      <c r="L118" s="2" t="s">
        <v>218</v>
      </c>
      <c r="M118" s="2" t="s">
        <v>315</v>
      </c>
      <c r="N118" s="2" t="s">
        <v>316</v>
      </c>
      <c r="O118" s="11">
        <v>44745</v>
      </c>
      <c r="P118" s="2" t="s">
        <v>866</v>
      </c>
      <c r="Q118" s="2" t="s">
        <v>867</v>
      </c>
      <c r="R118" s="2" t="s">
        <v>265</v>
      </c>
      <c r="S118" s="2" t="s">
        <v>363</v>
      </c>
      <c r="T118" s="2" t="s">
        <v>267</v>
      </c>
      <c r="U118" s="2" t="s">
        <v>268</v>
      </c>
      <c r="V118" s="13">
        <v>15</v>
      </c>
      <c r="W118" s="13">
        <v>8</v>
      </c>
      <c r="X118" s="2">
        <v>0.2</v>
      </c>
      <c r="Y118" s="2" t="s">
        <v>227</v>
      </c>
      <c r="Z118" s="2" t="s">
        <v>868</v>
      </c>
      <c r="AA118" s="2">
        <v>55</v>
      </c>
      <c r="AB118" s="2">
        <v>12</v>
      </c>
      <c r="AC118" s="2">
        <v>1</v>
      </c>
      <c r="AD118" s="2">
        <v>4</v>
      </c>
      <c r="AE118" s="17">
        <f>Table1[[#This Row],[Discount%]]/100</f>
        <v>0</v>
      </c>
      <c r="AF118" s="2">
        <v>0</v>
      </c>
      <c r="AG118" s="17">
        <f>Table1[[#This Row],[Tax%]]/100</f>
        <v>0.05</v>
      </c>
      <c r="AH118" s="2">
        <v>5</v>
      </c>
      <c r="AI118" s="23">
        <v>2</v>
      </c>
      <c r="AJ118" s="2" t="s">
        <v>229</v>
      </c>
      <c r="AK118" s="2" t="s">
        <v>230</v>
      </c>
      <c r="AL118" s="2" t="s">
        <v>231</v>
      </c>
      <c r="AM118" s="2" t="s">
        <v>232</v>
      </c>
      <c r="AN118" s="2" t="s">
        <v>991</v>
      </c>
      <c r="AO118" s="2" t="s">
        <v>203</v>
      </c>
      <c r="AP118" s="2" t="s">
        <v>880</v>
      </c>
      <c r="AQ118" s="25">
        <v>0</v>
      </c>
      <c r="AR118" s="25">
        <f>IFERROR((Table1[[#This Row],[Column7]]-Table1[[#This Row],[Column8]])/Table1[[#This Row],[Column7]], 0)</f>
        <v>-15</v>
      </c>
      <c r="AS118" s="2">
        <v>46.67</v>
      </c>
      <c r="AT118" s="21">
        <f>Table1[[#This Row],[Quantity]] * Table1[[#This Row],[CostPrice]]</f>
        <v>32</v>
      </c>
      <c r="AU118" s="2">
        <v>32</v>
      </c>
      <c r="AV118" s="13">
        <f>Table1[[#This Row],[Quantity]] * Table1[[#This Row],[UnitPrice]]</f>
        <v>60</v>
      </c>
      <c r="AW118" s="2">
        <v>60</v>
      </c>
      <c r="AX118" s="21">
        <f>Table1[[#This Row],[Column3]] * (Table1[[#This Row],[Column1]]/100)</f>
        <v>0</v>
      </c>
      <c r="AY118" s="2">
        <v>0</v>
      </c>
      <c r="AZ118" s="27">
        <f>Table1[[#This Row],[Column3]] * Table1[[#This Row],[Column4]]</f>
        <v>0</v>
      </c>
      <c r="BA118" s="2">
        <v>60</v>
      </c>
      <c r="BB118" s="15">
        <f>Table1[[#This Row],[Column5]] * (Table1[[#This Row],[Column2]]/100)</f>
        <v>0</v>
      </c>
      <c r="BC118" s="2">
        <v>3</v>
      </c>
      <c r="BD118" s="19">
        <f>Table1[[#This Row],[Column5]] + Table1[[#This Row],[Column6]] + Table1[[#This Row],[ShippingCost]]</f>
        <v>2</v>
      </c>
      <c r="BE118" s="2">
        <v>63</v>
      </c>
      <c r="BF118" s="2" t="s">
        <v>180</v>
      </c>
      <c r="BG118" s="2">
        <f>Table1[[#This Row],[DeliveryDate]]-Table1[[#This Row],[OrderDate]]</f>
        <v>5</v>
      </c>
      <c r="BH118" s="2">
        <v>5</v>
      </c>
      <c r="BI118" s="2" t="str">
        <f>IF(OR(Table1[[#This Row],[CustomerTier]]="Platinum", Table1[[#This Row],[Column7]]&gt;1000), "Yes", "No")</f>
        <v>No</v>
      </c>
      <c r="BJ118" s="2" t="s">
        <v>205</v>
      </c>
      <c r="BK118" s="2" t="str">
        <f>IF(Table1[[#This Row],[Quantity]]&gt;=10, "Yes", "No")</f>
        <v>No</v>
      </c>
      <c r="BL118" s="2" t="s">
        <v>205</v>
      </c>
      <c r="BM118" s="2">
        <f>IF(Table1[[#This Row],[Column12]]="Yes", 5%, 0)</f>
        <v>0</v>
      </c>
      <c r="BN118" s="2">
        <v>0</v>
      </c>
      <c r="BO118" s="2"/>
      <c r="BP118" s="2"/>
      <c r="BQ118" s="2" t="s">
        <v>273</v>
      </c>
      <c r="BR118" s="2" t="s">
        <v>209</v>
      </c>
      <c r="BS118" s="3" t="s">
        <v>210</v>
      </c>
    </row>
    <row r="119" spans="1:71" x14ac:dyDescent="0.25">
      <c r="A119" s="1" t="s">
        <v>869</v>
      </c>
      <c r="B119" s="11">
        <v>45731</v>
      </c>
      <c r="C119" s="11">
        <v>45734</v>
      </c>
      <c r="D119" s="2" t="s">
        <v>180</v>
      </c>
      <c r="E119" s="2" t="s">
        <v>212</v>
      </c>
      <c r="F119" s="2" t="s">
        <v>325</v>
      </c>
      <c r="G119" s="2" t="s">
        <v>326</v>
      </c>
      <c r="H119" s="2" t="s">
        <v>215</v>
      </c>
      <c r="I119" s="2" t="s">
        <v>327</v>
      </c>
      <c r="J119" s="2" t="s">
        <v>217</v>
      </c>
      <c r="K119" s="2" t="s">
        <v>215</v>
      </c>
      <c r="L119" s="2" t="s">
        <v>218</v>
      </c>
      <c r="M119" s="2" t="s">
        <v>328</v>
      </c>
      <c r="N119" s="2" t="s">
        <v>329</v>
      </c>
      <c r="O119" s="11">
        <v>44300</v>
      </c>
      <c r="P119" s="2" t="s">
        <v>870</v>
      </c>
      <c r="Q119" s="2" t="s">
        <v>871</v>
      </c>
      <c r="R119" s="2" t="s">
        <v>244</v>
      </c>
      <c r="S119" s="2" t="s">
        <v>245</v>
      </c>
      <c r="T119" s="2" t="s">
        <v>872</v>
      </c>
      <c r="U119" s="2" t="s">
        <v>247</v>
      </c>
      <c r="V119" s="13">
        <v>12</v>
      </c>
      <c r="W119" s="13">
        <v>6</v>
      </c>
      <c r="X119" s="2">
        <v>0.5</v>
      </c>
      <c r="Y119" s="2" t="s">
        <v>227</v>
      </c>
      <c r="Z119" s="2" t="s">
        <v>873</v>
      </c>
      <c r="AA119" s="2">
        <v>80</v>
      </c>
      <c r="AB119" s="2">
        <v>20</v>
      </c>
      <c r="AC119" s="2">
        <v>1</v>
      </c>
      <c r="AD119" s="2">
        <v>6</v>
      </c>
      <c r="AE119" s="17">
        <f>Table1[[#This Row],[Discount%]]/100</f>
        <v>0</v>
      </c>
      <c r="AF119" s="2">
        <v>0</v>
      </c>
      <c r="AG119" s="17">
        <f>Table1[[#This Row],[Tax%]]/100</f>
        <v>0.05</v>
      </c>
      <c r="AH119" s="2">
        <v>5</v>
      </c>
      <c r="AI119" s="23">
        <v>2</v>
      </c>
      <c r="AJ119" s="2" t="s">
        <v>249</v>
      </c>
      <c r="AK119" s="2" t="s">
        <v>230</v>
      </c>
      <c r="AL119" s="2" t="s">
        <v>250</v>
      </c>
      <c r="AM119" s="2" t="s">
        <v>196</v>
      </c>
      <c r="AN119" s="2" t="s">
        <v>992</v>
      </c>
      <c r="AO119" s="2" t="s">
        <v>203</v>
      </c>
      <c r="AP119" s="2" t="s">
        <v>880</v>
      </c>
      <c r="AQ119" s="25">
        <v>0</v>
      </c>
      <c r="AR119" s="25">
        <f>IFERROR((Table1[[#This Row],[Column7]]-Table1[[#This Row],[Column8]])/Table1[[#This Row],[Column7]], 0)</f>
        <v>-17</v>
      </c>
      <c r="AS119" s="2">
        <v>50</v>
      </c>
      <c r="AT119" s="21">
        <f>Table1[[#This Row],[Quantity]] * Table1[[#This Row],[CostPrice]]</f>
        <v>36</v>
      </c>
      <c r="AU119" s="2">
        <v>36</v>
      </c>
      <c r="AV119" s="13">
        <f>Table1[[#This Row],[Quantity]] * Table1[[#This Row],[UnitPrice]]</f>
        <v>72</v>
      </c>
      <c r="AW119" s="2">
        <v>72</v>
      </c>
      <c r="AX119" s="21">
        <f>Table1[[#This Row],[Column3]] * (Table1[[#This Row],[Column1]]/100)</f>
        <v>0</v>
      </c>
      <c r="AY119" s="2">
        <v>0</v>
      </c>
      <c r="AZ119" s="27">
        <f>Table1[[#This Row],[Column3]] * Table1[[#This Row],[Column4]]</f>
        <v>0</v>
      </c>
      <c r="BA119" s="2">
        <v>72</v>
      </c>
      <c r="BB119" s="15">
        <f>Table1[[#This Row],[Column5]] * (Table1[[#This Row],[Column2]]/100)</f>
        <v>0</v>
      </c>
      <c r="BC119" s="2">
        <v>3.6</v>
      </c>
      <c r="BD119" s="19">
        <f>Table1[[#This Row],[Column5]] + Table1[[#This Row],[Column6]] + Table1[[#This Row],[ShippingCost]]</f>
        <v>2</v>
      </c>
      <c r="BE119" s="2">
        <v>75.599999999999994</v>
      </c>
      <c r="BF119" s="2" t="s">
        <v>180</v>
      </c>
      <c r="BG119" s="2">
        <f>Table1[[#This Row],[DeliveryDate]]-Table1[[#This Row],[OrderDate]]</f>
        <v>3</v>
      </c>
      <c r="BH119" s="2">
        <v>3</v>
      </c>
      <c r="BI119" s="2" t="str">
        <f>IF(OR(Table1[[#This Row],[CustomerTier]]="Platinum", Table1[[#This Row],[Column7]]&gt;1000), "Yes", "No")</f>
        <v>No</v>
      </c>
      <c r="BJ119" s="2" t="s">
        <v>205</v>
      </c>
      <c r="BK119" s="2" t="str">
        <f>IF(Table1[[#This Row],[Quantity]]&gt;=10, "Yes", "No")</f>
        <v>No</v>
      </c>
      <c r="BL119" s="2" t="s">
        <v>204</v>
      </c>
      <c r="BM119" s="2">
        <f>IF(Table1[[#This Row],[Column12]]="Yes", 5%, 0)</f>
        <v>0</v>
      </c>
      <c r="BN119" s="2">
        <v>5</v>
      </c>
      <c r="BO119" s="2" t="s">
        <v>369</v>
      </c>
      <c r="BP119" s="2" t="s">
        <v>173</v>
      </c>
      <c r="BQ119" s="2" t="s">
        <v>254</v>
      </c>
      <c r="BR119" s="2" t="s">
        <v>209</v>
      </c>
      <c r="BS119" s="3" t="s">
        <v>210</v>
      </c>
    </row>
    <row r="120" spans="1:71" x14ac:dyDescent="0.25">
      <c r="A120" s="1" t="s">
        <v>874</v>
      </c>
      <c r="B120" s="11">
        <v>45731</v>
      </c>
      <c r="C120" s="11">
        <v>45736</v>
      </c>
      <c r="D120" s="2" t="s">
        <v>310</v>
      </c>
      <c r="E120" s="2" t="s">
        <v>181</v>
      </c>
      <c r="F120" s="2" t="s">
        <v>337</v>
      </c>
      <c r="G120" s="2" t="s">
        <v>338</v>
      </c>
      <c r="H120" s="2" t="s">
        <v>184</v>
      </c>
      <c r="I120" s="2" t="s">
        <v>339</v>
      </c>
      <c r="J120" s="2" t="s">
        <v>340</v>
      </c>
      <c r="K120" s="2" t="s">
        <v>184</v>
      </c>
      <c r="L120" s="2" t="s">
        <v>218</v>
      </c>
      <c r="M120" s="2" t="s">
        <v>341</v>
      </c>
      <c r="N120" s="2" t="s">
        <v>342</v>
      </c>
      <c r="O120" s="11">
        <v>44982</v>
      </c>
      <c r="P120" s="2" t="s">
        <v>875</v>
      </c>
      <c r="Q120" s="2" t="s">
        <v>876</v>
      </c>
      <c r="R120" s="2" t="s">
        <v>192</v>
      </c>
      <c r="S120" s="2" t="s">
        <v>363</v>
      </c>
      <c r="T120" s="2" t="s">
        <v>766</v>
      </c>
      <c r="U120" s="2" t="s">
        <v>365</v>
      </c>
      <c r="V120" s="13">
        <v>35</v>
      </c>
      <c r="W120" s="13">
        <v>19</v>
      </c>
      <c r="X120" s="2">
        <v>0.1</v>
      </c>
      <c r="Y120" s="2" t="s">
        <v>382</v>
      </c>
      <c r="Z120" s="2" t="s">
        <v>880</v>
      </c>
      <c r="AA120" s="2">
        <v>30</v>
      </c>
      <c r="AB120" s="2">
        <v>8</v>
      </c>
      <c r="AC120" s="2">
        <v>1</v>
      </c>
      <c r="AD120" s="2">
        <v>2</v>
      </c>
      <c r="AE120" s="17">
        <f>Table1[[#This Row],[Discount%]]/100</f>
        <v>0.05</v>
      </c>
      <c r="AF120" s="2">
        <v>5</v>
      </c>
      <c r="AG120" s="17">
        <f>Table1[[#This Row],[Tax%]]/100</f>
        <v>0.05</v>
      </c>
      <c r="AH120" s="2">
        <v>5</v>
      </c>
      <c r="AI120" s="23">
        <v>3</v>
      </c>
      <c r="AJ120" s="2" t="s">
        <v>198</v>
      </c>
      <c r="AK120" s="2" t="s">
        <v>230</v>
      </c>
      <c r="AL120" s="2" t="s">
        <v>322</v>
      </c>
      <c r="AM120" s="2" t="s">
        <v>232</v>
      </c>
      <c r="AN120" s="2" t="s">
        <v>993</v>
      </c>
      <c r="AO120" s="2" t="s">
        <v>203</v>
      </c>
      <c r="AP120" s="2" t="s">
        <v>880</v>
      </c>
      <c r="AQ120" s="25">
        <v>0</v>
      </c>
      <c r="AR120" s="25">
        <f>IFERROR((Table1[[#This Row],[Column7]]-Table1[[#This Row],[Column8]])/Table1[[#This Row],[Column7]], 0)</f>
        <v>-5.9709102082559422</v>
      </c>
      <c r="AS120" s="2">
        <v>45.71</v>
      </c>
      <c r="AT120" s="21">
        <f>Table1[[#This Row],[Quantity]] * Table1[[#This Row],[CostPrice]]</f>
        <v>38</v>
      </c>
      <c r="AU120" s="2">
        <v>38</v>
      </c>
      <c r="AV120" s="13">
        <f>Table1[[#This Row],[Quantity]] * Table1[[#This Row],[UnitPrice]]</f>
        <v>70</v>
      </c>
      <c r="AW120" s="2">
        <v>70</v>
      </c>
      <c r="AX120" s="21">
        <f>Table1[[#This Row],[Column3]] * (Table1[[#This Row],[Column1]]/100)</f>
        <v>3.5000000000000003E-2</v>
      </c>
      <c r="AY120" s="2">
        <v>3.5</v>
      </c>
      <c r="AZ120" s="27">
        <f>Table1[[#This Row],[Column3]] * Table1[[#This Row],[Column4]]</f>
        <v>2.4500000000000002</v>
      </c>
      <c r="BA120" s="2">
        <v>66.5</v>
      </c>
      <c r="BB120" s="15">
        <f>Table1[[#This Row],[Column5]] * (Table1[[#This Row],[Column2]]/100)</f>
        <v>1.2250000000000002E-3</v>
      </c>
      <c r="BC120" s="2">
        <v>3.33</v>
      </c>
      <c r="BD120" s="19">
        <f>Table1[[#This Row],[Column5]] + Table1[[#This Row],[Column6]] + Table1[[#This Row],[ShippingCost]]</f>
        <v>5.451225</v>
      </c>
      <c r="BE120" s="2">
        <v>69.83</v>
      </c>
      <c r="BF120" s="2" t="s">
        <v>310</v>
      </c>
      <c r="BG120" s="2">
        <f>Table1[[#This Row],[DeliveryDate]]-Table1[[#This Row],[OrderDate]]</f>
        <v>5</v>
      </c>
      <c r="BH120" s="2">
        <v>5</v>
      </c>
      <c r="BI120" s="2" t="str">
        <f>IF(OR(Table1[[#This Row],[CustomerTier]]="Platinum", Table1[[#This Row],[Column7]]&gt;1000), "Yes", "No")</f>
        <v>No</v>
      </c>
      <c r="BJ120" s="2" t="s">
        <v>205</v>
      </c>
      <c r="BK120" s="2" t="str">
        <f>IF(Table1[[#This Row],[Quantity]]&gt;=10, "Yes", "No")</f>
        <v>No</v>
      </c>
      <c r="BL120" s="2" t="s">
        <v>205</v>
      </c>
      <c r="BM120" s="2">
        <f>IF(Table1[[#This Row],[Column12]]="Yes", 5%, 0)</f>
        <v>0</v>
      </c>
      <c r="BN120" s="2">
        <v>0</v>
      </c>
      <c r="BO120" s="2" t="s">
        <v>291</v>
      </c>
      <c r="BP120" s="2" t="s">
        <v>353</v>
      </c>
      <c r="BQ120" s="2" t="s">
        <v>208</v>
      </c>
      <c r="BR120" s="2" t="s">
        <v>255</v>
      </c>
      <c r="BS120" s="3" t="s">
        <v>210</v>
      </c>
    </row>
    <row r="121" spans="1:71" x14ac:dyDescent="0.25">
      <c r="A121" s="4" t="s">
        <v>877</v>
      </c>
      <c r="B121" s="12">
        <v>45732</v>
      </c>
      <c r="C121" s="12">
        <v>45735</v>
      </c>
      <c r="D121" s="5" t="s">
        <v>180</v>
      </c>
      <c r="E121" s="5" t="s">
        <v>212</v>
      </c>
      <c r="F121" s="5" t="s">
        <v>355</v>
      </c>
      <c r="G121" s="5" t="s">
        <v>356</v>
      </c>
      <c r="H121" s="5" t="s">
        <v>297</v>
      </c>
      <c r="I121" s="5" t="s">
        <v>357</v>
      </c>
      <c r="J121" s="5" t="s">
        <v>358</v>
      </c>
      <c r="K121" s="5" t="s">
        <v>297</v>
      </c>
      <c r="L121" s="5" t="s">
        <v>218</v>
      </c>
      <c r="M121" s="5" t="s">
        <v>359</v>
      </c>
      <c r="N121" s="5" t="s">
        <v>360</v>
      </c>
      <c r="O121" s="12">
        <v>44895</v>
      </c>
      <c r="P121" s="5" t="s">
        <v>878</v>
      </c>
      <c r="Q121" s="5" t="s">
        <v>879</v>
      </c>
      <c r="R121" s="5" t="s">
        <v>223</v>
      </c>
      <c r="S121" s="5" t="s">
        <v>363</v>
      </c>
      <c r="T121" s="5" t="s">
        <v>225</v>
      </c>
      <c r="U121" s="5" t="s">
        <v>346</v>
      </c>
      <c r="V121" s="14">
        <v>28</v>
      </c>
      <c r="W121" s="14">
        <v>15</v>
      </c>
      <c r="X121" s="5">
        <v>0.2</v>
      </c>
      <c r="Y121" s="5" t="s">
        <v>461</v>
      </c>
      <c r="Z121" s="5" t="s">
        <v>646</v>
      </c>
      <c r="AA121" s="5">
        <v>35</v>
      </c>
      <c r="AB121" s="5">
        <v>8</v>
      </c>
      <c r="AC121" s="5">
        <v>1</v>
      </c>
      <c r="AD121" s="5">
        <v>2</v>
      </c>
      <c r="AE121" s="18">
        <f>Table1[[#This Row],[Discount%]]/100</f>
        <v>0</v>
      </c>
      <c r="AF121" s="5">
        <v>0</v>
      </c>
      <c r="AG121" s="18">
        <f>Table1[[#This Row],[Tax%]]/100</f>
        <v>0.05</v>
      </c>
      <c r="AH121" s="5">
        <v>5</v>
      </c>
      <c r="AI121" s="24">
        <v>3</v>
      </c>
      <c r="AJ121" s="5" t="s">
        <v>366</v>
      </c>
      <c r="AK121" s="5" t="s">
        <v>199</v>
      </c>
      <c r="AL121" s="5" t="s">
        <v>200</v>
      </c>
      <c r="AM121" s="5" t="s">
        <v>201</v>
      </c>
      <c r="AN121" s="2" t="s">
        <v>994</v>
      </c>
      <c r="AO121" s="5" t="s">
        <v>203</v>
      </c>
      <c r="AP121" s="5" t="s">
        <v>880</v>
      </c>
      <c r="AQ121" s="26">
        <v>0</v>
      </c>
      <c r="AR121" s="26">
        <f>IFERROR((Table1[[#This Row],[Column7]]-Table1[[#This Row],[Column8]])/Table1[[#This Row],[Column7]], 0)</f>
        <v>-9</v>
      </c>
      <c r="AS121" s="5">
        <v>46.43</v>
      </c>
      <c r="AT121" s="22">
        <f>Table1[[#This Row],[Quantity]] * Table1[[#This Row],[CostPrice]]</f>
        <v>30</v>
      </c>
      <c r="AU121" s="5">
        <v>30</v>
      </c>
      <c r="AV121" s="14">
        <f>Table1[[#This Row],[Quantity]] * Table1[[#This Row],[UnitPrice]]</f>
        <v>56</v>
      </c>
      <c r="AW121" s="5">
        <v>56</v>
      </c>
      <c r="AX121" s="22">
        <f>Table1[[#This Row],[Column3]] * (Table1[[#This Row],[Column1]]/100)</f>
        <v>0</v>
      </c>
      <c r="AY121" s="5">
        <v>0</v>
      </c>
      <c r="AZ121" s="28">
        <f>Table1[[#This Row],[Column3]] * Table1[[#This Row],[Column4]]</f>
        <v>0</v>
      </c>
      <c r="BA121" s="5">
        <v>56</v>
      </c>
      <c r="BB121" s="16">
        <f>Table1[[#This Row],[Column5]] * (Table1[[#This Row],[Column2]]/100)</f>
        <v>0</v>
      </c>
      <c r="BC121" s="5">
        <v>2.8</v>
      </c>
      <c r="BD121" s="20">
        <f>Table1[[#This Row],[Column5]] + Table1[[#This Row],[Column6]] + Table1[[#This Row],[ShippingCost]]</f>
        <v>3</v>
      </c>
      <c r="BE121" s="5">
        <v>58.8</v>
      </c>
      <c r="BF121" s="5" t="s">
        <v>180</v>
      </c>
      <c r="BG121" s="5">
        <f>Table1[[#This Row],[DeliveryDate]]-Table1[[#This Row],[OrderDate]]</f>
        <v>3</v>
      </c>
      <c r="BH121" s="5">
        <v>3</v>
      </c>
      <c r="BI121" s="5" t="str">
        <f>IF(OR(Table1[[#This Row],[CustomerTier]]="Platinum", Table1[[#This Row],[Column7]]&gt;1000), "Yes", "No")</f>
        <v>Yes</v>
      </c>
      <c r="BJ121" s="5" t="s">
        <v>205</v>
      </c>
      <c r="BK121" s="5" t="str">
        <f>IF(Table1[[#This Row],[Quantity]]&gt;=10, "Yes", "No")</f>
        <v>No</v>
      </c>
      <c r="BL121" s="5" t="s">
        <v>205</v>
      </c>
      <c r="BM121" s="5">
        <f>IF(Table1[[#This Row],[Column12]]="Yes", 5%, 0)</f>
        <v>0</v>
      </c>
      <c r="BN121" s="5">
        <v>0</v>
      </c>
      <c r="BO121" s="5" t="s">
        <v>206</v>
      </c>
      <c r="BP121" s="5" t="s">
        <v>207</v>
      </c>
      <c r="BQ121" s="5" t="s">
        <v>234</v>
      </c>
      <c r="BR121" s="5" t="s">
        <v>209</v>
      </c>
      <c r="BS121" s="6" t="s">
        <v>210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8EBAE-9644-4298-AA7E-CF53CFB48F86}">
  <sheetPr codeName="Sheet4"/>
  <dimension ref="A1:BF123"/>
  <sheetViews>
    <sheetView workbookViewId="0">
      <pane ySplit="1" topLeftCell="A2" activePane="bottomLeft" state="frozen"/>
      <selection activeCell="C1" sqref="C1"/>
      <selection pane="bottomLeft" activeCell="H19" sqref="H19"/>
    </sheetView>
  </sheetViews>
  <sheetFormatPr defaultRowHeight="15" x14ac:dyDescent="0.25"/>
  <cols>
    <col min="1" max="1" width="9.42578125" bestFit="1" customWidth="1"/>
    <col min="2" max="2" width="12" bestFit="1" customWidth="1"/>
    <col min="3" max="3" width="14.5703125" bestFit="1" customWidth="1"/>
    <col min="4" max="4" width="13.28515625" bestFit="1" customWidth="1"/>
    <col min="5" max="5" width="9.28515625" bestFit="1" customWidth="1"/>
    <col min="6" max="6" width="11.42578125" bestFit="1" customWidth="1"/>
    <col min="7" max="7" width="19.42578125" bestFit="1" customWidth="1"/>
    <col min="8" max="8" width="8.28515625" bestFit="1" customWidth="1"/>
    <col min="9" max="9" width="9.85546875" bestFit="1" customWidth="1"/>
    <col min="10" max="10" width="6.85546875" bestFit="1" customWidth="1"/>
    <col min="11" max="11" width="7.42578125" bestFit="1" customWidth="1"/>
    <col min="12" max="12" width="11.42578125" bestFit="1" customWidth="1"/>
    <col min="13" max="13" width="16.7109375" bestFit="1" customWidth="1"/>
    <col min="14" max="14" width="31.7109375" bestFit="1" customWidth="1"/>
    <col min="15" max="15" width="14.42578125" bestFit="1" customWidth="1"/>
    <col min="16" max="16" width="11.28515625" bestFit="1" customWidth="1"/>
    <col min="17" max="17" width="17.85546875" bestFit="1" customWidth="1"/>
    <col min="18" max="18" width="13.28515625" bestFit="1" customWidth="1"/>
    <col min="19" max="19" width="13.85546875" bestFit="1" customWidth="1"/>
    <col min="20" max="20" width="13.7109375" bestFit="1" customWidth="1"/>
    <col min="21" max="21" width="12.42578125" bestFit="1" customWidth="1"/>
    <col min="22" max="23" width="10.7109375" bestFit="1" customWidth="1"/>
    <col min="24" max="24" width="8.85546875" bestFit="1" customWidth="1"/>
    <col min="25" max="25" width="10.5703125" bestFit="1" customWidth="1"/>
    <col min="26" max="26" width="8.85546875" bestFit="1" customWidth="1"/>
    <col min="27" max="27" width="12" bestFit="1" customWidth="1"/>
    <col min="28" max="28" width="14.5703125" bestFit="1" customWidth="1"/>
    <col min="29" max="29" width="11" bestFit="1" customWidth="1"/>
    <col min="30" max="30" width="10.28515625" bestFit="1" customWidth="1"/>
    <col min="31" max="31" width="11.7109375" bestFit="1" customWidth="1"/>
    <col min="32" max="32" width="6.85546875" bestFit="1" customWidth="1"/>
    <col min="33" max="33" width="13.85546875" bestFit="1" customWidth="1"/>
    <col min="34" max="34" width="18.140625" bestFit="1" customWidth="1"/>
    <col min="35" max="35" width="15.5703125" bestFit="1" customWidth="1"/>
    <col min="36" max="36" width="12.85546875" bestFit="1" customWidth="1"/>
    <col min="37" max="37" width="14.7109375" bestFit="1" customWidth="1"/>
    <col min="38" max="38" width="10.140625" bestFit="1" customWidth="1"/>
    <col min="39" max="39" width="14.28515625" bestFit="1" customWidth="1"/>
    <col min="40" max="40" width="17.5703125" bestFit="1" customWidth="1"/>
    <col min="41" max="41" width="16.140625" bestFit="1" customWidth="1"/>
    <col min="42" max="42" width="15" bestFit="1" customWidth="1"/>
    <col min="43" max="43" width="14.28515625" bestFit="1" customWidth="1"/>
    <col min="44" max="44" width="11.7109375" bestFit="1" customWidth="1"/>
    <col min="45" max="45" width="17.85546875" bestFit="1" customWidth="1"/>
    <col min="46" max="46" width="18.28515625" bestFit="1" customWidth="1"/>
    <col min="47" max="47" width="12.7109375" bestFit="1" customWidth="1"/>
    <col min="48" max="48" width="15" bestFit="1" customWidth="1"/>
    <col min="49" max="49" width="15.7109375" bestFit="1" customWidth="1"/>
    <col min="50" max="50" width="14.5703125" bestFit="1" customWidth="1"/>
    <col min="51" max="51" width="10.5703125" bestFit="1" customWidth="1"/>
    <col min="52" max="52" width="13" bestFit="1" customWidth="1"/>
    <col min="53" max="53" width="14.28515625" bestFit="1" customWidth="1"/>
    <col min="54" max="54" width="12.7109375" bestFit="1" customWidth="1"/>
    <col min="55" max="55" width="13.140625" bestFit="1" customWidth="1"/>
    <col min="56" max="56" width="17.28515625" bestFit="1" customWidth="1"/>
    <col min="57" max="57" width="17" bestFit="1" customWidth="1"/>
    <col min="58" max="58" width="17.42578125" bestFit="1" customWidth="1"/>
  </cols>
  <sheetData>
    <row r="1" spans="1:58" ht="15.75" x14ac:dyDescent="0.25">
      <c r="A1" s="8" t="s">
        <v>121</v>
      </c>
      <c r="B1" s="9" t="s">
        <v>122</v>
      </c>
      <c r="C1" s="9" t="s">
        <v>123</v>
      </c>
      <c r="D1" s="9" t="s">
        <v>124</v>
      </c>
      <c r="E1" s="9" t="s">
        <v>125</v>
      </c>
      <c r="F1" s="9" t="s">
        <v>126</v>
      </c>
      <c r="G1" s="9" t="s">
        <v>127</v>
      </c>
      <c r="H1" s="9" t="s">
        <v>128</v>
      </c>
      <c r="I1" s="9" t="s">
        <v>129</v>
      </c>
      <c r="J1" s="9" t="s">
        <v>130</v>
      </c>
      <c r="K1" s="9" t="s">
        <v>131</v>
      </c>
      <c r="L1" s="9" t="s">
        <v>132</v>
      </c>
      <c r="M1" s="9" t="s">
        <v>133</v>
      </c>
      <c r="N1" s="9" t="s">
        <v>134</v>
      </c>
      <c r="O1" s="9" t="s">
        <v>135</v>
      </c>
      <c r="P1" s="9" t="s">
        <v>136</v>
      </c>
      <c r="Q1" s="9" t="s">
        <v>137</v>
      </c>
      <c r="R1" s="9" t="s">
        <v>138</v>
      </c>
      <c r="S1" s="9" t="s">
        <v>139</v>
      </c>
      <c r="T1" s="9" t="s">
        <v>140</v>
      </c>
      <c r="U1" s="9" t="s">
        <v>141</v>
      </c>
      <c r="V1" s="9" t="s">
        <v>142</v>
      </c>
      <c r="W1" s="9" t="s">
        <v>143</v>
      </c>
      <c r="X1" s="9" t="s">
        <v>144</v>
      </c>
      <c r="Y1" s="9" t="s">
        <v>145</v>
      </c>
      <c r="Z1" s="9" t="s">
        <v>146</v>
      </c>
      <c r="AA1" s="9" t="s">
        <v>147</v>
      </c>
      <c r="AB1" s="9" t="s">
        <v>148</v>
      </c>
      <c r="AC1" s="9" t="s">
        <v>149</v>
      </c>
      <c r="AD1" s="9" t="s">
        <v>150</v>
      </c>
      <c r="AE1" s="9" t="s">
        <v>151</v>
      </c>
      <c r="AF1" s="9" t="s">
        <v>152</v>
      </c>
      <c r="AG1" s="9" t="s">
        <v>153</v>
      </c>
      <c r="AH1" s="9" t="s">
        <v>154</v>
      </c>
      <c r="AI1" s="9" t="s">
        <v>155</v>
      </c>
      <c r="AJ1" s="9" t="s">
        <v>156</v>
      </c>
      <c r="AK1" s="9" t="s">
        <v>157</v>
      </c>
      <c r="AL1" s="9" t="s">
        <v>158</v>
      </c>
      <c r="AM1" s="9" t="s">
        <v>159</v>
      </c>
      <c r="AN1" s="9" t="s">
        <v>160</v>
      </c>
      <c r="AO1" s="9" t="s">
        <v>161</v>
      </c>
      <c r="AP1" s="9" t="s">
        <v>162</v>
      </c>
      <c r="AQ1" s="9" t="s">
        <v>163</v>
      </c>
      <c r="AR1" s="9" t="s">
        <v>164</v>
      </c>
      <c r="AS1" s="9" t="s">
        <v>165</v>
      </c>
      <c r="AT1" s="9" t="s">
        <v>166</v>
      </c>
      <c r="AU1" s="9" t="s">
        <v>167</v>
      </c>
      <c r="AV1" s="9" t="s">
        <v>168</v>
      </c>
      <c r="AW1" s="9" t="s">
        <v>169</v>
      </c>
      <c r="AX1" s="9" t="s">
        <v>170</v>
      </c>
      <c r="AY1" s="9" t="s">
        <v>171</v>
      </c>
      <c r="AZ1" s="9" t="s">
        <v>172</v>
      </c>
      <c r="BA1" s="9" t="s">
        <v>173</v>
      </c>
      <c r="BB1" s="9" t="s">
        <v>174</v>
      </c>
      <c r="BC1" s="9" t="s">
        <v>175</v>
      </c>
      <c r="BD1" s="9" t="s">
        <v>176</v>
      </c>
      <c r="BE1" s="9" t="s">
        <v>177</v>
      </c>
      <c r="BF1" s="10" t="s">
        <v>178</v>
      </c>
    </row>
    <row r="2" spans="1:58" x14ac:dyDescent="0.25">
      <c r="A2" s="1" t="s">
        <v>179</v>
      </c>
      <c r="B2" s="11">
        <v>45672</v>
      </c>
      <c r="C2" s="11">
        <v>45675</v>
      </c>
      <c r="D2" s="2" t="s">
        <v>180</v>
      </c>
      <c r="E2" s="2" t="s">
        <v>181</v>
      </c>
      <c r="F2" s="2" t="s">
        <v>182</v>
      </c>
      <c r="G2" s="2" t="s">
        <v>183</v>
      </c>
      <c r="H2" s="2" t="s">
        <v>184</v>
      </c>
      <c r="I2" s="2" t="s">
        <v>185</v>
      </c>
      <c r="J2" s="2" t="s">
        <v>186</v>
      </c>
      <c r="K2" s="2" t="s">
        <v>184</v>
      </c>
      <c r="L2" s="2" t="s">
        <v>187</v>
      </c>
      <c r="M2" s="2" t="s">
        <v>188</v>
      </c>
      <c r="N2" s="2" t="s">
        <v>189</v>
      </c>
      <c r="O2" s="11">
        <v>43891</v>
      </c>
      <c r="P2" s="2" t="s">
        <v>190</v>
      </c>
      <c r="Q2" s="2" t="s">
        <v>191</v>
      </c>
      <c r="R2" s="2" t="s">
        <v>192</v>
      </c>
      <c r="S2" s="2" t="s">
        <v>193</v>
      </c>
      <c r="T2" s="2" t="s">
        <v>194</v>
      </c>
      <c r="U2" s="2" t="s">
        <v>195</v>
      </c>
      <c r="V2" s="13">
        <v>1200</v>
      </c>
      <c r="W2" s="13">
        <v>780</v>
      </c>
      <c r="X2" s="2">
        <v>2.5</v>
      </c>
      <c r="Y2" s="2" t="s">
        <v>196</v>
      </c>
      <c r="Z2" s="2" t="s">
        <v>197</v>
      </c>
      <c r="AA2" s="2">
        <v>45</v>
      </c>
      <c r="AB2" s="2">
        <v>10</v>
      </c>
      <c r="AC2" s="2">
        <v>3</v>
      </c>
      <c r="AD2" s="2">
        <v>2</v>
      </c>
      <c r="AE2" s="17">
        <v>0.05</v>
      </c>
      <c r="AF2" s="17">
        <v>0.08</v>
      </c>
      <c r="AG2" s="23">
        <v>25</v>
      </c>
      <c r="AH2" s="2" t="s">
        <v>198</v>
      </c>
      <c r="AI2" s="2" t="s">
        <v>199</v>
      </c>
      <c r="AJ2" s="2" t="s">
        <v>200</v>
      </c>
      <c r="AK2" s="2" t="s">
        <v>201</v>
      </c>
      <c r="AL2" s="2" t="s">
        <v>202</v>
      </c>
      <c r="AM2" s="2" t="s">
        <v>203</v>
      </c>
      <c r="AN2" s="2" t="s">
        <v>880</v>
      </c>
      <c r="AO2" s="25">
        <v>0</v>
      </c>
      <c r="AP2" s="25">
        <v>0.46342040598437589</v>
      </c>
      <c r="AQ2" s="21">
        <v>1560</v>
      </c>
      <c r="AR2" s="13">
        <v>2400</v>
      </c>
      <c r="AS2" s="21">
        <v>1.2</v>
      </c>
      <c r="AT2" s="27">
        <v>2880</v>
      </c>
      <c r="AU2" s="15">
        <v>2.3040000000000003</v>
      </c>
      <c r="AV2" s="19">
        <v>2907.3040000000001</v>
      </c>
      <c r="AW2" s="2" t="s">
        <v>180</v>
      </c>
      <c r="AX2" s="2">
        <v>3</v>
      </c>
      <c r="AY2" s="2" t="s">
        <v>204</v>
      </c>
      <c r="AZ2" s="2" t="s">
        <v>205</v>
      </c>
      <c r="BA2" s="2">
        <v>0</v>
      </c>
      <c r="BB2" s="2" t="s">
        <v>206</v>
      </c>
      <c r="BC2" s="2" t="s">
        <v>207</v>
      </c>
      <c r="BD2" s="2" t="s">
        <v>208</v>
      </c>
      <c r="BE2" s="2" t="s">
        <v>209</v>
      </c>
      <c r="BF2" s="3" t="s">
        <v>210</v>
      </c>
    </row>
    <row r="3" spans="1:58" x14ac:dyDescent="0.25">
      <c r="A3" s="1" t="s">
        <v>211</v>
      </c>
      <c r="B3" s="11">
        <v>45672</v>
      </c>
      <c r="C3" s="11">
        <v>45674</v>
      </c>
      <c r="D3" s="2" t="s">
        <v>180</v>
      </c>
      <c r="E3" s="2" t="s">
        <v>212</v>
      </c>
      <c r="F3" s="2" t="s">
        <v>1008</v>
      </c>
      <c r="G3" s="2" t="s">
        <v>214</v>
      </c>
      <c r="H3" s="2" t="s">
        <v>215</v>
      </c>
      <c r="I3" s="2" t="s">
        <v>216</v>
      </c>
      <c r="J3" s="2" t="s">
        <v>217</v>
      </c>
      <c r="K3" s="2" t="s">
        <v>215</v>
      </c>
      <c r="L3" s="2" t="s">
        <v>218</v>
      </c>
      <c r="M3" s="2" t="s">
        <v>219</v>
      </c>
      <c r="N3" s="2" t="s">
        <v>220</v>
      </c>
      <c r="O3" s="11">
        <v>44362</v>
      </c>
      <c r="P3" s="2" t="s">
        <v>221</v>
      </c>
      <c r="Q3" s="2" t="s">
        <v>222</v>
      </c>
      <c r="R3" s="2" t="s">
        <v>223</v>
      </c>
      <c r="S3" s="2" t="s">
        <v>224</v>
      </c>
      <c r="T3" s="2" t="s">
        <v>225</v>
      </c>
      <c r="U3" s="2" t="s">
        <v>226</v>
      </c>
      <c r="V3" s="13">
        <v>25</v>
      </c>
      <c r="W3" s="13">
        <v>12</v>
      </c>
      <c r="X3" s="2">
        <v>0.2</v>
      </c>
      <c r="Y3" s="2" t="s">
        <v>227</v>
      </c>
      <c r="Z3" s="2" t="s">
        <v>228</v>
      </c>
      <c r="AA3" s="2">
        <v>120</v>
      </c>
      <c r="AB3" s="2">
        <v>30</v>
      </c>
      <c r="AC3" s="2">
        <v>2</v>
      </c>
      <c r="AD3" s="2">
        <v>5</v>
      </c>
      <c r="AE3" s="17">
        <v>0</v>
      </c>
      <c r="AF3" s="17">
        <v>0.05</v>
      </c>
      <c r="AG3" s="23">
        <v>8</v>
      </c>
      <c r="AH3" s="2" t="s">
        <v>229</v>
      </c>
      <c r="AI3" s="2" t="s">
        <v>230</v>
      </c>
      <c r="AJ3" s="2" t="s">
        <v>1138</v>
      </c>
      <c r="AK3" s="2" t="s">
        <v>232</v>
      </c>
      <c r="AL3" s="2" t="s">
        <v>884</v>
      </c>
      <c r="AM3" s="2" t="s">
        <v>203</v>
      </c>
      <c r="AN3" s="2" t="s">
        <v>880</v>
      </c>
      <c r="AO3" s="25">
        <v>0</v>
      </c>
      <c r="AP3" s="25">
        <v>-6.5</v>
      </c>
      <c r="AQ3" s="21">
        <v>60</v>
      </c>
      <c r="AR3" s="13">
        <v>125</v>
      </c>
      <c r="AS3" s="21">
        <v>0</v>
      </c>
      <c r="AT3" s="27">
        <v>0</v>
      </c>
      <c r="AU3" s="15">
        <v>0</v>
      </c>
      <c r="AV3" s="19">
        <v>8</v>
      </c>
      <c r="AW3" s="2" t="s">
        <v>180</v>
      </c>
      <c r="AX3" s="2">
        <v>2</v>
      </c>
      <c r="AY3" s="2" t="s">
        <v>205</v>
      </c>
      <c r="AZ3" s="2" t="s">
        <v>205</v>
      </c>
      <c r="BA3" s="2">
        <v>0</v>
      </c>
      <c r="BB3" s="2" t="s">
        <v>880</v>
      </c>
      <c r="BC3" s="2" t="s">
        <v>880</v>
      </c>
      <c r="BD3" s="2" t="s">
        <v>234</v>
      </c>
      <c r="BE3" s="2" t="s">
        <v>209</v>
      </c>
      <c r="BF3" s="3" t="s">
        <v>210</v>
      </c>
    </row>
    <row r="4" spans="1:58" x14ac:dyDescent="0.25">
      <c r="A4" s="1" t="s">
        <v>235</v>
      </c>
      <c r="B4" s="11">
        <v>45673</v>
      </c>
      <c r="C4" s="11">
        <v>45677</v>
      </c>
      <c r="D4" s="2" t="s">
        <v>180</v>
      </c>
      <c r="E4" s="2" t="s">
        <v>181</v>
      </c>
      <c r="F4" s="2" t="s">
        <v>1009</v>
      </c>
      <c r="G4" s="2" t="s">
        <v>237</v>
      </c>
      <c r="H4" s="2" t="s">
        <v>215</v>
      </c>
      <c r="I4" s="2" t="s">
        <v>238</v>
      </c>
      <c r="J4" s="2" t="s">
        <v>239</v>
      </c>
      <c r="K4" s="2" t="s">
        <v>215</v>
      </c>
      <c r="L4" s="2" t="s">
        <v>218</v>
      </c>
      <c r="M4" s="2" t="s">
        <v>240</v>
      </c>
      <c r="N4" s="2" t="s">
        <v>241</v>
      </c>
      <c r="O4" s="11">
        <v>44814</v>
      </c>
      <c r="P4" s="2" t="s">
        <v>242</v>
      </c>
      <c r="Q4" s="2" t="s">
        <v>243</v>
      </c>
      <c r="R4" s="2" t="s">
        <v>244</v>
      </c>
      <c r="S4" s="2" t="s">
        <v>245</v>
      </c>
      <c r="T4" s="2" t="s">
        <v>246</v>
      </c>
      <c r="U4" s="2" t="s">
        <v>247</v>
      </c>
      <c r="V4" s="13">
        <v>85</v>
      </c>
      <c r="W4" s="13">
        <v>48</v>
      </c>
      <c r="X4" s="2">
        <v>3.2</v>
      </c>
      <c r="Y4" s="2" t="s">
        <v>248</v>
      </c>
      <c r="Z4" s="2" t="s">
        <v>880</v>
      </c>
      <c r="AA4" s="2">
        <v>45</v>
      </c>
      <c r="AB4" s="2">
        <v>10</v>
      </c>
      <c r="AC4" s="2">
        <v>4</v>
      </c>
      <c r="AD4" s="2">
        <v>1</v>
      </c>
      <c r="AE4" s="17">
        <v>0.1</v>
      </c>
      <c r="AF4" s="17">
        <v>0.06</v>
      </c>
      <c r="AG4" s="23">
        <v>12</v>
      </c>
      <c r="AH4" s="2" t="s">
        <v>249</v>
      </c>
      <c r="AI4" s="2" t="s">
        <v>230</v>
      </c>
      <c r="AJ4" s="2" t="s">
        <v>1139</v>
      </c>
      <c r="AK4" s="2" t="s">
        <v>196</v>
      </c>
      <c r="AL4" s="2" t="s">
        <v>323</v>
      </c>
      <c r="AM4" s="2" t="s">
        <v>203</v>
      </c>
      <c r="AN4" s="2" t="s">
        <v>880</v>
      </c>
      <c r="AO4" s="25">
        <v>0</v>
      </c>
      <c r="AP4" s="25">
        <v>-1.4961861655642279</v>
      </c>
      <c r="AQ4" s="21">
        <v>48</v>
      </c>
      <c r="AR4" s="13">
        <v>85</v>
      </c>
      <c r="AS4" s="21">
        <v>8.5000000000000006E-2</v>
      </c>
      <c r="AT4" s="27">
        <v>7.2250000000000005</v>
      </c>
      <c r="AU4" s="15">
        <v>4.3350000000000003E-3</v>
      </c>
      <c r="AV4" s="19">
        <v>19.229334999999999</v>
      </c>
      <c r="AW4" s="2" t="s">
        <v>180</v>
      </c>
      <c r="AX4" s="2">
        <v>4</v>
      </c>
      <c r="AY4" s="2" t="s">
        <v>205</v>
      </c>
      <c r="AZ4" s="2" t="s">
        <v>205</v>
      </c>
      <c r="BA4" s="2">
        <v>0</v>
      </c>
      <c r="BB4" s="2" t="s">
        <v>252</v>
      </c>
      <c r="BC4" s="2" t="s">
        <v>253</v>
      </c>
      <c r="BD4" s="2" t="s">
        <v>254</v>
      </c>
      <c r="BE4" s="2" t="s">
        <v>255</v>
      </c>
      <c r="BF4" s="3" t="s">
        <v>210</v>
      </c>
    </row>
    <row r="5" spans="1:58" x14ac:dyDescent="0.25">
      <c r="A5" s="1" t="s">
        <v>256</v>
      </c>
      <c r="B5" s="11">
        <v>45673</v>
      </c>
      <c r="C5" s="11">
        <v>45676</v>
      </c>
      <c r="D5" s="2" t="s">
        <v>180</v>
      </c>
      <c r="E5" s="2" t="s">
        <v>212</v>
      </c>
      <c r="F5" s="2" t="s">
        <v>1010</v>
      </c>
      <c r="G5" s="2" t="s">
        <v>258</v>
      </c>
      <c r="H5" s="2" t="s">
        <v>184</v>
      </c>
      <c r="I5" s="2" t="s">
        <v>259</v>
      </c>
      <c r="J5" s="2" t="s">
        <v>260</v>
      </c>
      <c r="K5" s="2" t="s">
        <v>184</v>
      </c>
      <c r="L5" s="2" t="s">
        <v>218</v>
      </c>
      <c r="M5" s="2" t="s">
        <v>261</v>
      </c>
      <c r="N5" s="2" t="s">
        <v>262</v>
      </c>
      <c r="O5" s="11">
        <v>44140</v>
      </c>
      <c r="P5" s="2" t="s">
        <v>263</v>
      </c>
      <c r="Q5" s="2" t="s">
        <v>264</v>
      </c>
      <c r="R5" s="2" t="s">
        <v>265</v>
      </c>
      <c r="S5" s="2" t="s">
        <v>266</v>
      </c>
      <c r="T5" s="2" t="s">
        <v>267</v>
      </c>
      <c r="U5" s="2" t="s">
        <v>268</v>
      </c>
      <c r="V5" s="13">
        <v>35</v>
      </c>
      <c r="W5" s="13">
        <v>18</v>
      </c>
      <c r="X5" s="2">
        <v>1.1000000000000001</v>
      </c>
      <c r="Y5" s="2" t="s">
        <v>269</v>
      </c>
      <c r="Z5" s="2" t="s">
        <v>218</v>
      </c>
      <c r="AA5" s="2">
        <v>75</v>
      </c>
      <c r="AB5" s="2">
        <v>15</v>
      </c>
      <c r="AC5" s="2">
        <v>2</v>
      </c>
      <c r="AD5" s="2">
        <v>3</v>
      </c>
      <c r="AE5" s="17">
        <v>0</v>
      </c>
      <c r="AF5" s="17">
        <v>7.0000000000000007E-2</v>
      </c>
      <c r="AG5" s="23">
        <v>10</v>
      </c>
      <c r="AH5" s="2" t="s">
        <v>198</v>
      </c>
      <c r="AI5" s="2" t="s">
        <v>199</v>
      </c>
      <c r="AJ5" s="2" t="s">
        <v>1140</v>
      </c>
      <c r="AK5" s="2" t="s">
        <v>271</v>
      </c>
      <c r="AL5" s="2" t="s">
        <v>251</v>
      </c>
      <c r="AM5" s="2" t="s">
        <v>203</v>
      </c>
      <c r="AN5" s="2" t="s">
        <v>880</v>
      </c>
      <c r="AO5" s="25">
        <v>0</v>
      </c>
      <c r="AP5" s="25">
        <v>-4.4000000000000004</v>
      </c>
      <c r="AQ5" s="21">
        <v>54</v>
      </c>
      <c r="AR5" s="13">
        <v>105</v>
      </c>
      <c r="AS5" s="21">
        <v>0</v>
      </c>
      <c r="AT5" s="27">
        <v>0</v>
      </c>
      <c r="AU5" s="15">
        <v>0</v>
      </c>
      <c r="AV5" s="19">
        <v>10</v>
      </c>
      <c r="AW5" s="2" t="s">
        <v>180</v>
      </c>
      <c r="AX5" s="2">
        <v>3</v>
      </c>
      <c r="AY5" s="2" t="s">
        <v>205</v>
      </c>
      <c r="AZ5" s="2" t="s">
        <v>205</v>
      </c>
      <c r="BA5" s="2">
        <v>0</v>
      </c>
      <c r="BB5" s="2" t="s">
        <v>880</v>
      </c>
      <c r="BC5" s="2" t="s">
        <v>880</v>
      </c>
      <c r="BD5" s="2" t="s">
        <v>273</v>
      </c>
      <c r="BE5" s="2" t="s">
        <v>209</v>
      </c>
      <c r="BF5" s="3" t="s">
        <v>210</v>
      </c>
    </row>
    <row r="6" spans="1:58" x14ac:dyDescent="0.25">
      <c r="A6" s="1" t="s">
        <v>274</v>
      </c>
      <c r="B6" s="11">
        <v>45674</v>
      </c>
      <c r="C6" s="11">
        <v>45679</v>
      </c>
      <c r="D6" s="2" t="s">
        <v>180</v>
      </c>
      <c r="E6" s="2" t="s">
        <v>181</v>
      </c>
      <c r="F6" s="2" t="s">
        <v>1011</v>
      </c>
      <c r="G6" s="2" t="s">
        <v>276</v>
      </c>
      <c r="H6" s="2" t="s">
        <v>277</v>
      </c>
      <c r="I6" s="2" t="s">
        <v>278</v>
      </c>
      <c r="J6" s="2" t="s">
        <v>279</v>
      </c>
      <c r="K6" s="2" t="s">
        <v>277</v>
      </c>
      <c r="L6" s="2" t="s">
        <v>187</v>
      </c>
      <c r="M6" s="2" t="s">
        <v>280</v>
      </c>
      <c r="N6" s="2" t="s">
        <v>281</v>
      </c>
      <c r="O6" s="11">
        <v>43508</v>
      </c>
      <c r="P6" s="2" t="s">
        <v>282</v>
      </c>
      <c r="Q6" s="2" t="s">
        <v>283</v>
      </c>
      <c r="R6" s="2" t="s">
        <v>284</v>
      </c>
      <c r="S6" s="2" t="s">
        <v>285</v>
      </c>
      <c r="T6" s="2" t="s">
        <v>286</v>
      </c>
      <c r="U6" s="2" t="s">
        <v>287</v>
      </c>
      <c r="V6" s="13">
        <v>250</v>
      </c>
      <c r="W6" s="13">
        <v>145</v>
      </c>
      <c r="X6" s="2">
        <v>12.5</v>
      </c>
      <c r="Y6" s="2" t="s">
        <v>288</v>
      </c>
      <c r="Z6" s="2" t="s">
        <v>880</v>
      </c>
      <c r="AA6" s="2">
        <v>20</v>
      </c>
      <c r="AB6" s="2">
        <v>5</v>
      </c>
      <c r="AC6" s="2">
        <v>5</v>
      </c>
      <c r="AD6" s="2">
        <v>1</v>
      </c>
      <c r="AE6" s="17">
        <v>0.15</v>
      </c>
      <c r="AF6" s="17">
        <v>0.08</v>
      </c>
      <c r="AG6" s="23">
        <v>30</v>
      </c>
      <c r="AH6" s="2" t="s">
        <v>289</v>
      </c>
      <c r="AI6" s="2" t="s">
        <v>199</v>
      </c>
      <c r="AJ6" s="2" t="s">
        <v>1141</v>
      </c>
      <c r="AK6" s="2" t="s">
        <v>201</v>
      </c>
      <c r="AL6" s="2" t="s">
        <v>335</v>
      </c>
      <c r="AM6" s="2" t="s">
        <v>203</v>
      </c>
      <c r="AN6" s="2" t="s">
        <v>880</v>
      </c>
      <c r="AO6" s="25">
        <v>0</v>
      </c>
      <c r="AP6" s="25">
        <v>-0.17100747022006862</v>
      </c>
      <c r="AQ6" s="21">
        <v>145</v>
      </c>
      <c r="AR6" s="13">
        <v>250</v>
      </c>
      <c r="AS6" s="21">
        <v>0.375</v>
      </c>
      <c r="AT6" s="27">
        <v>93.75</v>
      </c>
      <c r="AU6" s="15">
        <v>7.4999999999999997E-2</v>
      </c>
      <c r="AV6" s="19">
        <v>123.825</v>
      </c>
      <c r="AW6" s="2" t="s">
        <v>180</v>
      </c>
      <c r="AX6" s="2">
        <v>5</v>
      </c>
      <c r="AY6" s="2" t="s">
        <v>204</v>
      </c>
      <c r="AZ6" s="2" t="s">
        <v>205</v>
      </c>
      <c r="BA6" s="2">
        <v>0</v>
      </c>
      <c r="BB6" s="2" t="s">
        <v>291</v>
      </c>
      <c r="BC6" s="2" t="s">
        <v>292</v>
      </c>
      <c r="BD6" s="2" t="s">
        <v>293</v>
      </c>
      <c r="BE6" s="2" t="s">
        <v>209</v>
      </c>
      <c r="BF6" s="3" t="s">
        <v>210</v>
      </c>
    </row>
    <row r="7" spans="1:58" x14ac:dyDescent="0.25">
      <c r="A7" s="1" t="s">
        <v>294</v>
      </c>
      <c r="B7" s="11">
        <v>45675</v>
      </c>
      <c r="C7" s="11">
        <v>45678</v>
      </c>
      <c r="D7" s="2" t="s">
        <v>180</v>
      </c>
      <c r="E7" s="2" t="s">
        <v>212</v>
      </c>
      <c r="F7" s="2" t="s">
        <v>1012</v>
      </c>
      <c r="G7" s="2" t="s">
        <v>296</v>
      </c>
      <c r="H7" s="2" t="s">
        <v>297</v>
      </c>
      <c r="I7" s="2" t="s">
        <v>298</v>
      </c>
      <c r="J7" s="2" t="s">
        <v>299</v>
      </c>
      <c r="K7" s="2" t="s">
        <v>297</v>
      </c>
      <c r="L7" s="2" t="s">
        <v>187</v>
      </c>
      <c r="M7" s="2" t="s">
        <v>300</v>
      </c>
      <c r="N7" s="2" t="s">
        <v>301</v>
      </c>
      <c r="O7" s="11">
        <v>43332</v>
      </c>
      <c r="P7" s="2" t="s">
        <v>302</v>
      </c>
      <c r="Q7" s="2" t="s">
        <v>303</v>
      </c>
      <c r="R7" s="2" t="s">
        <v>192</v>
      </c>
      <c r="S7" s="2" t="s">
        <v>304</v>
      </c>
      <c r="T7" s="2" t="s">
        <v>194</v>
      </c>
      <c r="U7" s="2" t="s">
        <v>305</v>
      </c>
      <c r="V7" s="13">
        <v>350</v>
      </c>
      <c r="W7" s="13">
        <v>210</v>
      </c>
      <c r="X7" s="2">
        <v>0.25</v>
      </c>
      <c r="Y7" s="2" t="s">
        <v>288</v>
      </c>
      <c r="Z7" s="2" t="s">
        <v>306</v>
      </c>
      <c r="AA7" s="2">
        <v>30</v>
      </c>
      <c r="AB7" s="2">
        <v>8</v>
      </c>
      <c r="AC7" s="2">
        <v>2</v>
      </c>
      <c r="AD7" s="2">
        <v>2</v>
      </c>
      <c r="AE7" s="17">
        <v>0.05</v>
      </c>
      <c r="AF7" s="17">
        <v>0.06</v>
      </c>
      <c r="AG7" s="23">
        <v>15</v>
      </c>
      <c r="AH7" s="2" t="s">
        <v>198</v>
      </c>
      <c r="AI7" s="2" t="s">
        <v>230</v>
      </c>
      <c r="AJ7" s="2" t="s">
        <v>1142</v>
      </c>
      <c r="AK7" s="2" t="s">
        <v>196</v>
      </c>
      <c r="AL7" s="2" t="s">
        <v>308</v>
      </c>
      <c r="AM7" s="2" t="s">
        <v>203</v>
      </c>
      <c r="AN7" s="2" t="s">
        <v>880</v>
      </c>
      <c r="AO7" s="25">
        <v>0</v>
      </c>
      <c r="AP7" s="25">
        <v>-0.61447181785682681</v>
      </c>
      <c r="AQ7" s="21">
        <v>420</v>
      </c>
      <c r="AR7" s="13">
        <v>700</v>
      </c>
      <c r="AS7" s="21">
        <v>0.35000000000000003</v>
      </c>
      <c r="AT7" s="27">
        <v>245.00000000000003</v>
      </c>
      <c r="AU7" s="15">
        <v>0.14699999999999999</v>
      </c>
      <c r="AV7" s="19">
        <v>260.14700000000005</v>
      </c>
      <c r="AW7" s="2" t="s">
        <v>180</v>
      </c>
      <c r="AX7" s="2">
        <v>3</v>
      </c>
      <c r="AY7" s="2" t="s">
        <v>205</v>
      </c>
      <c r="AZ7" s="2" t="s">
        <v>205</v>
      </c>
      <c r="BA7" s="2">
        <v>0</v>
      </c>
      <c r="BB7" s="2" t="s">
        <v>206</v>
      </c>
      <c r="BC7" s="2" t="s">
        <v>207</v>
      </c>
      <c r="BD7" s="2" t="s">
        <v>208</v>
      </c>
      <c r="BE7" s="2" t="s">
        <v>209</v>
      </c>
      <c r="BF7" s="3" t="s">
        <v>210</v>
      </c>
    </row>
    <row r="8" spans="1:58" x14ac:dyDescent="0.25">
      <c r="A8" s="1" t="s">
        <v>309</v>
      </c>
      <c r="B8" s="11">
        <v>45675</v>
      </c>
      <c r="C8" s="11">
        <v>45680</v>
      </c>
      <c r="D8" s="2" t="s">
        <v>310</v>
      </c>
      <c r="E8" s="2" t="s">
        <v>181</v>
      </c>
      <c r="F8" s="2" t="s">
        <v>1013</v>
      </c>
      <c r="G8" s="2" t="s">
        <v>296</v>
      </c>
      <c r="H8" s="2" t="s">
        <v>184</v>
      </c>
      <c r="I8" s="2" t="s">
        <v>313</v>
      </c>
      <c r="J8" s="2" t="s">
        <v>314</v>
      </c>
      <c r="K8" s="2" t="s">
        <v>184</v>
      </c>
      <c r="L8" s="2" t="s">
        <v>218</v>
      </c>
      <c r="M8" s="2" t="s">
        <v>315</v>
      </c>
      <c r="N8" s="2" t="s">
        <v>316</v>
      </c>
      <c r="O8" s="11">
        <v>44745</v>
      </c>
      <c r="P8" s="2" t="s">
        <v>317</v>
      </c>
      <c r="Q8" s="2" t="s">
        <v>318</v>
      </c>
      <c r="R8" s="2" t="s">
        <v>265</v>
      </c>
      <c r="S8" s="2" t="s">
        <v>319</v>
      </c>
      <c r="T8" s="2" t="s">
        <v>320</v>
      </c>
      <c r="U8" s="2" t="s">
        <v>321</v>
      </c>
      <c r="V8" s="13">
        <v>120</v>
      </c>
      <c r="W8" s="13">
        <v>65</v>
      </c>
      <c r="X8" s="2">
        <v>1.8</v>
      </c>
      <c r="Y8" s="2" t="s">
        <v>248</v>
      </c>
      <c r="Z8" s="2">
        <v>10</v>
      </c>
      <c r="AA8" s="2">
        <v>55</v>
      </c>
      <c r="AB8" s="2">
        <v>12</v>
      </c>
      <c r="AC8" s="2">
        <v>3</v>
      </c>
      <c r="AD8" s="2">
        <v>1</v>
      </c>
      <c r="AE8" s="17">
        <v>0.05</v>
      </c>
      <c r="AF8" s="17">
        <v>0.05</v>
      </c>
      <c r="AG8" s="23">
        <v>8</v>
      </c>
      <c r="AH8" s="2" t="s">
        <v>229</v>
      </c>
      <c r="AI8" s="2" t="s">
        <v>230</v>
      </c>
      <c r="AJ8" s="2" t="s">
        <v>1143</v>
      </c>
      <c r="AK8" s="2" t="s">
        <v>232</v>
      </c>
      <c r="AL8" s="2" t="s">
        <v>368</v>
      </c>
      <c r="AM8" s="2" t="s">
        <v>203</v>
      </c>
      <c r="AN8" s="2" t="s">
        <v>880</v>
      </c>
      <c r="AO8" s="25">
        <v>0</v>
      </c>
      <c r="AP8" s="25">
        <v>-3.2753032176589763</v>
      </c>
      <c r="AQ8" s="21">
        <v>65</v>
      </c>
      <c r="AR8" s="13">
        <v>120</v>
      </c>
      <c r="AS8" s="21">
        <v>0.06</v>
      </c>
      <c r="AT8" s="27">
        <v>7.1999999999999993</v>
      </c>
      <c r="AU8" s="15">
        <v>3.5999999999999999E-3</v>
      </c>
      <c r="AV8" s="19">
        <v>15.203599999999998</v>
      </c>
      <c r="AW8" s="2" t="s">
        <v>310</v>
      </c>
      <c r="AX8" s="2">
        <v>5</v>
      </c>
      <c r="AY8" s="2" t="s">
        <v>205</v>
      </c>
      <c r="AZ8" s="2" t="s">
        <v>205</v>
      </c>
      <c r="BA8" s="2">
        <v>0</v>
      </c>
      <c r="BB8" s="2" t="s">
        <v>880</v>
      </c>
      <c r="BC8" s="2" t="s">
        <v>880</v>
      </c>
      <c r="BD8" s="2" t="s">
        <v>273</v>
      </c>
      <c r="BE8" s="2" t="s">
        <v>209</v>
      </c>
      <c r="BF8" s="3" t="s">
        <v>210</v>
      </c>
    </row>
    <row r="9" spans="1:58" x14ac:dyDescent="0.25">
      <c r="A9" s="1" t="s">
        <v>324</v>
      </c>
      <c r="B9" s="11">
        <v>45676</v>
      </c>
      <c r="C9" s="11">
        <v>45679</v>
      </c>
      <c r="D9" s="2" t="s">
        <v>180</v>
      </c>
      <c r="E9" s="2" t="s">
        <v>212</v>
      </c>
      <c r="F9" s="2" t="s">
        <v>1014</v>
      </c>
      <c r="G9" s="2" t="s">
        <v>326</v>
      </c>
      <c r="H9" s="2" t="s">
        <v>215</v>
      </c>
      <c r="I9" s="2" t="s">
        <v>327</v>
      </c>
      <c r="J9" s="2" t="s">
        <v>217</v>
      </c>
      <c r="K9" s="2" t="s">
        <v>215</v>
      </c>
      <c r="L9" s="2" t="s">
        <v>218</v>
      </c>
      <c r="M9" s="2" t="s">
        <v>328</v>
      </c>
      <c r="N9" s="2" t="s">
        <v>329</v>
      </c>
      <c r="O9" s="11">
        <v>44300</v>
      </c>
      <c r="P9" s="2" t="s">
        <v>330</v>
      </c>
      <c r="Q9" s="2" t="s">
        <v>331</v>
      </c>
      <c r="R9" s="2" t="s">
        <v>244</v>
      </c>
      <c r="S9" s="2" t="s">
        <v>332</v>
      </c>
      <c r="T9" s="2" t="s">
        <v>333</v>
      </c>
      <c r="U9" s="2" t="s">
        <v>247</v>
      </c>
      <c r="V9" s="13">
        <v>95</v>
      </c>
      <c r="W9" s="13">
        <v>52</v>
      </c>
      <c r="X9" s="2">
        <v>2.8</v>
      </c>
      <c r="Y9" s="2" t="s">
        <v>288</v>
      </c>
      <c r="Z9" s="2" t="s">
        <v>880</v>
      </c>
      <c r="AA9" s="2">
        <v>40</v>
      </c>
      <c r="AB9" s="2">
        <v>8</v>
      </c>
      <c r="AC9" s="2">
        <v>3</v>
      </c>
      <c r="AD9" s="2">
        <v>2</v>
      </c>
      <c r="AE9" s="17">
        <v>0</v>
      </c>
      <c r="AF9" s="17">
        <v>0.05</v>
      </c>
      <c r="AG9" s="23">
        <v>10</v>
      </c>
      <c r="AH9" s="2" t="s">
        <v>249</v>
      </c>
      <c r="AI9" s="2" t="s">
        <v>230</v>
      </c>
      <c r="AJ9" s="2" t="s">
        <v>1144</v>
      </c>
      <c r="AK9" s="2" t="s">
        <v>196</v>
      </c>
      <c r="AL9" s="2" t="s">
        <v>233</v>
      </c>
      <c r="AM9" s="2" t="s">
        <v>203</v>
      </c>
      <c r="AN9" s="2" t="s">
        <v>880</v>
      </c>
      <c r="AO9" s="25">
        <v>0</v>
      </c>
      <c r="AP9" s="25">
        <v>-9.4</v>
      </c>
      <c r="AQ9" s="21">
        <v>104</v>
      </c>
      <c r="AR9" s="13">
        <v>190</v>
      </c>
      <c r="AS9" s="21">
        <v>0</v>
      </c>
      <c r="AT9" s="27">
        <v>0</v>
      </c>
      <c r="AU9" s="15">
        <v>0</v>
      </c>
      <c r="AV9" s="19">
        <v>10</v>
      </c>
      <c r="AW9" s="2" t="s">
        <v>180</v>
      </c>
      <c r="AX9" s="2">
        <v>3</v>
      </c>
      <c r="AY9" s="2" t="s">
        <v>205</v>
      </c>
      <c r="AZ9" s="2" t="s">
        <v>205</v>
      </c>
      <c r="BA9" s="2">
        <v>0</v>
      </c>
      <c r="BB9" s="2" t="s">
        <v>880</v>
      </c>
      <c r="BC9" s="2" t="s">
        <v>880</v>
      </c>
      <c r="BD9" s="2" t="s">
        <v>254</v>
      </c>
      <c r="BE9" s="2" t="s">
        <v>209</v>
      </c>
      <c r="BF9" s="3" t="s">
        <v>210</v>
      </c>
    </row>
    <row r="10" spans="1:58" x14ac:dyDescent="0.25">
      <c r="A10" s="1" t="s">
        <v>336</v>
      </c>
      <c r="B10" s="11">
        <v>45676</v>
      </c>
      <c r="C10" s="11">
        <v>45681</v>
      </c>
      <c r="D10" s="2" t="s">
        <v>180</v>
      </c>
      <c r="E10" s="2" t="s">
        <v>181</v>
      </c>
      <c r="F10" s="2" t="s">
        <v>1015</v>
      </c>
      <c r="G10" s="2" t="s">
        <v>338</v>
      </c>
      <c r="H10" s="2" t="s">
        <v>184</v>
      </c>
      <c r="I10" s="2" t="s">
        <v>339</v>
      </c>
      <c r="J10" s="2" t="s">
        <v>340</v>
      </c>
      <c r="K10" s="2" t="s">
        <v>184</v>
      </c>
      <c r="L10" s="2" t="s">
        <v>218</v>
      </c>
      <c r="M10" s="2" t="s">
        <v>341</v>
      </c>
      <c r="N10" s="2" t="s">
        <v>342</v>
      </c>
      <c r="O10" s="11">
        <v>44982</v>
      </c>
      <c r="P10" s="2" t="s">
        <v>343</v>
      </c>
      <c r="Q10" s="2" t="s">
        <v>344</v>
      </c>
      <c r="R10" s="2" t="s">
        <v>223</v>
      </c>
      <c r="S10" s="2" t="s">
        <v>345</v>
      </c>
      <c r="T10" s="2" t="s">
        <v>225</v>
      </c>
      <c r="U10" s="2" t="s">
        <v>346</v>
      </c>
      <c r="V10" s="13">
        <v>180</v>
      </c>
      <c r="W10" s="13">
        <v>95</v>
      </c>
      <c r="X10" s="2">
        <v>1.5</v>
      </c>
      <c r="Y10" s="2" t="s">
        <v>288</v>
      </c>
      <c r="Z10" s="2" t="s">
        <v>347</v>
      </c>
      <c r="AA10" s="2">
        <v>25</v>
      </c>
      <c r="AB10" s="2">
        <v>5</v>
      </c>
      <c r="AC10" s="2">
        <v>4</v>
      </c>
      <c r="AD10" s="2">
        <v>1</v>
      </c>
      <c r="AE10" s="17">
        <v>0.2</v>
      </c>
      <c r="AF10" s="17">
        <v>0.06</v>
      </c>
      <c r="AG10" s="23">
        <v>15</v>
      </c>
      <c r="AH10" s="2" t="s">
        <v>198</v>
      </c>
      <c r="AI10" s="2" t="s">
        <v>230</v>
      </c>
      <c r="AJ10" s="2" t="s">
        <v>1145</v>
      </c>
      <c r="AK10" s="2" t="s">
        <v>232</v>
      </c>
      <c r="AL10" s="2" t="s">
        <v>885</v>
      </c>
      <c r="AM10" s="2" t="s">
        <v>203</v>
      </c>
      <c r="AN10" s="2" t="s">
        <v>351</v>
      </c>
      <c r="AO10" s="25">
        <v>36</v>
      </c>
      <c r="AP10" s="25">
        <v>-0.18989645145322676</v>
      </c>
      <c r="AQ10" s="21">
        <v>95</v>
      </c>
      <c r="AR10" s="13">
        <v>180</v>
      </c>
      <c r="AS10" s="21">
        <v>0.36</v>
      </c>
      <c r="AT10" s="27">
        <v>64.8</v>
      </c>
      <c r="AU10" s="15">
        <v>3.8879999999999998E-2</v>
      </c>
      <c r="AV10" s="19">
        <v>79.838880000000003</v>
      </c>
      <c r="AW10" s="2" t="s">
        <v>180</v>
      </c>
      <c r="AX10" s="2">
        <v>5</v>
      </c>
      <c r="AY10" s="2" t="s">
        <v>205</v>
      </c>
      <c r="AZ10" s="2" t="s">
        <v>205</v>
      </c>
      <c r="BA10" s="2">
        <v>0</v>
      </c>
      <c r="BB10" s="2" t="s">
        <v>352</v>
      </c>
      <c r="BC10" s="2" t="s">
        <v>353</v>
      </c>
      <c r="BD10" s="2" t="s">
        <v>234</v>
      </c>
      <c r="BE10" s="2" t="s">
        <v>209</v>
      </c>
      <c r="BF10" s="3" t="s">
        <v>210</v>
      </c>
    </row>
    <row r="11" spans="1:58" x14ac:dyDescent="0.25">
      <c r="A11" s="1" t="s">
        <v>354</v>
      </c>
      <c r="B11" s="11">
        <v>45677</v>
      </c>
      <c r="C11" s="11">
        <v>45680</v>
      </c>
      <c r="D11" s="2" t="s">
        <v>180</v>
      </c>
      <c r="E11" s="2" t="s">
        <v>212</v>
      </c>
      <c r="F11" s="2" t="s">
        <v>1016</v>
      </c>
      <c r="G11" s="2" t="s">
        <v>356</v>
      </c>
      <c r="H11" s="2" t="s">
        <v>297</v>
      </c>
      <c r="I11" s="2" t="s">
        <v>357</v>
      </c>
      <c r="J11" s="2" t="s">
        <v>358</v>
      </c>
      <c r="K11" s="2" t="s">
        <v>297</v>
      </c>
      <c r="L11" s="2" t="s">
        <v>218</v>
      </c>
      <c r="M11" s="2" t="s">
        <v>359</v>
      </c>
      <c r="N11" s="2" t="s">
        <v>360</v>
      </c>
      <c r="O11" s="11">
        <v>44895</v>
      </c>
      <c r="P11" s="2" t="s">
        <v>361</v>
      </c>
      <c r="Q11" s="2" t="s">
        <v>362</v>
      </c>
      <c r="R11" s="2" t="s">
        <v>192</v>
      </c>
      <c r="S11" s="2" t="s">
        <v>363</v>
      </c>
      <c r="T11" s="2" t="s">
        <v>364</v>
      </c>
      <c r="U11" s="2" t="s">
        <v>365</v>
      </c>
      <c r="V11" s="13">
        <v>45</v>
      </c>
      <c r="W11" s="13">
        <v>23</v>
      </c>
      <c r="X11" s="2">
        <v>0.15</v>
      </c>
      <c r="Y11" s="2" t="s">
        <v>288</v>
      </c>
      <c r="Z11" s="2" t="s">
        <v>880</v>
      </c>
      <c r="AA11" s="2">
        <v>150</v>
      </c>
      <c r="AB11" s="2">
        <v>30</v>
      </c>
      <c r="AC11" s="2">
        <v>1</v>
      </c>
      <c r="AD11" s="2">
        <v>4</v>
      </c>
      <c r="AE11" s="17">
        <v>0</v>
      </c>
      <c r="AF11" s="17">
        <v>0.05</v>
      </c>
      <c r="AG11" s="23">
        <v>5</v>
      </c>
      <c r="AH11" s="2" t="s">
        <v>366</v>
      </c>
      <c r="AI11" s="2" t="s">
        <v>199</v>
      </c>
      <c r="AJ11" s="2" t="s">
        <v>1146</v>
      </c>
      <c r="AK11" s="2" t="s">
        <v>271</v>
      </c>
      <c r="AL11" s="2" t="s">
        <v>349</v>
      </c>
      <c r="AM11" s="2" t="s">
        <v>203</v>
      </c>
      <c r="AN11" s="2" t="s">
        <v>880</v>
      </c>
      <c r="AO11" s="25">
        <v>0</v>
      </c>
      <c r="AP11" s="25">
        <v>-17.399999999999999</v>
      </c>
      <c r="AQ11" s="21">
        <v>92</v>
      </c>
      <c r="AR11" s="13">
        <v>180</v>
      </c>
      <c r="AS11" s="21">
        <v>0</v>
      </c>
      <c r="AT11" s="27">
        <v>0</v>
      </c>
      <c r="AU11" s="15">
        <v>0</v>
      </c>
      <c r="AV11" s="19">
        <v>5</v>
      </c>
      <c r="AW11" s="2" t="s">
        <v>180</v>
      </c>
      <c r="AX11" s="2">
        <v>3</v>
      </c>
      <c r="AY11" s="2" t="s">
        <v>205</v>
      </c>
      <c r="AZ11" s="2" t="s">
        <v>205</v>
      </c>
      <c r="BA11" s="2">
        <v>0</v>
      </c>
      <c r="BB11" s="2" t="s">
        <v>369</v>
      </c>
      <c r="BC11" s="2" t="s">
        <v>173</v>
      </c>
      <c r="BD11" s="2" t="s">
        <v>208</v>
      </c>
      <c r="BE11" s="2" t="s">
        <v>209</v>
      </c>
      <c r="BF11" s="3" t="s">
        <v>210</v>
      </c>
    </row>
    <row r="12" spans="1:58" x14ac:dyDescent="0.25">
      <c r="A12" s="1" t="s">
        <v>370</v>
      </c>
      <c r="B12" s="11">
        <v>45677</v>
      </c>
      <c r="C12" s="11">
        <v>45682</v>
      </c>
      <c r="D12" s="2" t="s">
        <v>371</v>
      </c>
      <c r="E12" s="2" t="s">
        <v>181</v>
      </c>
      <c r="F12" s="2" t="s">
        <v>1017</v>
      </c>
      <c r="G12" s="2" t="s">
        <v>373</v>
      </c>
      <c r="H12" s="2" t="s">
        <v>297</v>
      </c>
      <c r="I12" s="2" t="s">
        <v>374</v>
      </c>
      <c r="J12" s="2" t="s">
        <v>375</v>
      </c>
      <c r="K12" s="2" t="s">
        <v>297</v>
      </c>
      <c r="L12" s="2" t="s">
        <v>218</v>
      </c>
      <c r="M12" s="2" t="s">
        <v>376</v>
      </c>
      <c r="N12" s="2" t="s">
        <v>377</v>
      </c>
      <c r="O12" s="11">
        <v>45033</v>
      </c>
      <c r="P12" s="2" t="s">
        <v>378</v>
      </c>
      <c r="Q12" s="2" t="s">
        <v>379</v>
      </c>
      <c r="R12" s="2" t="s">
        <v>244</v>
      </c>
      <c r="S12" s="2" t="s">
        <v>380</v>
      </c>
      <c r="T12" s="2" t="s">
        <v>381</v>
      </c>
      <c r="U12" s="2" t="s">
        <v>247</v>
      </c>
      <c r="V12" s="13">
        <v>65</v>
      </c>
      <c r="W12" s="13">
        <v>34</v>
      </c>
      <c r="X12" s="2">
        <v>1.2</v>
      </c>
      <c r="Y12" s="2" t="s">
        <v>382</v>
      </c>
      <c r="Z12" s="2" t="s">
        <v>880</v>
      </c>
      <c r="AA12" s="2">
        <v>35</v>
      </c>
      <c r="AB12" s="2">
        <v>10</v>
      </c>
      <c r="AC12" s="2">
        <v>2</v>
      </c>
      <c r="AD12" s="2">
        <v>1</v>
      </c>
      <c r="AE12" s="17">
        <v>0.05</v>
      </c>
      <c r="AF12" s="17">
        <v>0.05</v>
      </c>
      <c r="AG12" s="23">
        <v>8</v>
      </c>
      <c r="AH12" s="2" t="s">
        <v>229</v>
      </c>
      <c r="AI12" s="2" t="s">
        <v>230</v>
      </c>
      <c r="AJ12" s="2" t="s">
        <v>1147</v>
      </c>
      <c r="AK12" s="2" t="s">
        <v>232</v>
      </c>
      <c r="AL12" s="2" t="s">
        <v>272</v>
      </c>
      <c r="AM12" s="2" t="s">
        <v>203</v>
      </c>
      <c r="AN12" s="2" t="s">
        <v>880</v>
      </c>
      <c r="AO12" s="25">
        <v>0</v>
      </c>
      <c r="AP12" s="25">
        <v>-2.3618243829908989</v>
      </c>
      <c r="AQ12" s="21">
        <v>34</v>
      </c>
      <c r="AR12" s="13">
        <v>65</v>
      </c>
      <c r="AS12" s="21">
        <v>3.2500000000000001E-2</v>
      </c>
      <c r="AT12" s="27">
        <v>2.1125000000000003</v>
      </c>
      <c r="AU12" s="15">
        <v>1.0562500000000001E-3</v>
      </c>
      <c r="AV12" s="19">
        <v>10.11355625</v>
      </c>
      <c r="AW12" s="2" t="s">
        <v>371</v>
      </c>
      <c r="AX12" s="2">
        <v>5</v>
      </c>
      <c r="AY12" s="2" t="s">
        <v>205</v>
      </c>
      <c r="AZ12" s="2" t="s">
        <v>205</v>
      </c>
      <c r="BA12" s="2">
        <v>0</v>
      </c>
      <c r="BB12" s="2" t="s">
        <v>206</v>
      </c>
      <c r="BC12" s="2" t="s">
        <v>880</v>
      </c>
      <c r="BD12" s="2" t="s">
        <v>254</v>
      </c>
      <c r="BE12" s="2" t="s">
        <v>255</v>
      </c>
      <c r="BF12" s="3" t="s">
        <v>210</v>
      </c>
    </row>
    <row r="13" spans="1:58" x14ac:dyDescent="0.25">
      <c r="A13" s="1" t="s">
        <v>383</v>
      </c>
      <c r="B13" s="11">
        <v>45678</v>
      </c>
      <c r="C13" s="11">
        <v>45681</v>
      </c>
      <c r="D13" s="2" t="s">
        <v>180</v>
      </c>
      <c r="E13" s="2" t="s">
        <v>212</v>
      </c>
      <c r="F13" s="2" t="s">
        <v>1018</v>
      </c>
      <c r="G13" s="2" t="s">
        <v>214</v>
      </c>
      <c r="H13" s="2" t="s">
        <v>215</v>
      </c>
      <c r="I13" s="2" t="s">
        <v>216</v>
      </c>
      <c r="J13" s="2" t="s">
        <v>217</v>
      </c>
      <c r="K13" s="2" t="s">
        <v>215</v>
      </c>
      <c r="L13" s="2" t="s">
        <v>218</v>
      </c>
      <c r="M13" s="2" t="s">
        <v>219</v>
      </c>
      <c r="N13" s="2" t="s">
        <v>220</v>
      </c>
      <c r="O13" s="11">
        <v>44362</v>
      </c>
      <c r="P13" s="2" t="s">
        <v>384</v>
      </c>
      <c r="Q13" s="2" t="s">
        <v>385</v>
      </c>
      <c r="R13" s="2" t="s">
        <v>363</v>
      </c>
      <c r="S13" s="2" t="s">
        <v>386</v>
      </c>
      <c r="T13" s="2" t="s">
        <v>387</v>
      </c>
      <c r="U13" s="2" t="s">
        <v>388</v>
      </c>
      <c r="V13" s="13">
        <v>75</v>
      </c>
      <c r="W13" s="13">
        <v>38</v>
      </c>
      <c r="X13" s="2">
        <v>0.8</v>
      </c>
      <c r="Y13" s="2" t="s">
        <v>227</v>
      </c>
      <c r="Z13" s="2" t="s">
        <v>880</v>
      </c>
      <c r="AA13" s="2">
        <v>60</v>
      </c>
      <c r="AB13" s="2">
        <v>15</v>
      </c>
      <c r="AC13" s="2">
        <v>2</v>
      </c>
      <c r="AD13" s="2">
        <v>2</v>
      </c>
      <c r="AE13" s="17">
        <v>0</v>
      </c>
      <c r="AF13" s="17">
        <v>0.06</v>
      </c>
      <c r="AG13" s="23">
        <v>5</v>
      </c>
      <c r="AH13" s="2" t="s">
        <v>198</v>
      </c>
      <c r="AI13" s="2" t="s">
        <v>230</v>
      </c>
      <c r="AJ13" s="2" t="s">
        <v>1148</v>
      </c>
      <c r="AK13" s="2" t="s">
        <v>196</v>
      </c>
      <c r="AL13" s="2" t="s">
        <v>886</v>
      </c>
      <c r="AM13" s="2" t="s">
        <v>203</v>
      </c>
      <c r="AN13" s="2" t="s">
        <v>880</v>
      </c>
      <c r="AO13" s="25">
        <v>0</v>
      </c>
      <c r="AP13" s="25">
        <v>-14.2</v>
      </c>
      <c r="AQ13" s="21">
        <v>76</v>
      </c>
      <c r="AR13" s="13">
        <v>150</v>
      </c>
      <c r="AS13" s="21">
        <v>0</v>
      </c>
      <c r="AT13" s="27">
        <v>0</v>
      </c>
      <c r="AU13" s="15">
        <v>0</v>
      </c>
      <c r="AV13" s="19">
        <v>5</v>
      </c>
      <c r="AW13" s="2" t="s">
        <v>180</v>
      </c>
      <c r="AX13" s="2">
        <v>3</v>
      </c>
      <c r="AY13" s="2" t="s">
        <v>205</v>
      </c>
      <c r="AZ13" s="2" t="s">
        <v>205</v>
      </c>
      <c r="BA13" s="2">
        <v>0</v>
      </c>
      <c r="BB13" s="2" t="s">
        <v>880</v>
      </c>
      <c r="BC13" s="2" t="s">
        <v>880</v>
      </c>
      <c r="BD13" s="2" t="s">
        <v>234</v>
      </c>
      <c r="BE13" s="2" t="s">
        <v>209</v>
      </c>
      <c r="BF13" s="3" t="s">
        <v>210</v>
      </c>
    </row>
    <row r="14" spans="1:58" x14ac:dyDescent="0.25">
      <c r="A14" s="1" t="s">
        <v>389</v>
      </c>
      <c r="B14" s="11">
        <v>45678</v>
      </c>
      <c r="C14" s="11">
        <v>45683</v>
      </c>
      <c r="D14" s="2" t="s">
        <v>310</v>
      </c>
      <c r="E14" s="2" t="s">
        <v>181</v>
      </c>
      <c r="F14" s="2" t="s">
        <v>1019</v>
      </c>
      <c r="G14" s="2" t="s">
        <v>258</v>
      </c>
      <c r="H14" s="2" t="s">
        <v>184</v>
      </c>
      <c r="I14" s="2" t="s">
        <v>259</v>
      </c>
      <c r="J14" s="2" t="s">
        <v>260</v>
      </c>
      <c r="K14" s="2" t="s">
        <v>184</v>
      </c>
      <c r="L14" s="2" t="s">
        <v>218</v>
      </c>
      <c r="M14" s="2" t="s">
        <v>261</v>
      </c>
      <c r="N14" s="2" t="s">
        <v>262</v>
      </c>
      <c r="O14" s="11">
        <v>44140</v>
      </c>
      <c r="P14" s="2" t="s">
        <v>390</v>
      </c>
      <c r="Q14" s="2" t="s">
        <v>391</v>
      </c>
      <c r="R14" s="2" t="s">
        <v>265</v>
      </c>
      <c r="S14" s="2" t="s">
        <v>363</v>
      </c>
      <c r="T14" s="2" t="s">
        <v>392</v>
      </c>
      <c r="U14" s="2" t="s">
        <v>268</v>
      </c>
      <c r="V14" s="13">
        <v>22</v>
      </c>
      <c r="W14" s="13">
        <v>10</v>
      </c>
      <c r="X14" s="2">
        <v>0.3</v>
      </c>
      <c r="Y14" s="2" t="s">
        <v>227</v>
      </c>
      <c r="Z14" s="2" t="s">
        <v>880</v>
      </c>
      <c r="AA14" s="2">
        <v>200</v>
      </c>
      <c r="AB14" s="2">
        <v>40</v>
      </c>
      <c r="AC14" s="2">
        <v>1</v>
      </c>
      <c r="AD14" s="2">
        <v>6</v>
      </c>
      <c r="AE14" s="17">
        <v>0</v>
      </c>
      <c r="AF14" s="17">
        <v>0.05</v>
      </c>
      <c r="AG14" s="23">
        <v>8</v>
      </c>
      <c r="AH14" s="2" t="s">
        <v>249</v>
      </c>
      <c r="AI14" s="2" t="s">
        <v>199</v>
      </c>
      <c r="AJ14" s="2" t="s">
        <v>1149</v>
      </c>
      <c r="AK14" s="2" t="s">
        <v>271</v>
      </c>
      <c r="AL14" s="2" t="s">
        <v>887</v>
      </c>
      <c r="AM14" s="2" t="s">
        <v>203</v>
      </c>
      <c r="AN14" s="2" t="s">
        <v>880</v>
      </c>
      <c r="AO14" s="25">
        <v>0</v>
      </c>
      <c r="AP14" s="25">
        <v>-6.5</v>
      </c>
      <c r="AQ14" s="21">
        <v>60</v>
      </c>
      <c r="AR14" s="13">
        <v>132</v>
      </c>
      <c r="AS14" s="21">
        <v>0</v>
      </c>
      <c r="AT14" s="27">
        <v>0</v>
      </c>
      <c r="AU14" s="15">
        <v>0</v>
      </c>
      <c r="AV14" s="19">
        <v>8</v>
      </c>
      <c r="AW14" s="2" t="s">
        <v>310</v>
      </c>
      <c r="AX14" s="2">
        <v>5</v>
      </c>
      <c r="AY14" s="2" t="s">
        <v>205</v>
      </c>
      <c r="AZ14" s="2" t="s">
        <v>205</v>
      </c>
      <c r="BA14" s="2">
        <v>0</v>
      </c>
      <c r="BB14" s="2" t="s">
        <v>369</v>
      </c>
      <c r="BC14" s="2" t="s">
        <v>173</v>
      </c>
      <c r="BD14" s="2" t="s">
        <v>273</v>
      </c>
      <c r="BE14" s="2" t="s">
        <v>209</v>
      </c>
      <c r="BF14" s="3" t="s">
        <v>210</v>
      </c>
    </row>
    <row r="15" spans="1:58" x14ac:dyDescent="0.25">
      <c r="A15" s="1" t="s">
        <v>393</v>
      </c>
      <c r="B15" s="11">
        <v>45679</v>
      </c>
      <c r="C15" s="11">
        <v>45682</v>
      </c>
      <c r="D15" s="2" t="s">
        <v>180</v>
      </c>
      <c r="E15" s="2" t="s">
        <v>212</v>
      </c>
      <c r="F15" s="2" t="s">
        <v>1020</v>
      </c>
      <c r="G15" s="2" t="s">
        <v>276</v>
      </c>
      <c r="H15" s="2" t="s">
        <v>277</v>
      </c>
      <c r="I15" s="2" t="s">
        <v>278</v>
      </c>
      <c r="J15" s="2" t="s">
        <v>279</v>
      </c>
      <c r="K15" s="2" t="s">
        <v>277</v>
      </c>
      <c r="L15" s="2" t="s">
        <v>187</v>
      </c>
      <c r="M15" s="2" t="s">
        <v>280</v>
      </c>
      <c r="N15" s="2" t="s">
        <v>281</v>
      </c>
      <c r="O15" s="11">
        <v>43508</v>
      </c>
      <c r="P15" s="2" t="s">
        <v>394</v>
      </c>
      <c r="Q15" s="2" t="s">
        <v>395</v>
      </c>
      <c r="R15" s="2" t="s">
        <v>192</v>
      </c>
      <c r="S15" s="2" t="s">
        <v>193</v>
      </c>
      <c r="T15" s="2" t="s">
        <v>194</v>
      </c>
      <c r="U15" s="2" t="s">
        <v>195</v>
      </c>
      <c r="V15" s="13">
        <v>650</v>
      </c>
      <c r="W15" s="13">
        <v>390</v>
      </c>
      <c r="X15" s="2">
        <v>0.7</v>
      </c>
      <c r="Y15" s="2" t="s">
        <v>396</v>
      </c>
      <c r="Z15" s="2" t="s">
        <v>397</v>
      </c>
      <c r="AA15" s="2">
        <v>25</v>
      </c>
      <c r="AB15" s="2">
        <v>5</v>
      </c>
      <c r="AC15" s="2">
        <v>2</v>
      </c>
      <c r="AD15" s="2">
        <v>1</v>
      </c>
      <c r="AE15" s="17">
        <v>0</v>
      </c>
      <c r="AF15" s="17">
        <v>7.0000000000000007E-2</v>
      </c>
      <c r="AG15" s="23">
        <v>12</v>
      </c>
      <c r="AH15" s="2" t="s">
        <v>289</v>
      </c>
      <c r="AI15" s="2" t="s">
        <v>199</v>
      </c>
      <c r="AJ15" s="2" t="s">
        <v>1150</v>
      </c>
      <c r="AK15" s="2" t="s">
        <v>201</v>
      </c>
      <c r="AL15" s="2" t="s">
        <v>888</v>
      </c>
      <c r="AM15" s="2" t="s">
        <v>203</v>
      </c>
      <c r="AN15" s="2" t="s">
        <v>880</v>
      </c>
      <c r="AO15" s="25">
        <v>0</v>
      </c>
      <c r="AP15" s="25">
        <v>-31.5</v>
      </c>
      <c r="AQ15" s="21">
        <v>390</v>
      </c>
      <c r="AR15" s="13">
        <v>650</v>
      </c>
      <c r="AS15" s="21">
        <v>0</v>
      </c>
      <c r="AT15" s="27">
        <v>0</v>
      </c>
      <c r="AU15" s="15">
        <v>0</v>
      </c>
      <c r="AV15" s="19">
        <v>12</v>
      </c>
      <c r="AW15" s="2" t="s">
        <v>180</v>
      </c>
      <c r="AX15" s="2">
        <v>3</v>
      </c>
      <c r="AY15" s="2" t="s">
        <v>204</v>
      </c>
      <c r="AZ15" s="2" t="s">
        <v>205</v>
      </c>
      <c r="BA15" s="2">
        <v>0</v>
      </c>
      <c r="BB15" s="2" t="s">
        <v>252</v>
      </c>
      <c r="BC15" s="2" t="s">
        <v>253</v>
      </c>
      <c r="BD15" s="2" t="s">
        <v>208</v>
      </c>
      <c r="BE15" s="2" t="s">
        <v>209</v>
      </c>
      <c r="BF15" s="3" t="s">
        <v>210</v>
      </c>
    </row>
    <row r="16" spans="1:58" x14ac:dyDescent="0.25">
      <c r="A16" s="1" t="s">
        <v>398</v>
      </c>
      <c r="B16" s="11">
        <v>45679</v>
      </c>
      <c r="C16" s="11">
        <v>45684</v>
      </c>
      <c r="D16" s="2" t="s">
        <v>399</v>
      </c>
      <c r="E16" s="2" t="s">
        <v>181</v>
      </c>
      <c r="F16" s="2" t="s">
        <v>1021</v>
      </c>
      <c r="G16" s="2" t="s">
        <v>237</v>
      </c>
      <c r="H16" s="2" t="s">
        <v>215</v>
      </c>
      <c r="I16" s="2" t="s">
        <v>238</v>
      </c>
      <c r="J16" s="2" t="s">
        <v>239</v>
      </c>
      <c r="K16" s="2" t="s">
        <v>215</v>
      </c>
      <c r="L16" s="2" t="s">
        <v>218</v>
      </c>
      <c r="M16" s="2" t="s">
        <v>240</v>
      </c>
      <c r="N16" s="2" t="s">
        <v>241</v>
      </c>
      <c r="O16" s="11">
        <v>44814</v>
      </c>
      <c r="P16" s="2" t="s">
        <v>400</v>
      </c>
      <c r="Q16" s="2" t="s">
        <v>401</v>
      </c>
      <c r="R16" s="2" t="s">
        <v>402</v>
      </c>
      <c r="S16" s="2" t="s">
        <v>403</v>
      </c>
      <c r="T16" s="2" t="s">
        <v>404</v>
      </c>
      <c r="U16" s="2" t="s">
        <v>405</v>
      </c>
      <c r="V16" s="13">
        <v>55</v>
      </c>
      <c r="W16" s="13">
        <v>30</v>
      </c>
      <c r="X16" s="2">
        <v>1.1000000000000001</v>
      </c>
      <c r="Y16" s="2" t="s">
        <v>406</v>
      </c>
      <c r="Z16" s="2" t="s">
        <v>880</v>
      </c>
      <c r="AA16" s="2">
        <v>30</v>
      </c>
      <c r="AB16" s="2">
        <v>8</v>
      </c>
      <c r="AC16" s="2">
        <v>2</v>
      </c>
      <c r="AD16" s="2">
        <v>1</v>
      </c>
      <c r="AE16" s="17">
        <v>0</v>
      </c>
      <c r="AF16" s="17">
        <v>0.06</v>
      </c>
      <c r="AG16" s="23">
        <v>8</v>
      </c>
      <c r="AH16" s="2" t="s">
        <v>198</v>
      </c>
      <c r="AI16" s="2" t="s">
        <v>230</v>
      </c>
      <c r="AJ16" s="2" t="s">
        <v>1151</v>
      </c>
      <c r="AK16" s="2" t="s">
        <v>196</v>
      </c>
      <c r="AL16" s="2" t="s">
        <v>889</v>
      </c>
      <c r="AM16" s="2" t="s">
        <v>399</v>
      </c>
      <c r="AN16" s="2" t="s">
        <v>407</v>
      </c>
      <c r="AO16" s="25">
        <v>0</v>
      </c>
      <c r="AP16" s="25">
        <v>-2.75</v>
      </c>
      <c r="AQ16" s="21">
        <v>30</v>
      </c>
      <c r="AR16" s="13">
        <v>55</v>
      </c>
      <c r="AS16" s="21">
        <v>0</v>
      </c>
      <c r="AT16" s="27">
        <v>0</v>
      </c>
      <c r="AU16" s="15">
        <v>0</v>
      </c>
      <c r="AV16" s="19">
        <v>8</v>
      </c>
      <c r="AW16" s="2" t="s">
        <v>399</v>
      </c>
      <c r="AX16" s="2">
        <v>5</v>
      </c>
      <c r="AY16" s="2" t="s">
        <v>205</v>
      </c>
      <c r="AZ16" s="2" t="s">
        <v>205</v>
      </c>
      <c r="BA16" s="2">
        <v>0</v>
      </c>
      <c r="BB16" s="2" t="s">
        <v>880</v>
      </c>
      <c r="BC16" s="2" t="s">
        <v>880</v>
      </c>
      <c r="BD16" s="2" t="s">
        <v>254</v>
      </c>
      <c r="BE16" s="2" t="s">
        <v>408</v>
      </c>
      <c r="BF16" s="3" t="s">
        <v>409</v>
      </c>
    </row>
    <row r="17" spans="1:58" x14ac:dyDescent="0.25">
      <c r="A17" s="1" t="s">
        <v>410</v>
      </c>
      <c r="B17" s="11">
        <v>45680</v>
      </c>
      <c r="C17" s="11">
        <v>45683</v>
      </c>
      <c r="D17" s="2" t="s">
        <v>180</v>
      </c>
      <c r="E17" s="2" t="s">
        <v>212</v>
      </c>
      <c r="F17" s="2" t="s">
        <v>1022</v>
      </c>
      <c r="G17" s="2" t="s">
        <v>183</v>
      </c>
      <c r="H17" s="2" t="s">
        <v>184</v>
      </c>
      <c r="I17" s="2" t="s">
        <v>185</v>
      </c>
      <c r="J17" s="2" t="s">
        <v>186</v>
      </c>
      <c r="K17" s="2" t="s">
        <v>184</v>
      </c>
      <c r="L17" s="2" t="s">
        <v>187</v>
      </c>
      <c r="M17" s="2" t="s">
        <v>188</v>
      </c>
      <c r="N17" s="2" t="s">
        <v>189</v>
      </c>
      <c r="O17" s="11">
        <v>43891</v>
      </c>
      <c r="P17" s="2" t="s">
        <v>411</v>
      </c>
      <c r="Q17" s="2" t="s">
        <v>412</v>
      </c>
      <c r="R17" s="2" t="s">
        <v>265</v>
      </c>
      <c r="S17" s="2" t="s">
        <v>266</v>
      </c>
      <c r="T17" s="2" t="s">
        <v>413</v>
      </c>
      <c r="U17" s="2" t="s">
        <v>414</v>
      </c>
      <c r="V17" s="13">
        <v>1400</v>
      </c>
      <c r="W17" s="13">
        <v>840</v>
      </c>
      <c r="X17" s="2">
        <v>45</v>
      </c>
      <c r="Y17" s="2" t="s">
        <v>288</v>
      </c>
      <c r="Z17" s="2" t="s">
        <v>880</v>
      </c>
      <c r="AA17" s="2">
        <v>8</v>
      </c>
      <c r="AB17" s="2">
        <v>2</v>
      </c>
      <c r="AC17" s="2">
        <v>7</v>
      </c>
      <c r="AD17" s="2">
        <v>1</v>
      </c>
      <c r="AE17" s="17">
        <v>0.1</v>
      </c>
      <c r="AF17" s="17">
        <v>7.0000000000000007E-2</v>
      </c>
      <c r="AG17" s="23">
        <v>50</v>
      </c>
      <c r="AH17" s="2" t="s">
        <v>198</v>
      </c>
      <c r="AI17" s="2" t="s">
        <v>199</v>
      </c>
      <c r="AJ17" s="2" t="s">
        <v>1152</v>
      </c>
      <c r="AK17" s="2" t="s">
        <v>201</v>
      </c>
      <c r="AL17" s="2" t="s">
        <v>890</v>
      </c>
      <c r="AM17" s="2" t="s">
        <v>203</v>
      </c>
      <c r="AN17" s="2" t="s">
        <v>880</v>
      </c>
      <c r="AO17" s="25">
        <v>0</v>
      </c>
      <c r="AP17" s="25">
        <v>0.58237461792249279</v>
      </c>
      <c r="AQ17" s="21">
        <v>840</v>
      </c>
      <c r="AR17" s="13">
        <v>1400</v>
      </c>
      <c r="AS17" s="21">
        <v>1.4000000000000001</v>
      </c>
      <c r="AT17" s="27">
        <v>1960.0000000000002</v>
      </c>
      <c r="AU17" s="15">
        <v>1.3720000000000003</v>
      </c>
      <c r="AV17" s="19">
        <v>2011.3720000000003</v>
      </c>
      <c r="AW17" s="2" t="s">
        <v>180</v>
      </c>
      <c r="AX17" s="2">
        <v>3</v>
      </c>
      <c r="AY17" s="2" t="s">
        <v>204</v>
      </c>
      <c r="AZ17" s="2" t="s">
        <v>205</v>
      </c>
      <c r="BA17" s="2">
        <v>0</v>
      </c>
      <c r="BB17" s="2" t="s">
        <v>291</v>
      </c>
      <c r="BC17" s="2" t="s">
        <v>292</v>
      </c>
      <c r="BD17" s="2" t="s">
        <v>273</v>
      </c>
      <c r="BE17" s="2" t="s">
        <v>209</v>
      </c>
      <c r="BF17" s="3" t="s">
        <v>210</v>
      </c>
    </row>
    <row r="18" spans="1:58" x14ac:dyDescent="0.25">
      <c r="A18" s="1" t="s">
        <v>415</v>
      </c>
      <c r="B18" s="11">
        <v>45680</v>
      </c>
      <c r="C18" s="11">
        <v>45685</v>
      </c>
      <c r="D18" s="2" t="s">
        <v>180</v>
      </c>
      <c r="E18" s="2" t="s">
        <v>181</v>
      </c>
      <c r="F18" s="2" t="s">
        <v>1023</v>
      </c>
      <c r="G18" s="2" t="s">
        <v>296</v>
      </c>
      <c r="H18" s="2" t="s">
        <v>297</v>
      </c>
      <c r="I18" s="2" t="s">
        <v>298</v>
      </c>
      <c r="J18" s="2" t="s">
        <v>299</v>
      </c>
      <c r="K18" s="2" t="s">
        <v>297</v>
      </c>
      <c r="L18" s="2" t="s">
        <v>187</v>
      </c>
      <c r="M18" s="2" t="s">
        <v>300</v>
      </c>
      <c r="N18" s="2" t="s">
        <v>301</v>
      </c>
      <c r="O18" s="11">
        <v>43332</v>
      </c>
      <c r="P18" s="2" t="s">
        <v>416</v>
      </c>
      <c r="Q18" s="2" t="s">
        <v>417</v>
      </c>
      <c r="R18" s="2" t="s">
        <v>418</v>
      </c>
      <c r="S18" s="2" t="s">
        <v>419</v>
      </c>
      <c r="T18" s="2" t="s">
        <v>420</v>
      </c>
      <c r="U18" s="2" t="s">
        <v>421</v>
      </c>
      <c r="V18" s="13">
        <v>45</v>
      </c>
      <c r="W18" s="13">
        <v>22</v>
      </c>
      <c r="X18" s="2">
        <v>1.2</v>
      </c>
      <c r="Y18" s="2"/>
      <c r="Z18" s="2" t="s">
        <v>880</v>
      </c>
      <c r="AA18" s="2">
        <v>80</v>
      </c>
      <c r="AB18" s="2">
        <v>20</v>
      </c>
      <c r="AC18" s="2">
        <v>2</v>
      </c>
      <c r="AD18" s="2">
        <v>3</v>
      </c>
      <c r="AE18" s="17">
        <v>0.05</v>
      </c>
      <c r="AF18" s="17">
        <v>0.04</v>
      </c>
      <c r="AG18" s="23">
        <v>5</v>
      </c>
      <c r="AH18" s="2" t="s">
        <v>229</v>
      </c>
      <c r="AI18" s="2" t="s">
        <v>230</v>
      </c>
      <c r="AJ18" s="2" t="s">
        <v>1153</v>
      </c>
      <c r="AK18" s="2" t="s">
        <v>232</v>
      </c>
      <c r="AL18" s="2" t="s">
        <v>891</v>
      </c>
      <c r="AM18" s="2" t="s">
        <v>203</v>
      </c>
      <c r="AN18" s="2" t="s">
        <v>880</v>
      </c>
      <c r="AO18" s="25">
        <v>0</v>
      </c>
      <c r="AP18" s="25">
        <v>-3.6754974534478069</v>
      </c>
      <c r="AQ18" s="21">
        <v>66</v>
      </c>
      <c r="AR18" s="13">
        <v>135</v>
      </c>
      <c r="AS18" s="21">
        <v>6.7500000000000004E-2</v>
      </c>
      <c r="AT18" s="27">
        <v>9.1125000000000007</v>
      </c>
      <c r="AU18" s="15">
        <v>3.6450000000000007E-3</v>
      </c>
      <c r="AV18" s="19">
        <v>14.116145000000001</v>
      </c>
      <c r="AW18" s="2" t="s">
        <v>180</v>
      </c>
      <c r="AX18" s="2">
        <v>5</v>
      </c>
      <c r="AY18" s="2" t="s">
        <v>205</v>
      </c>
      <c r="AZ18" s="2" t="s">
        <v>205</v>
      </c>
      <c r="BA18" s="2">
        <v>0</v>
      </c>
      <c r="BB18" s="2" t="s">
        <v>206</v>
      </c>
      <c r="BC18" s="2" t="s">
        <v>207</v>
      </c>
      <c r="BD18" s="2" t="s">
        <v>422</v>
      </c>
      <c r="BE18" s="2" t="s">
        <v>209</v>
      </c>
      <c r="BF18" s="3" t="s">
        <v>210</v>
      </c>
    </row>
    <row r="19" spans="1:58" x14ac:dyDescent="0.25">
      <c r="A19" s="1" t="s">
        <v>423</v>
      </c>
      <c r="B19" s="11">
        <v>45681</v>
      </c>
      <c r="C19" s="11">
        <v>45684</v>
      </c>
      <c r="D19" s="2" t="s">
        <v>180</v>
      </c>
      <c r="E19" s="2" t="s">
        <v>212</v>
      </c>
      <c r="F19" s="2" t="s">
        <v>1024</v>
      </c>
      <c r="G19" s="2" t="s">
        <v>312</v>
      </c>
      <c r="H19" s="2" t="s">
        <v>184</v>
      </c>
      <c r="I19" s="2" t="s">
        <v>313</v>
      </c>
      <c r="J19" s="2" t="s">
        <v>314</v>
      </c>
      <c r="K19" s="2" t="s">
        <v>184</v>
      </c>
      <c r="L19" s="2" t="s">
        <v>218</v>
      </c>
      <c r="M19" s="2" t="s">
        <v>315</v>
      </c>
      <c r="N19" s="2" t="s">
        <v>316</v>
      </c>
      <c r="O19" s="11">
        <v>44745</v>
      </c>
      <c r="P19" s="2" t="s">
        <v>424</v>
      </c>
      <c r="Q19" s="2" t="s">
        <v>425</v>
      </c>
      <c r="R19" s="2" t="s">
        <v>265</v>
      </c>
      <c r="S19" s="2" t="s">
        <v>363</v>
      </c>
      <c r="T19" s="2" t="s">
        <v>267</v>
      </c>
      <c r="U19" s="2" t="s">
        <v>268</v>
      </c>
      <c r="V19" s="13">
        <v>12</v>
      </c>
      <c r="W19" s="13">
        <v>6</v>
      </c>
      <c r="X19" s="2">
        <v>0.2</v>
      </c>
      <c r="Y19" s="2" t="s">
        <v>269</v>
      </c>
      <c r="Z19" s="2" t="s">
        <v>880</v>
      </c>
      <c r="AA19" s="2">
        <v>150</v>
      </c>
      <c r="AB19" s="2">
        <v>30</v>
      </c>
      <c r="AC19" s="2">
        <v>1</v>
      </c>
      <c r="AD19" s="2">
        <v>10</v>
      </c>
      <c r="AE19" s="17">
        <v>0</v>
      </c>
      <c r="AF19" s="17">
        <v>0.05</v>
      </c>
      <c r="AG19" s="23">
        <v>0</v>
      </c>
      <c r="AH19" s="2" t="s">
        <v>366</v>
      </c>
      <c r="AI19" s="2" t="s">
        <v>230</v>
      </c>
      <c r="AJ19" s="2" t="s">
        <v>1154</v>
      </c>
      <c r="AK19" s="2" t="s">
        <v>232</v>
      </c>
      <c r="AL19" s="2" t="s">
        <v>892</v>
      </c>
      <c r="AM19" s="2" t="s">
        <v>203</v>
      </c>
      <c r="AN19" s="2" t="s">
        <v>880</v>
      </c>
      <c r="AO19" s="25">
        <v>0</v>
      </c>
      <c r="AP19" s="25">
        <v>0</v>
      </c>
      <c r="AQ19" s="21">
        <v>60</v>
      </c>
      <c r="AR19" s="13">
        <v>120</v>
      </c>
      <c r="AS19" s="21">
        <v>0</v>
      </c>
      <c r="AT19" s="27">
        <v>0</v>
      </c>
      <c r="AU19" s="15">
        <v>0</v>
      </c>
      <c r="AV19" s="19">
        <v>0</v>
      </c>
      <c r="AW19" s="2" t="s">
        <v>180</v>
      </c>
      <c r="AX19" s="2">
        <v>3</v>
      </c>
      <c r="AY19" s="2" t="s">
        <v>205</v>
      </c>
      <c r="AZ19" s="2" t="s">
        <v>204</v>
      </c>
      <c r="BA19" s="2">
        <v>0.05</v>
      </c>
      <c r="BB19" s="2" t="s">
        <v>369</v>
      </c>
      <c r="BC19" s="2" t="s">
        <v>173</v>
      </c>
      <c r="BD19" s="2" t="s">
        <v>273</v>
      </c>
      <c r="BE19" s="2" t="s">
        <v>209</v>
      </c>
      <c r="BF19" s="3" t="s">
        <v>210</v>
      </c>
    </row>
    <row r="20" spans="1:58" x14ac:dyDescent="0.25">
      <c r="A20" s="1" t="s">
        <v>426</v>
      </c>
      <c r="B20" s="11">
        <v>45681</v>
      </c>
      <c r="C20" s="11">
        <v>45686</v>
      </c>
      <c r="D20" s="2" t="s">
        <v>371</v>
      </c>
      <c r="E20" s="2" t="s">
        <v>181</v>
      </c>
      <c r="F20" s="2" t="s">
        <v>1025</v>
      </c>
      <c r="G20" s="2" t="s">
        <v>326</v>
      </c>
      <c r="H20" s="2" t="s">
        <v>215</v>
      </c>
      <c r="I20" s="2" t="s">
        <v>327</v>
      </c>
      <c r="J20" s="2" t="s">
        <v>217</v>
      </c>
      <c r="K20" s="2" t="s">
        <v>215</v>
      </c>
      <c r="L20" s="2" t="s">
        <v>218</v>
      </c>
      <c r="M20" s="2" t="s">
        <v>328</v>
      </c>
      <c r="N20" s="2" t="s">
        <v>329</v>
      </c>
      <c r="O20" s="11">
        <v>44300</v>
      </c>
      <c r="P20" s="2" t="s">
        <v>427</v>
      </c>
      <c r="Q20" s="2" t="s">
        <v>428</v>
      </c>
      <c r="R20" s="2" t="s">
        <v>284</v>
      </c>
      <c r="S20" s="2" t="s">
        <v>429</v>
      </c>
      <c r="T20" s="2" t="s">
        <v>430</v>
      </c>
      <c r="U20" s="2" t="s">
        <v>431</v>
      </c>
      <c r="V20" s="13">
        <v>550</v>
      </c>
      <c r="W20" s="13">
        <v>330</v>
      </c>
      <c r="X20" s="2">
        <v>35</v>
      </c>
      <c r="Y20" s="2" t="s">
        <v>432</v>
      </c>
      <c r="Z20" s="2" t="s">
        <v>880</v>
      </c>
      <c r="AA20" s="2">
        <v>12</v>
      </c>
      <c r="AB20" s="2">
        <v>3</v>
      </c>
      <c r="AC20" s="2">
        <v>6</v>
      </c>
      <c r="AD20" s="2">
        <v>1</v>
      </c>
      <c r="AE20" s="17">
        <v>0.05</v>
      </c>
      <c r="AF20" s="17">
        <v>7.0000000000000007E-2</v>
      </c>
      <c r="AG20" s="23">
        <v>40</v>
      </c>
      <c r="AH20" s="2" t="s">
        <v>198</v>
      </c>
      <c r="AI20" s="2" t="s">
        <v>199</v>
      </c>
      <c r="AJ20" s="2" t="s">
        <v>1155</v>
      </c>
      <c r="AK20" s="2" t="s">
        <v>271</v>
      </c>
      <c r="AL20" s="2" t="s">
        <v>893</v>
      </c>
      <c r="AM20" s="2" t="s">
        <v>203</v>
      </c>
      <c r="AN20" s="2" t="s">
        <v>880</v>
      </c>
      <c r="AO20" s="25">
        <v>0</v>
      </c>
      <c r="AP20" s="25">
        <v>-0.7245355022415696</v>
      </c>
      <c r="AQ20" s="21">
        <v>330</v>
      </c>
      <c r="AR20" s="13">
        <v>550</v>
      </c>
      <c r="AS20" s="21">
        <v>0.27500000000000002</v>
      </c>
      <c r="AT20" s="27">
        <v>151.25</v>
      </c>
      <c r="AU20" s="15">
        <v>0.10587500000000001</v>
      </c>
      <c r="AV20" s="19">
        <v>191.355875</v>
      </c>
      <c r="AW20" s="2" t="s">
        <v>371</v>
      </c>
      <c r="AX20" s="2">
        <v>5</v>
      </c>
      <c r="AY20" s="2" t="s">
        <v>205</v>
      </c>
      <c r="AZ20" s="2" t="s">
        <v>205</v>
      </c>
      <c r="BA20" s="2">
        <v>0</v>
      </c>
      <c r="BB20" s="2" t="s">
        <v>880</v>
      </c>
      <c r="BC20" s="2" t="s">
        <v>880</v>
      </c>
      <c r="BD20" s="2" t="s">
        <v>293</v>
      </c>
      <c r="BE20" s="2" t="s">
        <v>209</v>
      </c>
      <c r="BF20" s="3" t="s">
        <v>210</v>
      </c>
    </row>
    <row r="21" spans="1:58" x14ac:dyDescent="0.25">
      <c r="A21" s="1" t="s">
        <v>433</v>
      </c>
      <c r="B21" s="11">
        <v>45682</v>
      </c>
      <c r="C21" s="11">
        <v>45685</v>
      </c>
      <c r="D21" s="2" t="s">
        <v>180</v>
      </c>
      <c r="E21" s="2" t="s">
        <v>212</v>
      </c>
      <c r="F21" s="2" t="s">
        <v>1026</v>
      </c>
      <c r="G21" s="2" t="s">
        <v>338</v>
      </c>
      <c r="H21" s="2" t="s">
        <v>184</v>
      </c>
      <c r="I21" s="2" t="s">
        <v>339</v>
      </c>
      <c r="J21" s="2" t="s">
        <v>340</v>
      </c>
      <c r="K21" s="2" t="s">
        <v>184</v>
      </c>
      <c r="L21" s="2" t="s">
        <v>218</v>
      </c>
      <c r="M21" s="2" t="s">
        <v>341</v>
      </c>
      <c r="N21" s="2" t="s">
        <v>342</v>
      </c>
      <c r="O21" s="11">
        <v>44982</v>
      </c>
      <c r="P21" s="2" t="s">
        <v>434</v>
      </c>
      <c r="Q21" s="2" t="s">
        <v>435</v>
      </c>
      <c r="R21" s="2" t="s">
        <v>192</v>
      </c>
      <c r="S21" s="2" t="s">
        <v>436</v>
      </c>
      <c r="T21" s="2" t="s">
        <v>437</v>
      </c>
      <c r="U21" s="2" t="s">
        <v>438</v>
      </c>
      <c r="V21" s="13">
        <v>80</v>
      </c>
      <c r="W21" s="13">
        <v>44</v>
      </c>
      <c r="X21" s="2">
        <v>0.25</v>
      </c>
      <c r="Y21" s="2" t="s">
        <v>288</v>
      </c>
      <c r="Z21" s="2" t="s">
        <v>880</v>
      </c>
      <c r="AA21" s="2">
        <v>40</v>
      </c>
      <c r="AB21" s="2">
        <v>10</v>
      </c>
      <c r="AC21" s="2">
        <v>2</v>
      </c>
      <c r="AD21" s="2">
        <v>2</v>
      </c>
      <c r="AE21" s="17">
        <v>0</v>
      </c>
      <c r="AF21" s="17">
        <v>0.05</v>
      </c>
      <c r="AG21" s="23">
        <v>5</v>
      </c>
      <c r="AH21" s="2" t="s">
        <v>249</v>
      </c>
      <c r="AI21" s="2" t="s">
        <v>230</v>
      </c>
      <c r="AJ21" s="2" t="s">
        <v>1156</v>
      </c>
      <c r="AK21" s="2" t="s">
        <v>232</v>
      </c>
      <c r="AL21" s="2" t="s">
        <v>894</v>
      </c>
      <c r="AM21" s="2" t="s">
        <v>203</v>
      </c>
      <c r="AN21" s="2" t="s">
        <v>880</v>
      </c>
      <c r="AO21" s="25">
        <v>0</v>
      </c>
      <c r="AP21" s="25">
        <v>-16.600000000000001</v>
      </c>
      <c r="AQ21" s="21">
        <v>88</v>
      </c>
      <c r="AR21" s="13">
        <v>160</v>
      </c>
      <c r="AS21" s="21">
        <v>0</v>
      </c>
      <c r="AT21" s="27">
        <v>0</v>
      </c>
      <c r="AU21" s="15">
        <v>0</v>
      </c>
      <c r="AV21" s="19">
        <v>5</v>
      </c>
      <c r="AW21" s="2" t="s">
        <v>180</v>
      </c>
      <c r="AX21" s="2">
        <v>3</v>
      </c>
      <c r="AY21" s="2" t="s">
        <v>205</v>
      </c>
      <c r="AZ21" s="2" t="s">
        <v>205</v>
      </c>
      <c r="BA21" s="2">
        <v>0</v>
      </c>
      <c r="BB21" s="2" t="s">
        <v>880</v>
      </c>
      <c r="BC21" s="2" t="s">
        <v>880</v>
      </c>
      <c r="BD21" s="2" t="s">
        <v>208</v>
      </c>
      <c r="BE21" s="2" t="s">
        <v>209</v>
      </c>
      <c r="BF21" s="3" t="s">
        <v>210</v>
      </c>
    </row>
    <row r="22" spans="1:58" x14ac:dyDescent="0.25">
      <c r="A22" s="1" t="s">
        <v>439</v>
      </c>
      <c r="B22" s="11">
        <v>45682</v>
      </c>
      <c r="C22" s="11">
        <v>45687</v>
      </c>
      <c r="D22" s="2" t="s">
        <v>310</v>
      </c>
      <c r="E22" s="2" t="s">
        <v>181</v>
      </c>
      <c r="F22" s="2" t="s">
        <v>1027</v>
      </c>
      <c r="G22" s="2" t="s">
        <v>356</v>
      </c>
      <c r="H22" s="2" t="s">
        <v>297</v>
      </c>
      <c r="I22" s="2" t="s">
        <v>357</v>
      </c>
      <c r="J22" s="2" t="s">
        <v>358</v>
      </c>
      <c r="K22" s="2" t="s">
        <v>297</v>
      </c>
      <c r="L22" s="2" t="s">
        <v>218</v>
      </c>
      <c r="M22" s="2" t="s">
        <v>359</v>
      </c>
      <c r="N22" s="2" t="s">
        <v>360</v>
      </c>
      <c r="O22" s="11">
        <v>44895</v>
      </c>
      <c r="P22" s="2" t="s">
        <v>440</v>
      </c>
      <c r="Q22" s="2" t="s">
        <v>441</v>
      </c>
      <c r="R22" s="2" t="s">
        <v>265</v>
      </c>
      <c r="S22" s="2" t="s">
        <v>442</v>
      </c>
      <c r="T22" s="2" t="s">
        <v>443</v>
      </c>
      <c r="U22" s="2" t="s">
        <v>444</v>
      </c>
      <c r="V22" s="13">
        <v>60</v>
      </c>
      <c r="W22" s="13">
        <v>33</v>
      </c>
      <c r="X22" s="2">
        <v>1.2</v>
      </c>
      <c r="Y22" s="2" t="s">
        <v>445</v>
      </c>
      <c r="Z22" s="2" t="s">
        <v>880</v>
      </c>
      <c r="AA22" s="2">
        <v>45</v>
      </c>
      <c r="AB22" s="2">
        <v>10</v>
      </c>
      <c r="AC22" s="2">
        <v>2</v>
      </c>
      <c r="AD22" s="2">
        <v>2</v>
      </c>
      <c r="AE22" s="17">
        <v>0</v>
      </c>
      <c r="AF22" s="17">
        <v>0.05</v>
      </c>
      <c r="AG22" s="23">
        <v>5</v>
      </c>
      <c r="AH22" s="2" t="s">
        <v>229</v>
      </c>
      <c r="AI22" s="2" t="s">
        <v>230</v>
      </c>
      <c r="AJ22" s="2" t="s">
        <v>1157</v>
      </c>
      <c r="AK22" s="2" t="s">
        <v>196</v>
      </c>
      <c r="AL22" s="2" t="s">
        <v>895</v>
      </c>
      <c r="AM22" s="2" t="s">
        <v>203</v>
      </c>
      <c r="AN22" s="2" t="s">
        <v>880</v>
      </c>
      <c r="AO22" s="25">
        <v>0</v>
      </c>
      <c r="AP22" s="25">
        <v>-12.2</v>
      </c>
      <c r="AQ22" s="21">
        <v>66</v>
      </c>
      <c r="AR22" s="13">
        <v>120</v>
      </c>
      <c r="AS22" s="21">
        <v>0</v>
      </c>
      <c r="AT22" s="27">
        <v>0</v>
      </c>
      <c r="AU22" s="15">
        <v>0</v>
      </c>
      <c r="AV22" s="19">
        <v>5</v>
      </c>
      <c r="AW22" s="2" t="s">
        <v>310</v>
      </c>
      <c r="AX22" s="2">
        <v>5</v>
      </c>
      <c r="AY22" s="2" t="s">
        <v>205</v>
      </c>
      <c r="AZ22" s="2" t="s">
        <v>205</v>
      </c>
      <c r="BA22" s="2">
        <v>0</v>
      </c>
      <c r="BB22" s="2" t="s">
        <v>880</v>
      </c>
      <c r="BC22" s="2" t="s">
        <v>880</v>
      </c>
      <c r="BD22" s="2" t="s">
        <v>273</v>
      </c>
      <c r="BE22" s="2" t="s">
        <v>209</v>
      </c>
      <c r="BF22" s="3" t="s">
        <v>210</v>
      </c>
    </row>
    <row r="23" spans="1:58" x14ac:dyDescent="0.25">
      <c r="A23" s="1" t="s">
        <v>446</v>
      </c>
      <c r="B23" s="11">
        <v>45683</v>
      </c>
      <c r="C23" s="11">
        <v>45686</v>
      </c>
      <c r="D23" s="2" t="s">
        <v>180</v>
      </c>
      <c r="E23" s="2" t="s">
        <v>212</v>
      </c>
      <c r="F23" s="2" t="s">
        <v>1028</v>
      </c>
      <c r="G23" s="2" t="s">
        <v>373</v>
      </c>
      <c r="H23" s="2" t="s">
        <v>297</v>
      </c>
      <c r="I23" s="2" t="s">
        <v>374</v>
      </c>
      <c r="J23" s="2" t="s">
        <v>375</v>
      </c>
      <c r="K23" s="2" t="s">
        <v>297</v>
      </c>
      <c r="L23" s="2" t="s">
        <v>218</v>
      </c>
      <c r="M23" s="2" t="s">
        <v>376</v>
      </c>
      <c r="N23" s="2" t="s">
        <v>377</v>
      </c>
      <c r="O23" s="11">
        <v>45033</v>
      </c>
      <c r="P23" s="2" t="s">
        <v>447</v>
      </c>
      <c r="Q23" s="2" t="s">
        <v>448</v>
      </c>
      <c r="R23" s="2" t="s">
        <v>192</v>
      </c>
      <c r="S23" s="2" t="s">
        <v>449</v>
      </c>
      <c r="T23" s="2" t="s">
        <v>450</v>
      </c>
      <c r="U23" s="2" t="s">
        <v>451</v>
      </c>
      <c r="V23" s="13">
        <v>800</v>
      </c>
      <c r="W23" s="13">
        <v>480</v>
      </c>
      <c r="X23" s="2">
        <v>15</v>
      </c>
      <c r="Y23" s="2" t="s">
        <v>288</v>
      </c>
      <c r="Z23" s="2" t="s">
        <v>452</v>
      </c>
      <c r="AA23" s="2">
        <v>15</v>
      </c>
      <c r="AB23" s="2">
        <v>4</v>
      </c>
      <c r="AC23" s="2">
        <v>4</v>
      </c>
      <c r="AD23" s="2">
        <v>1</v>
      </c>
      <c r="AE23" s="17">
        <v>0.2</v>
      </c>
      <c r="AF23" s="17">
        <v>7.0000000000000007E-2</v>
      </c>
      <c r="AG23" s="23">
        <v>50</v>
      </c>
      <c r="AH23" s="2" t="s">
        <v>198</v>
      </c>
      <c r="AI23" s="2" t="s">
        <v>199</v>
      </c>
      <c r="AJ23" s="2" t="s">
        <v>1158</v>
      </c>
      <c r="AK23" s="2" t="s">
        <v>201</v>
      </c>
      <c r="AL23" s="2" t="s">
        <v>896</v>
      </c>
      <c r="AM23" s="2" t="s">
        <v>203</v>
      </c>
      <c r="AN23" s="2" t="s">
        <v>880</v>
      </c>
      <c r="AO23" s="25">
        <v>0</v>
      </c>
      <c r="AP23" s="25">
        <v>0.63934071482670318</v>
      </c>
      <c r="AQ23" s="21">
        <v>480</v>
      </c>
      <c r="AR23" s="13">
        <v>800</v>
      </c>
      <c r="AS23" s="21">
        <v>1.6</v>
      </c>
      <c r="AT23" s="27">
        <v>1280</v>
      </c>
      <c r="AU23" s="15">
        <v>0.89600000000000013</v>
      </c>
      <c r="AV23" s="19">
        <v>1330.896</v>
      </c>
      <c r="AW23" s="2" t="s">
        <v>180</v>
      </c>
      <c r="AX23" s="2">
        <v>3</v>
      </c>
      <c r="AY23" s="2" t="s">
        <v>204</v>
      </c>
      <c r="AZ23" s="2" t="s">
        <v>205</v>
      </c>
      <c r="BA23" s="2">
        <v>0</v>
      </c>
      <c r="BB23" s="2" t="s">
        <v>352</v>
      </c>
      <c r="BC23" s="2" t="s">
        <v>353</v>
      </c>
      <c r="BD23" s="2" t="s">
        <v>208</v>
      </c>
      <c r="BE23" s="2" t="s">
        <v>209</v>
      </c>
      <c r="BF23" s="3" t="s">
        <v>210</v>
      </c>
    </row>
    <row r="24" spans="1:58" x14ac:dyDescent="0.25">
      <c r="A24" s="1" t="s">
        <v>453</v>
      </c>
      <c r="B24" s="11">
        <v>45683</v>
      </c>
      <c r="C24" s="11">
        <v>45688</v>
      </c>
      <c r="D24" s="2" t="s">
        <v>180</v>
      </c>
      <c r="E24" s="2" t="s">
        <v>181</v>
      </c>
      <c r="F24" s="2" t="s">
        <v>275</v>
      </c>
      <c r="G24" s="2" t="s">
        <v>214</v>
      </c>
      <c r="H24" s="2" t="s">
        <v>215</v>
      </c>
      <c r="I24" s="2" t="s">
        <v>216</v>
      </c>
      <c r="J24" s="2" t="s">
        <v>217</v>
      </c>
      <c r="K24" s="2" t="s">
        <v>215</v>
      </c>
      <c r="L24" s="2" t="s">
        <v>218</v>
      </c>
      <c r="M24" s="2" t="s">
        <v>219</v>
      </c>
      <c r="N24" s="2" t="s">
        <v>220</v>
      </c>
      <c r="O24" s="11">
        <v>44362</v>
      </c>
      <c r="P24" s="2" t="s">
        <v>454</v>
      </c>
      <c r="Q24" s="2" t="s">
        <v>455</v>
      </c>
      <c r="R24" s="2" t="s">
        <v>192</v>
      </c>
      <c r="S24" s="2" t="s">
        <v>456</v>
      </c>
      <c r="T24" s="2" t="s">
        <v>457</v>
      </c>
      <c r="U24" s="2" t="s">
        <v>365</v>
      </c>
      <c r="V24" s="13">
        <v>95</v>
      </c>
      <c r="W24" s="13">
        <v>52</v>
      </c>
      <c r="X24" s="2">
        <v>0.8</v>
      </c>
      <c r="Y24" s="2" t="s">
        <v>288</v>
      </c>
      <c r="Z24" s="2" t="s">
        <v>880</v>
      </c>
      <c r="AA24" s="2">
        <v>35</v>
      </c>
      <c r="AB24" s="2">
        <v>8</v>
      </c>
      <c r="AC24" s="2">
        <v>2</v>
      </c>
      <c r="AD24" s="2">
        <v>1</v>
      </c>
      <c r="AE24" s="17">
        <v>0</v>
      </c>
      <c r="AF24" s="17">
        <v>0.06</v>
      </c>
      <c r="AG24" s="23">
        <v>8</v>
      </c>
      <c r="AH24" s="2" t="s">
        <v>289</v>
      </c>
      <c r="AI24" s="2" t="s">
        <v>230</v>
      </c>
      <c r="AJ24" s="2" t="s">
        <v>1159</v>
      </c>
      <c r="AK24" s="2" t="s">
        <v>196</v>
      </c>
      <c r="AL24" s="2" t="s">
        <v>897</v>
      </c>
      <c r="AM24" s="2" t="s">
        <v>203</v>
      </c>
      <c r="AN24" s="2" t="s">
        <v>880</v>
      </c>
      <c r="AO24" s="25">
        <v>0</v>
      </c>
      <c r="AP24" s="25">
        <v>-5.5</v>
      </c>
      <c r="AQ24" s="21">
        <v>52</v>
      </c>
      <c r="AR24" s="13">
        <v>95</v>
      </c>
      <c r="AS24" s="21">
        <v>0</v>
      </c>
      <c r="AT24" s="27">
        <v>0</v>
      </c>
      <c r="AU24" s="15">
        <v>0</v>
      </c>
      <c r="AV24" s="19">
        <v>8</v>
      </c>
      <c r="AW24" s="2" t="s">
        <v>180</v>
      </c>
      <c r="AX24" s="2">
        <v>5</v>
      </c>
      <c r="AY24" s="2" t="s">
        <v>205</v>
      </c>
      <c r="AZ24" s="2" t="s">
        <v>205</v>
      </c>
      <c r="BA24" s="2">
        <v>0</v>
      </c>
      <c r="BB24" s="2" t="s">
        <v>206</v>
      </c>
      <c r="BC24" s="2" t="s">
        <v>880</v>
      </c>
      <c r="BD24" s="2" t="s">
        <v>208</v>
      </c>
      <c r="BE24" s="2" t="s">
        <v>255</v>
      </c>
      <c r="BF24" s="3" t="s">
        <v>210</v>
      </c>
    </row>
    <row r="25" spans="1:58" x14ac:dyDescent="0.25">
      <c r="A25" s="1" t="s">
        <v>458</v>
      </c>
      <c r="B25" s="11">
        <v>45684</v>
      </c>
      <c r="C25" s="11">
        <v>45687</v>
      </c>
      <c r="D25" s="2" t="s">
        <v>180</v>
      </c>
      <c r="E25" s="2" t="s">
        <v>212</v>
      </c>
      <c r="F25" s="2" t="s">
        <v>1029</v>
      </c>
      <c r="G25" s="2" t="s">
        <v>258</v>
      </c>
      <c r="H25" s="2" t="s">
        <v>184</v>
      </c>
      <c r="I25" s="2" t="s">
        <v>259</v>
      </c>
      <c r="J25" s="2" t="s">
        <v>260</v>
      </c>
      <c r="K25" s="2" t="s">
        <v>184</v>
      </c>
      <c r="L25" s="2" t="s">
        <v>218</v>
      </c>
      <c r="M25" s="2" t="s">
        <v>261</v>
      </c>
      <c r="N25" s="2" t="s">
        <v>262</v>
      </c>
      <c r="O25" s="11">
        <v>44140</v>
      </c>
      <c r="P25" s="2" t="s">
        <v>459</v>
      </c>
      <c r="Q25" s="2" t="s">
        <v>460</v>
      </c>
      <c r="R25" s="2" t="s">
        <v>223</v>
      </c>
      <c r="S25" s="2" t="s">
        <v>224</v>
      </c>
      <c r="T25" s="2" t="s">
        <v>225</v>
      </c>
      <c r="U25" s="2" t="s">
        <v>226</v>
      </c>
      <c r="V25" s="13">
        <v>45</v>
      </c>
      <c r="W25" s="13">
        <v>23</v>
      </c>
      <c r="X25" s="2">
        <v>0.6</v>
      </c>
      <c r="Y25" s="2" t="s">
        <v>461</v>
      </c>
      <c r="Z25" s="2" t="s">
        <v>347</v>
      </c>
      <c r="AA25" s="2">
        <v>80</v>
      </c>
      <c r="AB25" s="2">
        <v>20</v>
      </c>
      <c r="AC25" s="2">
        <v>2</v>
      </c>
      <c r="AD25" s="2">
        <v>3</v>
      </c>
      <c r="AE25" s="17">
        <v>0</v>
      </c>
      <c r="AF25" s="17">
        <v>0.05</v>
      </c>
      <c r="AG25" s="23">
        <v>5</v>
      </c>
      <c r="AH25" s="2" t="s">
        <v>366</v>
      </c>
      <c r="AI25" s="2" t="s">
        <v>230</v>
      </c>
      <c r="AJ25" s="2" t="s">
        <v>1160</v>
      </c>
      <c r="AK25" s="2" t="s">
        <v>271</v>
      </c>
      <c r="AL25" s="2" t="s">
        <v>898</v>
      </c>
      <c r="AM25" s="2" t="s">
        <v>203</v>
      </c>
      <c r="AN25" s="2" t="s">
        <v>880</v>
      </c>
      <c r="AO25" s="25">
        <v>0</v>
      </c>
      <c r="AP25" s="25">
        <v>-12.8</v>
      </c>
      <c r="AQ25" s="21">
        <v>69</v>
      </c>
      <c r="AR25" s="13">
        <v>135</v>
      </c>
      <c r="AS25" s="21">
        <v>0</v>
      </c>
      <c r="AT25" s="27">
        <v>0</v>
      </c>
      <c r="AU25" s="15">
        <v>0</v>
      </c>
      <c r="AV25" s="19">
        <v>5</v>
      </c>
      <c r="AW25" s="2" t="s">
        <v>180</v>
      </c>
      <c r="AX25" s="2">
        <v>3</v>
      </c>
      <c r="AY25" s="2" t="s">
        <v>205</v>
      </c>
      <c r="AZ25" s="2" t="s">
        <v>205</v>
      </c>
      <c r="BA25" s="2">
        <v>0</v>
      </c>
      <c r="BB25" s="2" t="s">
        <v>880</v>
      </c>
      <c r="BC25" s="2" t="s">
        <v>880</v>
      </c>
      <c r="BD25" s="2" t="s">
        <v>234</v>
      </c>
      <c r="BE25" s="2" t="s">
        <v>209</v>
      </c>
      <c r="BF25" s="3" t="s">
        <v>210</v>
      </c>
    </row>
    <row r="26" spans="1:58" x14ac:dyDescent="0.25">
      <c r="A26" s="1" t="s">
        <v>462</v>
      </c>
      <c r="B26" s="11">
        <v>45684</v>
      </c>
      <c r="C26" s="11">
        <v>45689</v>
      </c>
      <c r="D26" s="2" t="s">
        <v>371</v>
      </c>
      <c r="E26" s="2" t="s">
        <v>181</v>
      </c>
      <c r="F26" s="2" t="s">
        <v>1030</v>
      </c>
      <c r="G26" s="2" t="s">
        <v>276</v>
      </c>
      <c r="H26" s="2" t="s">
        <v>277</v>
      </c>
      <c r="I26" s="2" t="s">
        <v>278</v>
      </c>
      <c r="J26" s="2" t="s">
        <v>279</v>
      </c>
      <c r="K26" s="2" t="s">
        <v>277</v>
      </c>
      <c r="L26" s="2" t="s">
        <v>187</v>
      </c>
      <c r="M26" s="2" t="s">
        <v>280</v>
      </c>
      <c r="N26" s="2" t="s">
        <v>281</v>
      </c>
      <c r="O26" s="11">
        <v>43508</v>
      </c>
      <c r="P26" s="2" t="s">
        <v>463</v>
      </c>
      <c r="Q26" s="2" t="s">
        <v>464</v>
      </c>
      <c r="R26" s="2" t="s">
        <v>265</v>
      </c>
      <c r="S26" s="2" t="s">
        <v>266</v>
      </c>
      <c r="T26" s="2" t="s">
        <v>465</v>
      </c>
      <c r="U26" s="2" t="s">
        <v>268</v>
      </c>
      <c r="V26" s="13">
        <v>150</v>
      </c>
      <c r="W26" s="13">
        <v>83</v>
      </c>
      <c r="X26" s="2">
        <v>20</v>
      </c>
      <c r="Y26" s="2" t="s">
        <v>288</v>
      </c>
      <c r="Z26" s="2" t="s">
        <v>466</v>
      </c>
      <c r="AA26" s="2">
        <v>20</v>
      </c>
      <c r="AB26" s="2">
        <v>5</v>
      </c>
      <c r="AC26" s="2">
        <v>3</v>
      </c>
      <c r="AD26" s="2">
        <v>1</v>
      </c>
      <c r="AE26" s="17">
        <v>0</v>
      </c>
      <c r="AF26" s="17">
        <v>0.06</v>
      </c>
      <c r="AG26" s="23">
        <v>15</v>
      </c>
      <c r="AH26" s="2" t="s">
        <v>198</v>
      </c>
      <c r="AI26" s="2" t="s">
        <v>199</v>
      </c>
      <c r="AJ26" s="2" t="s">
        <v>1161</v>
      </c>
      <c r="AK26" s="2" t="s">
        <v>201</v>
      </c>
      <c r="AL26" s="2" t="s">
        <v>899</v>
      </c>
      <c r="AM26" s="2" t="s">
        <v>203</v>
      </c>
      <c r="AN26" s="2" t="s">
        <v>880</v>
      </c>
      <c r="AO26" s="25">
        <v>0</v>
      </c>
      <c r="AP26" s="25">
        <v>-4.5333333333333332</v>
      </c>
      <c r="AQ26" s="21">
        <v>83</v>
      </c>
      <c r="AR26" s="13">
        <v>150</v>
      </c>
      <c r="AS26" s="21">
        <v>0</v>
      </c>
      <c r="AT26" s="27">
        <v>0</v>
      </c>
      <c r="AU26" s="15">
        <v>0</v>
      </c>
      <c r="AV26" s="19">
        <v>15</v>
      </c>
      <c r="AW26" s="2" t="s">
        <v>371</v>
      </c>
      <c r="AX26" s="2">
        <v>5</v>
      </c>
      <c r="AY26" s="2" t="s">
        <v>204</v>
      </c>
      <c r="AZ26" s="2" t="s">
        <v>205</v>
      </c>
      <c r="BA26" s="2">
        <v>0</v>
      </c>
      <c r="BB26" s="2" t="s">
        <v>880</v>
      </c>
      <c r="BC26" s="2" t="s">
        <v>880</v>
      </c>
      <c r="BD26" s="2" t="s">
        <v>273</v>
      </c>
      <c r="BE26" s="2" t="s">
        <v>209</v>
      </c>
      <c r="BF26" s="3" t="s">
        <v>210</v>
      </c>
    </row>
    <row r="27" spans="1:58" x14ac:dyDescent="0.25">
      <c r="A27" s="1" t="s">
        <v>467</v>
      </c>
      <c r="B27" s="11">
        <v>45685</v>
      </c>
      <c r="C27" s="11">
        <v>45688</v>
      </c>
      <c r="D27" s="2" t="s">
        <v>180</v>
      </c>
      <c r="E27" s="2" t="s">
        <v>212</v>
      </c>
      <c r="F27" s="2" t="s">
        <v>1031</v>
      </c>
      <c r="G27" s="2" t="s">
        <v>237</v>
      </c>
      <c r="H27" s="2" t="s">
        <v>215</v>
      </c>
      <c r="I27" s="2" t="s">
        <v>238</v>
      </c>
      <c r="J27" s="2" t="s">
        <v>239</v>
      </c>
      <c r="K27" s="2" t="s">
        <v>215</v>
      </c>
      <c r="L27" s="2" t="s">
        <v>218</v>
      </c>
      <c r="M27" s="2" t="s">
        <v>240</v>
      </c>
      <c r="N27" s="2" t="s">
        <v>241</v>
      </c>
      <c r="O27" s="11">
        <v>44814</v>
      </c>
      <c r="P27" s="2" t="s">
        <v>468</v>
      </c>
      <c r="Q27" s="2" t="s">
        <v>469</v>
      </c>
      <c r="R27" s="2" t="s">
        <v>244</v>
      </c>
      <c r="S27" s="2" t="s">
        <v>245</v>
      </c>
      <c r="T27" s="2" t="s">
        <v>470</v>
      </c>
      <c r="U27" s="2" t="s">
        <v>247</v>
      </c>
      <c r="V27" s="13">
        <v>150</v>
      </c>
      <c r="W27" s="13">
        <v>83</v>
      </c>
      <c r="X27" s="2">
        <v>5.5</v>
      </c>
      <c r="Y27" s="2" t="s">
        <v>471</v>
      </c>
      <c r="Z27" s="2" t="s">
        <v>880</v>
      </c>
      <c r="AA27" s="2">
        <v>25</v>
      </c>
      <c r="AB27" s="2">
        <v>6</v>
      </c>
      <c r="AC27" s="2">
        <v>3</v>
      </c>
      <c r="AD27" s="2">
        <v>1</v>
      </c>
      <c r="AE27" s="17">
        <v>0.05</v>
      </c>
      <c r="AF27" s="17">
        <v>0.06</v>
      </c>
      <c r="AG27" s="23">
        <v>12</v>
      </c>
      <c r="AH27" s="2" t="s">
        <v>249</v>
      </c>
      <c r="AI27" s="2" t="s">
        <v>230</v>
      </c>
      <c r="AJ27" s="2" t="s">
        <v>1162</v>
      </c>
      <c r="AK27" s="2" t="s">
        <v>196</v>
      </c>
      <c r="AL27" s="2" t="s">
        <v>900</v>
      </c>
      <c r="AM27" s="2" t="s">
        <v>350</v>
      </c>
      <c r="AN27" s="2" t="s">
        <v>472</v>
      </c>
      <c r="AO27" s="25">
        <v>15</v>
      </c>
      <c r="AP27" s="25">
        <v>-2.5688563535317703</v>
      </c>
      <c r="AQ27" s="21">
        <v>83</v>
      </c>
      <c r="AR27" s="13">
        <v>150</v>
      </c>
      <c r="AS27" s="21">
        <v>7.4999999999999997E-2</v>
      </c>
      <c r="AT27" s="27">
        <v>11.25</v>
      </c>
      <c r="AU27" s="15">
        <v>6.7499999999999991E-3</v>
      </c>
      <c r="AV27" s="19">
        <v>23.25675</v>
      </c>
      <c r="AW27" s="2" t="s">
        <v>180</v>
      </c>
      <c r="AX27" s="2">
        <v>3</v>
      </c>
      <c r="AY27" s="2" t="s">
        <v>205</v>
      </c>
      <c r="AZ27" s="2" t="s">
        <v>205</v>
      </c>
      <c r="BA27" s="2">
        <v>0</v>
      </c>
      <c r="BB27" s="2" t="s">
        <v>252</v>
      </c>
      <c r="BC27" s="2" t="s">
        <v>253</v>
      </c>
      <c r="BD27" s="2" t="s">
        <v>254</v>
      </c>
      <c r="BE27" s="2" t="s">
        <v>209</v>
      </c>
      <c r="BF27" s="3" t="s">
        <v>210</v>
      </c>
    </row>
    <row r="28" spans="1:58" x14ac:dyDescent="0.25">
      <c r="A28" s="1" t="s">
        <v>473</v>
      </c>
      <c r="B28" s="11">
        <v>45685</v>
      </c>
      <c r="C28" s="11">
        <v>45690</v>
      </c>
      <c r="D28" s="2" t="s">
        <v>180</v>
      </c>
      <c r="E28" s="2" t="s">
        <v>181</v>
      </c>
      <c r="F28" s="2" t="s">
        <v>1032</v>
      </c>
      <c r="G28" s="2" t="s">
        <v>183</v>
      </c>
      <c r="H28" s="2" t="s">
        <v>184</v>
      </c>
      <c r="I28" s="2" t="s">
        <v>185</v>
      </c>
      <c r="J28" s="2" t="s">
        <v>186</v>
      </c>
      <c r="K28" s="2" t="s">
        <v>184</v>
      </c>
      <c r="L28" s="2" t="s">
        <v>187</v>
      </c>
      <c r="M28" s="2" t="s">
        <v>188</v>
      </c>
      <c r="N28" s="2" t="s">
        <v>189</v>
      </c>
      <c r="O28" s="11">
        <v>43891</v>
      </c>
      <c r="P28" s="2" t="s">
        <v>474</v>
      </c>
      <c r="Q28" s="2" t="s">
        <v>475</v>
      </c>
      <c r="R28" s="2" t="s">
        <v>285</v>
      </c>
      <c r="S28" s="2" t="s">
        <v>363</v>
      </c>
      <c r="T28" s="2" t="s">
        <v>476</v>
      </c>
      <c r="U28" s="2" t="s">
        <v>287</v>
      </c>
      <c r="V28" s="13">
        <v>28</v>
      </c>
      <c r="W28" s="13">
        <v>14</v>
      </c>
      <c r="X28" s="2">
        <v>0.5</v>
      </c>
      <c r="Y28" s="2" t="s">
        <v>288</v>
      </c>
      <c r="Z28" s="2" t="s">
        <v>880</v>
      </c>
      <c r="AA28" s="2">
        <v>100</v>
      </c>
      <c r="AB28" s="2">
        <v>25</v>
      </c>
      <c r="AC28" s="2">
        <v>1</v>
      </c>
      <c r="AD28" s="2">
        <v>5</v>
      </c>
      <c r="AE28" s="17">
        <v>0</v>
      </c>
      <c r="AF28" s="17">
        <v>0.05</v>
      </c>
      <c r="AG28" s="23">
        <v>4</v>
      </c>
      <c r="AH28" s="2" t="s">
        <v>229</v>
      </c>
      <c r="AI28" s="2" t="s">
        <v>230</v>
      </c>
      <c r="AJ28" s="2" t="s">
        <v>1163</v>
      </c>
      <c r="AK28" s="2" t="s">
        <v>232</v>
      </c>
      <c r="AL28" s="2" t="s">
        <v>901</v>
      </c>
      <c r="AM28" s="2" t="s">
        <v>203</v>
      </c>
      <c r="AN28" s="2" t="s">
        <v>880</v>
      </c>
      <c r="AO28" s="25">
        <v>0</v>
      </c>
      <c r="AP28" s="25">
        <v>-16.5</v>
      </c>
      <c r="AQ28" s="21">
        <v>70</v>
      </c>
      <c r="AR28" s="13">
        <v>140</v>
      </c>
      <c r="AS28" s="21">
        <v>0</v>
      </c>
      <c r="AT28" s="27">
        <v>0</v>
      </c>
      <c r="AU28" s="15">
        <v>0</v>
      </c>
      <c r="AV28" s="19">
        <v>4</v>
      </c>
      <c r="AW28" s="2" t="s">
        <v>180</v>
      </c>
      <c r="AX28" s="2">
        <v>5</v>
      </c>
      <c r="AY28" s="2" t="s">
        <v>205</v>
      </c>
      <c r="AZ28" s="2" t="s">
        <v>205</v>
      </c>
      <c r="BA28" s="2">
        <v>0</v>
      </c>
      <c r="BB28" s="2" t="s">
        <v>369</v>
      </c>
      <c r="BC28" s="2" t="s">
        <v>173</v>
      </c>
      <c r="BD28" s="2" t="s">
        <v>293</v>
      </c>
      <c r="BE28" s="2" t="s">
        <v>209</v>
      </c>
      <c r="BF28" s="3" t="s">
        <v>210</v>
      </c>
    </row>
    <row r="29" spans="1:58" x14ac:dyDescent="0.25">
      <c r="A29" s="1" t="s">
        <v>477</v>
      </c>
      <c r="B29" s="11">
        <v>45686</v>
      </c>
      <c r="C29" s="11">
        <v>45689</v>
      </c>
      <c r="D29" s="2" t="s">
        <v>180</v>
      </c>
      <c r="E29" s="2" t="s">
        <v>212</v>
      </c>
      <c r="F29" s="2" t="s">
        <v>1033</v>
      </c>
      <c r="G29" s="2" t="s">
        <v>296</v>
      </c>
      <c r="H29" s="2" t="s">
        <v>297</v>
      </c>
      <c r="I29" s="2" t="s">
        <v>298</v>
      </c>
      <c r="J29" s="2" t="s">
        <v>299</v>
      </c>
      <c r="K29" s="2" t="s">
        <v>297</v>
      </c>
      <c r="L29" s="2" t="s">
        <v>187</v>
      </c>
      <c r="M29" s="2" t="s">
        <v>300</v>
      </c>
      <c r="N29" s="2" t="s">
        <v>301</v>
      </c>
      <c r="O29" s="11">
        <v>43332</v>
      </c>
      <c r="P29" s="2" t="s">
        <v>478</v>
      </c>
      <c r="Q29" s="2" t="s">
        <v>479</v>
      </c>
      <c r="R29" s="2" t="s">
        <v>244</v>
      </c>
      <c r="S29" s="2" t="s">
        <v>332</v>
      </c>
      <c r="T29" s="2" t="s">
        <v>480</v>
      </c>
      <c r="U29" s="2" t="s">
        <v>247</v>
      </c>
      <c r="V29" s="13">
        <v>45</v>
      </c>
      <c r="W29" s="13">
        <v>24</v>
      </c>
      <c r="X29" s="2">
        <v>1.2</v>
      </c>
      <c r="Y29" s="2" t="s">
        <v>382</v>
      </c>
      <c r="Z29" s="2" t="s">
        <v>880</v>
      </c>
      <c r="AA29" s="2">
        <v>40</v>
      </c>
      <c r="AB29" s="2">
        <v>10</v>
      </c>
      <c r="AC29" s="2">
        <v>2</v>
      </c>
      <c r="AD29" s="2">
        <v>2</v>
      </c>
      <c r="AE29" s="17">
        <v>0</v>
      </c>
      <c r="AF29" s="17">
        <v>0.05</v>
      </c>
      <c r="AG29" s="23">
        <v>6</v>
      </c>
      <c r="AH29" s="2" t="s">
        <v>198</v>
      </c>
      <c r="AI29" s="2" t="s">
        <v>230</v>
      </c>
      <c r="AJ29" s="2" t="s">
        <v>1164</v>
      </c>
      <c r="AK29" s="2" t="s">
        <v>232</v>
      </c>
      <c r="AL29" s="2" t="s">
        <v>902</v>
      </c>
      <c r="AM29" s="2" t="s">
        <v>203</v>
      </c>
      <c r="AN29" s="2" t="s">
        <v>880</v>
      </c>
      <c r="AO29" s="25">
        <v>0</v>
      </c>
      <c r="AP29" s="25">
        <v>-7</v>
      </c>
      <c r="AQ29" s="21">
        <v>48</v>
      </c>
      <c r="AR29" s="13">
        <v>90</v>
      </c>
      <c r="AS29" s="21">
        <v>0</v>
      </c>
      <c r="AT29" s="27">
        <v>0</v>
      </c>
      <c r="AU29" s="15">
        <v>0</v>
      </c>
      <c r="AV29" s="19">
        <v>6</v>
      </c>
      <c r="AW29" s="2" t="s">
        <v>180</v>
      </c>
      <c r="AX29" s="2">
        <v>3</v>
      </c>
      <c r="AY29" s="2" t="s">
        <v>205</v>
      </c>
      <c r="AZ29" s="2" t="s">
        <v>205</v>
      </c>
      <c r="BA29" s="2">
        <v>0</v>
      </c>
      <c r="BB29" s="2" t="s">
        <v>880</v>
      </c>
      <c r="BC29" s="2" t="s">
        <v>880</v>
      </c>
      <c r="BD29" s="2" t="s">
        <v>254</v>
      </c>
      <c r="BE29" s="2" t="s">
        <v>209</v>
      </c>
      <c r="BF29" s="3" t="s">
        <v>210</v>
      </c>
    </row>
    <row r="30" spans="1:58" x14ac:dyDescent="0.25">
      <c r="A30" s="1" t="s">
        <v>481</v>
      </c>
      <c r="B30" s="11">
        <v>45686</v>
      </c>
      <c r="C30" s="11">
        <v>45691</v>
      </c>
      <c r="D30" s="2" t="s">
        <v>310</v>
      </c>
      <c r="E30" s="2" t="s">
        <v>181</v>
      </c>
      <c r="F30" s="2" t="s">
        <v>1034</v>
      </c>
      <c r="G30" s="2" t="s">
        <v>312</v>
      </c>
      <c r="H30" s="2" t="s">
        <v>184</v>
      </c>
      <c r="I30" s="2" t="s">
        <v>313</v>
      </c>
      <c r="J30" s="2" t="s">
        <v>314</v>
      </c>
      <c r="K30" s="2" t="s">
        <v>184</v>
      </c>
      <c r="L30" s="2" t="s">
        <v>218</v>
      </c>
      <c r="M30" s="2" t="s">
        <v>315</v>
      </c>
      <c r="N30" s="2" t="s">
        <v>316</v>
      </c>
      <c r="O30" s="11">
        <v>44745</v>
      </c>
      <c r="P30" s="2" t="s">
        <v>482</v>
      </c>
      <c r="Q30" s="2" t="s">
        <v>483</v>
      </c>
      <c r="R30" s="2" t="s">
        <v>265</v>
      </c>
      <c r="S30" s="2" t="s">
        <v>363</v>
      </c>
      <c r="T30" s="2" t="s">
        <v>267</v>
      </c>
      <c r="U30" s="2" t="s">
        <v>268</v>
      </c>
      <c r="V30" s="13">
        <v>25</v>
      </c>
      <c r="W30" s="13">
        <v>13</v>
      </c>
      <c r="X30" s="2">
        <v>0.5</v>
      </c>
      <c r="Y30" s="2" t="s">
        <v>484</v>
      </c>
      <c r="Z30" s="2" t="s">
        <v>880</v>
      </c>
      <c r="AA30" s="2">
        <v>70</v>
      </c>
      <c r="AB30" s="2">
        <v>15</v>
      </c>
      <c r="AC30" s="2">
        <v>1</v>
      </c>
      <c r="AD30" s="2">
        <v>3</v>
      </c>
      <c r="AE30" s="17">
        <v>0</v>
      </c>
      <c r="AF30" s="17">
        <v>0.05</v>
      </c>
      <c r="AG30" s="23">
        <v>3</v>
      </c>
      <c r="AH30" s="2" t="s">
        <v>249</v>
      </c>
      <c r="AI30" s="2" t="s">
        <v>230</v>
      </c>
      <c r="AJ30" s="2" t="s">
        <v>1165</v>
      </c>
      <c r="AK30" s="2" t="s">
        <v>232</v>
      </c>
      <c r="AL30" s="2" t="s">
        <v>903</v>
      </c>
      <c r="AM30" s="2" t="s">
        <v>203</v>
      </c>
      <c r="AN30" s="2" t="s">
        <v>880</v>
      </c>
      <c r="AO30" s="25">
        <v>0</v>
      </c>
      <c r="AP30" s="25">
        <v>-12</v>
      </c>
      <c r="AQ30" s="21">
        <v>39</v>
      </c>
      <c r="AR30" s="13">
        <v>75</v>
      </c>
      <c r="AS30" s="21">
        <v>0</v>
      </c>
      <c r="AT30" s="27">
        <v>0</v>
      </c>
      <c r="AU30" s="15">
        <v>0</v>
      </c>
      <c r="AV30" s="19">
        <v>3</v>
      </c>
      <c r="AW30" s="2" t="s">
        <v>310</v>
      </c>
      <c r="AX30" s="2">
        <v>5</v>
      </c>
      <c r="AY30" s="2" t="s">
        <v>205</v>
      </c>
      <c r="AZ30" s="2" t="s">
        <v>205</v>
      </c>
      <c r="BA30" s="2">
        <v>0</v>
      </c>
      <c r="BB30" s="2" t="s">
        <v>880</v>
      </c>
      <c r="BC30" s="2" t="s">
        <v>880</v>
      </c>
      <c r="BD30" s="2" t="s">
        <v>273</v>
      </c>
      <c r="BE30" s="2" t="s">
        <v>209</v>
      </c>
      <c r="BF30" s="3" t="s">
        <v>210</v>
      </c>
    </row>
    <row r="31" spans="1:58" x14ac:dyDescent="0.25">
      <c r="A31" s="1" t="s">
        <v>485</v>
      </c>
      <c r="B31" s="11">
        <v>45687</v>
      </c>
      <c r="C31" s="11">
        <v>45690</v>
      </c>
      <c r="D31" s="2" t="s">
        <v>180</v>
      </c>
      <c r="E31" s="2" t="s">
        <v>212</v>
      </c>
      <c r="F31" s="2" t="s">
        <v>1035</v>
      </c>
      <c r="G31" s="2" t="s">
        <v>326</v>
      </c>
      <c r="H31" s="2" t="s">
        <v>215</v>
      </c>
      <c r="I31" s="2" t="s">
        <v>327</v>
      </c>
      <c r="J31" s="2" t="s">
        <v>217</v>
      </c>
      <c r="K31" s="2" t="s">
        <v>215</v>
      </c>
      <c r="L31" s="2" t="s">
        <v>218</v>
      </c>
      <c r="M31" s="2" t="s">
        <v>328</v>
      </c>
      <c r="N31" s="2" t="s">
        <v>329</v>
      </c>
      <c r="O31" s="11">
        <v>44300</v>
      </c>
      <c r="P31" s="2" t="s">
        <v>486</v>
      </c>
      <c r="Q31" s="2" t="s">
        <v>487</v>
      </c>
      <c r="R31" s="2" t="s">
        <v>192</v>
      </c>
      <c r="S31" s="2" t="s">
        <v>285</v>
      </c>
      <c r="T31" s="2" t="s">
        <v>488</v>
      </c>
      <c r="U31" s="2" t="s">
        <v>287</v>
      </c>
      <c r="V31" s="13">
        <v>220</v>
      </c>
      <c r="W31" s="13">
        <v>132</v>
      </c>
      <c r="X31" s="2">
        <v>8.5</v>
      </c>
      <c r="Y31" s="2" t="s">
        <v>288</v>
      </c>
      <c r="Z31" s="2" t="s">
        <v>880</v>
      </c>
      <c r="AA31" s="2">
        <v>18</v>
      </c>
      <c r="AB31" s="2">
        <v>4</v>
      </c>
      <c r="AC31" s="2">
        <v>3</v>
      </c>
      <c r="AD31" s="2">
        <v>1</v>
      </c>
      <c r="AE31" s="17">
        <v>0</v>
      </c>
      <c r="AF31" s="17">
        <v>7.0000000000000007E-2</v>
      </c>
      <c r="AG31" s="23">
        <v>15</v>
      </c>
      <c r="AH31" s="2" t="s">
        <v>289</v>
      </c>
      <c r="AI31" s="2" t="s">
        <v>199</v>
      </c>
      <c r="AJ31" s="2" t="s">
        <v>1166</v>
      </c>
      <c r="AK31" s="2" t="s">
        <v>271</v>
      </c>
      <c r="AL31" s="2" t="s">
        <v>904</v>
      </c>
      <c r="AM31" s="2" t="s">
        <v>203</v>
      </c>
      <c r="AN31" s="2" t="s">
        <v>880</v>
      </c>
      <c r="AO31" s="25">
        <v>0</v>
      </c>
      <c r="AP31" s="25">
        <v>-7.8</v>
      </c>
      <c r="AQ31" s="21">
        <v>132</v>
      </c>
      <c r="AR31" s="13">
        <v>220</v>
      </c>
      <c r="AS31" s="21">
        <v>0</v>
      </c>
      <c r="AT31" s="27">
        <v>0</v>
      </c>
      <c r="AU31" s="15">
        <v>0</v>
      </c>
      <c r="AV31" s="19">
        <v>15</v>
      </c>
      <c r="AW31" s="2" t="s">
        <v>180</v>
      </c>
      <c r="AX31" s="2">
        <v>3</v>
      </c>
      <c r="AY31" s="2" t="s">
        <v>205</v>
      </c>
      <c r="AZ31" s="2" t="s">
        <v>205</v>
      </c>
      <c r="BA31" s="2">
        <v>0</v>
      </c>
      <c r="BB31" s="2" t="s">
        <v>206</v>
      </c>
      <c r="BC31" s="2" t="s">
        <v>207</v>
      </c>
      <c r="BD31" s="2" t="s">
        <v>208</v>
      </c>
      <c r="BE31" s="2" t="s">
        <v>209</v>
      </c>
      <c r="BF31" s="3" t="s">
        <v>210</v>
      </c>
    </row>
    <row r="32" spans="1:58" x14ac:dyDescent="0.25">
      <c r="A32" s="1" t="s">
        <v>489</v>
      </c>
      <c r="B32" s="11">
        <v>45687</v>
      </c>
      <c r="C32" s="11">
        <v>45692</v>
      </c>
      <c r="D32" s="2" t="s">
        <v>180</v>
      </c>
      <c r="E32" s="2" t="s">
        <v>181</v>
      </c>
      <c r="F32" s="2" t="s">
        <v>1036</v>
      </c>
      <c r="G32" s="2" t="s">
        <v>338</v>
      </c>
      <c r="H32" s="2" t="s">
        <v>184</v>
      </c>
      <c r="I32" s="2" t="s">
        <v>339</v>
      </c>
      <c r="J32" s="2" t="s">
        <v>340</v>
      </c>
      <c r="K32" s="2" t="s">
        <v>184</v>
      </c>
      <c r="L32" s="2" t="s">
        <v>218</v>
      </c>
      <c r="M32" s="2" t="s">
        <v>341</v>
      </c>
      <c r="N32" s="2" t="s">
        <v>342</v>
      </c>
      <c r="O32" s="11">
        <v>44982</v>
      </c>
      <c r="P32" s="2" t="s">
        <v>490</v>
      </c>
      <c r="Q32" s="2" t="s">
        <v>491</v>
      </c>
      <c r="R32" s="2" t="s">
        <v>223</v>
      </c>
      <c r="S32" s="2" t="s">
        <v>224</v>
      </c>
      <c r="T32" s="2" t="s">
        <v>225</v>
      </c>
      <c r="U32" s="2" t="s">
        <v>226</v>
      </c>
      <c r="V32" s="13">
        <v>60</v>
      </c>
      <c r="W32" s="13">
        <v>31</v>
      </c>
      <c r="X32" s="2">
        <v>0.7</v>
      </c>
      <c r="Y32" s="2" t="s">
        <v>227</v>
      </c>
      <c r="Z32" s="2">
        <v>32</v>
      </c>
      <c r="AA32" s="2">
        <v>55</v>
      </c>
      <c r="AB32" s="2">
        <v>12</v>
      </c>
      <c r="AC32" s="2">
        <v>2</v>
      </c>
      <c r="AD32" s="2">
        <v>2</v>
      </c>
      <c r="AE32" s="17">
        <v>0.1</v>
      </c>
      <c r="AF32" s="17">
        <v>0.05</v>
      </c>
      <c r="AG32" s="23">
        <v>7</v>
      </c>
      <c r="AH32" s="2" t="s">
        <v>198</v>
      </c>
      <c r="AI32" s="2" t="s">
        <v>230</v>
      </c>
      <c r="AJ32" s="2" t="s">
        <v>1167</v>
      </c>
      <c r="AK32" s="2" t="s">
        <v>196</v>
      </c>
      <c r="AL32" s="2" t="s">
        <v>905</v>
      </c>
      <c r="AM32" s="2" t="s">
        <v>203</v>
      </c>
      <c r="AN32" s="2" t="s">
        <v>880</v>
      </c>
      <c r="AO32" s="25">
        <v>0</v>
      </c>
      <c r="AP32" s="25">
        <v>-1.8962218319070225</v>
      </c>
      <c r="AQ32" s="21">
        <v>62</v>
      </c>
      <c r="AR32" s="13">
        <v>120</v>
      </c>
      <c r="AS32" s="21">
        <v>0.12</v>
      </c>
      <c r="AT32" s="27">
        <v>14.399999999999999</v>
      </c>
      <c r="AU32" s="15">
        <v>7.1999999999999998E-3</v>
      </c>
      <c r="AV32" s="19">
        <v>21.407199999999996</v>
      </c>
      <c r="AW32" s="2" t="s">
        <v>180</v>
      </c>
      <c r="AX32" s="2">
        <v>5</v>
      </c>
      <c r="AY32" s="2" t="s">
        <v>205</v>
      </c>
      <c r="AZ32" s="2" t="s">
        <v>205</v>
      </c>
      <c r="BA32" s="2">
        <v>0</v>
      </c>
      <c r="BB32" s="2" t="s">
        <v>291</v>
      </c>
      <c r="BC32" s="2" t="s">
        <v>880</v>
      </c>
      <c r="BD32" s="2" t="s">
        <v>234</v>
      </c>
      <c r="BE32" s="2" t="s">
        <v>209</v>
      </c>
      <c r="BF32" s="3" t="s">
        <v>210</v>
      </c>
    </row>
    <row r="33" spans="1:58" x14ac:dyDescent="0.25">
      <c r="A33" s="1" t="s">
        <v>492</v>
      </c>
      <c r="B33" s="11">
        <v>45688</v>
      </c>
      <c r="C33" s="11">
        <v>45691</v>
      </c>
      <c r="D33" s="2" t="s">
        <v>180</v>
      </c>
      <c r="E33" s="2" t="s">
        <v>212</v>
      </c>
      <c r="F33" s="2" t="s">
        <v>1037</v>
      </c>
      <c r="G33" s="2" t="s">
        <v>356</v>
      </c>
      <c r="H33" s="2" t="s">
        <v>297</v>
      </c>
      <c r="I33" s="2" t="s">
        <v>357</v>
      </c>
      <c r="J33" s="2" t="s">
        <v>358</v>
      </c>
      <c r="K33" s="2" t="s">
        <v>297</v>
      </c>
      <c r="L33" s="2" t="s">
        <v>218</v>
      </c>
      <c r="M33" s="2" t="s">
        <v>359</v>
      </c>
      <c r="N33" s="2" t="s">
        <v>360</v>
      </c>
      <c r="O33" s="11">
        <v>44895</v>
      </c>
      <c r="P33" s="2" t="s">
        <v>493</v>
      </c>
      <c r="Q33" s="2" t="s">
        <v>494</v>
      </c>
      <c r="R33" s="2" t="s">
        <v>244</v>
      </c>
      <c r="S33" s="2" t="s">
        <v>332</v>
      </c>
      <c r="T33" s="2" t="s">
        <v>495</v>
      </c>
      <c r="U33" s="2" t="s">
        <v>247</v>
      </c>
      <c r="V33" s="13">
        <v>200</v>
      </c>
      <c r="W33" s="13">
        <v>114</v>
      </c>
      <c r="X33" s="2">
        <v>4.5</v>
      </c>
      <c r="Y33" s="2" t="s">
        <v>382</v>
      </c>
      <c r="Z33" s="2" t="s">
        <v>880</v>
      </c>
      <c r="AA33" s="2">
        <v>15</v>
      </c>
      <c r="AB33" s="2">
        <v>3</v>
      </c>
      <c r="AC33" s="2">
        <v>3</v>
      </c>
      <c r="AD33" s="2">
        <v>1</v>
      </c>
      <c r="AE33" s="17">
        <v>0.05</v>
      </c>
      <c r="AF33" s="17">
        <v>0.06</v>
      </c>
      <c r="AG33" s="23">
        <v>15</v>
      </c>
      <c r="AH33" s="2" t="s">
        <v>366</v>
      </c>
      <c r="AI33" s="2" t="s">
        <v>199</v>
      </c>
      <c r="AJ33" s="2" t="s">
        <v>1168</v>
      </c>
      <c r="AK33" s="2" t="s">
        <v>201</v>
      </c>
      <c r="AL33" s="2" t="s">
        <v>906</v>
      </c>
      <c r="AM33" s="2" t="s">
        <v>203</v>
      </c>
      <c r="AN33" s="2" t="s">
        <v>880</v>
      </c>
      <c r="AO33" s="25">
        <v>0</v>
      </c>
      <c r="AP33" s="25">
        <v>-2.2560265051982178</v>
      </c>
      <c r="AQ33" s="21">
        <v>114</v>
      </c>
      <c r="AR33" s="13">
        <v>200</v>
      </c>
      <c r="AS33" s="21">
        <v>0.1</v>
      </c>
      <c r="AT33" s="27">
        <v>20</v>
      </c>
      <c r="AU33" s="15">
        <v>1.1999999999999999E-2</v>
      </c>
      <c r="AV33" s="19">
        <v>35.012</v>
      </c>
      <c r="AW33" s="2" t="s">
        <v>180</v>
      </c>
      <c r="AX33" s="2">
        <v>3</v>
      </c>
      <c r="AY33" s="2" t="s">
        <v>204</v>
      </c>
      <c r="AZ33" s="2" t="s">
        <v>205</v>
      </c>
      <c r="BA33" s="2">
        <v>0</v>
      </c>
      <c r="BB33" s="2" t="s">
        <v>252</v>
      </c>
      <c r="BC33" s="2" t="s">
        <v>253</v>
      </c>
      <c r="BD33" s="2" t="s">
        <v>254</v>
      </c>
      <c r="BE33" s="2" t="s">
        <v>209</v>
      </c>
      <c r="BF33" s="3" t="s">
        <v>210</v>
      </c>
    </row>
    <row r="34" spans="1:58" x14ac:dyDescent="0.25">
      <c r="A34" s="1" t="s">
        <v>496</v>
      </c>
      <c r="B34" s="11">
        <v>45688</v>
      </c>
      <c r="C34" s="11">
        <v>45693</v>
      </c>
      <c r="D34" s="2" t="s">
        <v>371</v>
      </c>
      <c r="E34" s="2" t="s">
        <v>181</v>
      </c>
      <c r="F34" s="2" t="s">
        <v>1038</v>
      </c>
      <c r="G34" s="2" t="s">
        <v>373</v>
      </c>
      <c r="H34" s="2" t="s">
        <v>297</v>
      </c>
      <c r="I34" s="2" t="s">
        <v>374</v>
      </c>
      <c r="J34" s="2" t="s">
        <v>375</v>
      </c>
      <c r="K34" s="2" t="s">
        <v>297</v>
      </c>
      <c r="L34" s="2" t="s">
        <v>218</v>
      </c>
      <c r="M34" s="2" t="s">
        <v>376</v>
      </c>
      <c r="N34" s="2" t="s">
        <v>377</v>
      </c>
      <c r="O34" s="11">
        <v>45033</v>
      </c>
      <c r="P34" s="2" t="s">
        <v>497</v>
      </c>
      <c r="Q34" s="2" t="s">
        <v>498</v>
      </c>
      <c r="R34" s="2" t="s">
        <v>265</v>
      </c>
      <c r="S34" s="2" t="s">
        <v>499</v>
      </c>
      <c r="T34" s="2" t="s">
        <v>500</v>
      </c>
      <c r="U34" s="2" t="s">
        <v>268</v>
      </c>
      <c r="V34" s="13">
        <v>30</v>
      </c>
      <c r="W34" s="13">
        <v>16</v>
      </c>
      <c r="X34" s="2">
        <v>0.8</v>
      </c>
      <c r="Y34" s="2" t="s">
        <v>382</v>
      </c>
      <c r="Z34" s="2" t="s">
        <v>880</v>
      </c>
      <c r="AA34" s="2">
        <v>50</v>
      </c>
      <c r="AB34" s="2">
        <v>12</v>
      </c>
      <c r="AC34" s="2">
        <v>1</v>
      </c>
      <c r="AD34" s="2">
        <v>2</v>
      </c>
      <c r="AE34" s="17">
        <v>0</v>
      </c>
      <c r="AF34" s="17">
        <v>0.05</v>
      </c>
      <c r="AG34" s="23">
        <v>5</v>
      </c>
      <c r="AH34" s="2" t="s">
        <v>229</v>
      </c>
      <c r="AI34" s="2" t="s">
        <v>230</v>
      </c>
      <c r="AJ34" s="2" t="s">
        <v>1169</v>
      </c>
      <c r="AK34" s="2" t="s">
        <v>232</v>
      </c>
      <c r="AL34" s="2" t="s">
        <v>907</v>
      </c>
      <c r="AM34" s="2" t="s">
        <v>203</v>
      </c>
      <c r="AN34" s="2" t="s">
        <v>880</v>
      </c>
      <c r="AO34" s="25">
        <v>0</v>
      </c>
      <c r="AP34" s="25">
        <v>-5.4</v>
      </c>
      <c r="AQ34" s="21">
        <v>32</v>
      </c>
      <c r="AR34" s="13">
        <v>60</v>
      </c>
      <c r="AS34" s="21">
        <v>0</v>
      </c>
      <c r="AT34" s="27">
        <v>0</v>
      </c>
      <c r="AU34" s="15">
        <v>0</v>
      </c>
      <c r="AV34" s="19">
        <v>5</v>
      </c>
      <c r="AW34" s="2" t="s">
        <v>371</v>
      </c>
      <c r="AX34" s="2">
        <v>5</v>
      </c>
      <c r="AY34" s="2" t="s">
        <v>205</v>
      </c>
      <c r="AZ34" s="2" t="s">
        <v>205</v>
      </c>
      <c r="BA34" s="2">
        <v>0</v>
      </c>
      <c r="BB34" s="2" t="s">
        <v>880</v>
      </c>
      <c r="BC34" s="2" t="s">
        <v>880</v>
      </c>
      <c r="BD34" s="2" t="s">
        <v>273</v>
      </c>
      <c r="BE34" s="2" t="s">
        <v>209</v>
      </c>
      <c r="BF34" s="3" t="s">
        <v>210</v>
      </c>
    </row>
    <row r="35" spans="1:58" x14ac:dyDescent="0.25">
      <c r="A35" s="1" t="s">
        <v>501</v>
      </c>
      <c r="B35" s="11">
        <v>45689</v>
      </c>
      <c r="C35" s="11">
        <v>45692</v>
      </c>
      <c r="D35" s="2" t="s">
        <v>180</v>
      </c>
      <c r="E35" s="2" t="s">
        <v>212</v>
      </c>
      <c r="F35" s="2" t="s">
        <v>311</v>
      </c>
      <c r="G35" s="2" t="s">
        <v>214</v>
      </c>
      <c r="H35" s="2" t="s">
        <v>215</v>
      </c>
      <c r="I35" s="2" t="s">
        <v>216</v>
      </c>
      <c r="J35" s="2" t="s">
        <v>217</v>
      </c>
      <c r="K35" s="2" t="s">
        <v>215</v>
      </c>
      <c r="L35" s="2" t="s">
        <v>218</v>
      </c>
      <c r="M35" s="2" t="s">
        <v>219</v>
      </c>
      <c r="N35" s="2" t="s">
        <v>220</v>
      </c>
      <c r="O35" s="11">
        <v>44362</v>
      </c>
      <c r="P35" s="2" t="s">
        <v>502</v>
      </c>
      <c r="Q35" s="2" t="s">
        <v>503</v>
      </c>
      <c r="R35" s="2" t="s">
        <v>192</v>
      </c>
      <c r="S35" s="2" t="s">
        <v>193</v>
      </c>
      <c r="T35" s="2" t="s">
        <v>504</v>
      </c>
      <c r="U35" s="2" t="s">
        <v>365</v>
      </c>
      <c r="V35" s="13">
        <v>180</v>
      </c>
      <c r="W35" s="13">
        <v>104</v>
      </c>
      <c r="X35" s="2">
        <v>3.5</v>
      </c>
      <c r="Y35" s="2" t="s">
        <v>288</v>
      </c>
      <c r="Z35" s="2" t="s">
        <v>505</v>
      </c>
      <c r="AA35" s="2">
        <v>12</v>
      </c>
      <c r="AB35" s="2">
        <v>3</v>
      </c>
      <c r="AC35" s="2">
        <v>2</v>
      </c>
      <c r="AD35" s="2">
        <v>1</v>
      </c>
      <c r="AE35" s="17">
        <v>0</v>
      </c>
      <c r="AF35" s="17">
        <v>7.0000000000000007E-2</v>
      </c>
      <c r="AG35" s="23">
        <v>15</v>
      </c>
      <c r="AH35" s="2" t="s">
        <v>249</v>
      </c>
      <c r="AI35" s="2" t="s">
        <v>199</v>
      </c>
      <c r="AJ35" s="2" t="s">
        <v>1170</v>
      </c>
      <c r="AK35" s="2" t="s">
        <v>201</v>
      </c>
      <c r="AL35" s="2" t="s">
        <v>908</v>
      </c>
      <c r="AM35" s="2" t="s">
        <v>203</v>
      </c>
      <c r="AN35" s="2" t="s">
        <v>880</v>
      </c>
      <c r="AO35" s="25">
        <v>0</v>
      </c>
      <c r="AP35" s="25">
        <v>-5.9333333333333336</v>
      </c>
      <c r="AQ35" s="21">
        <v>104</v>
      </c>
      <c r="AR35" s="13">
        <v>180</v>
      </c>
      <c r="AS35" s="21">
        <v>0</v>
      </c>
      <c r="AT35" s="27">
        <v>0</v>
      </c>
      <c r="AU35" s="15">
        <v>0</v>
      </c>
      <c r="AV35" s="19">
        <v>15</v>
      </c>
      <c r="AW35" s="2" t="s">
        <v>180</v>
      </c>
      <c r="AX35" s="2">
        <v>3</v>
      </c>
      <c r="AY35" s="2" t="s">
        <v>204</v>
      </c>
      <c r="AZ35" s="2" t="s">
        <v>205</v>
      </c>
      <c r="BA35" s="2">
        <v>0</v>
      </c>
      <c r="BB35" s="2" t="s">
        <v>880</v>
      </c>
      <c r="BC35" s="2" t="s">
        <v>880</v>
      </c>
      <c r="BD35" s="2" t="s">
        <v>208</v>
      </c>
      <c r="BE35" s="2" t="s">
        <v>209</v>
      </c>
      <c r="BF35" s="3" t="s">
        <v>210</v>
      </c>
    </row>
    <row r="36" spans="1:58" x14ac:dyDescent="0.25">
      <c r="A36" s="1" t="s">
        <v>506</v>
      </c>
      <c r="B36" s="11">
        <v>45689</v>
      </c>
      <c r="C36" s="11">
        <v>45694</v>
      </c>
      <c r="D36" s="2" t="s">
        <v>180</v>
      </c>
      <c r="E36" s="2" t="s">
        <v>181</v>
      </c>
      <c r="F36" s="2" t="s">
        <v>1039</v>
      </c>
      <c r="G36" s="2" t="s">
        <v>258</v>
      </c>
      <c r="H36" s="2" t="s">
        <v>184</v>
      </c>
      <c r="I36" s="2" t="s">
        <v>259</v>
      </c>
      <c r="J36" s="2" t="s">
        <v>260</v>
      </c>
      <c r="K36" s="2" t="s">
        <v>184</v>
      </c>
      <c r="L36" s="2" t="s">
        <v>218</v>
      </c>
      <c r="M36" s="2" t="s">
        <v>261</v>
      </c>
      <c r="N36" s="2" t="s">
        <v>262</v>
      </c>
      <c r="O36" s="11">
        <v>44140</v>
      </c>
      <c r="P36" s="2" t="s">
        <v>507</v>
      </c>
      <c r="Q36" s="2" t="s">
        <v>508</v>
      </c>
      <c r="R36" s="2" t="s">
        <v>223</v>
      </c>
      <c r="S36" s="2" t="s">
        <v>224</v>
      </c>
      <c r="T36" s="2" t="s">
        <v>225</v>
      </c>
      <c r="U36" s="2" t="s">
        <v>346</v>
      </c>
      <c r="V36" s="13">
        <v>55</v>
      </c>
      <c r="W36" s="13">
        <v>29</v>
      </c>
      <c r="X36" s="2">
        <v>0.5</v>
      </c>
      <c r="Y36" s="2" t="s">
        <v>248</v>
      </c>
      <c r="Z36" s="2" t="s">
        <v>228</v>
      </c>
      <c r="AA36" s="2">
        <v>45</v>
      </c>
      <c r="AB36" s="2">
        <v>10</v>
      </c>
      <c r="AC36" s="2">
        <v>2</v>
      </c>
      <c r="AD36" s="2">
        <v>1</v>
      </c>
      <c r="AE36" s="17">
        <v>0.05</v>
      </c>
      <c r="AF36" s="17">
        <v>0.05</v>
      </c>
      <c r="AG36" s="23">
        <v>6</v>
      </c>
      <c r="AH36" s="2" t="s">
        <v>198</v>
      </c>
      <c r="AI36" s="2" t="s">
        <v>230</v>
      </c>
      <c r="AJ36" s="2" t="s">
        <v>1171</v>
      </c>
      <c r="AK36" s="2" t="s">
        <v>232</v>
      </c>
      <c r="AL36" s="2" t="s">
        <v>909</v>
      </c>
      <c r="AM36" s="2" t="s">
        <v>203</v>
      </c>
      <c r="AN36" s="2" t="s">
        <v>880</v>
      </c>
      <c r="AO36" s="25">
        <v>0</v>
      </c>
      <c r="AP36" s="25">
        <v>-2.8598443917043297</v>
      </c>
      <c r="AQ36" s="21">
        <v>29</v>
      </c>
      <c r="AR36" s="13">
        <v>55</v>
      </c>
      <c r="AS36" s="21">
        <v>2.75E-2</v>
      </c>
      <c r="AT36" s="27">
        <v>1.5125</v>
      </c>
      <c r="AU36" s="15">
        <v>7.5624999999999998E-4</v>
      </c>
      <c r="AV36" s="19">
        <v>7.5132562499999995</v>
      </c>
      <c r="AW36" s="2" t="s">
        <v>180</v>
      </c>
      <c r="AX36" s="2">
        <v>5</v>
      </c>
      <c r="AY36" s="2" t="s">
        <v>205</v>
      </c>
      <c r="AZ36" s="2" t="s">
        <v>205</v>
      </c>
      <c r="BA36" s="2">
        <v>0</v>
      </c>
      <c r="BB36" s="2" t="s">
        <v>206</v>
      </c>
      <c r="BC36" s="2" t="s">
        <v>880</v>
      </c>
      <c r="BD36" s="2" t="s">
        <v>234</v>
      </c>
      <c r="BE36" s="2" t="s">
        <v>209</v>
      </c>
      <c r="BF36" s="3" t="s">
        <v>210</v>
      </c>
    </row>
    <row r="37" spans="1:58" x14ac:dyDescent="0.25">
      <c r="A37" s="1" t="s">
        <v>509</v>
      </c>
      <c r="B37" s="11">
        <v>45690</v>
      </c>
      <c r="C37" s="11">
        <v>45693</v>
      </c>
      <c r="D37" s="2" t="s">
        <v>180</v>
      </c>
      <c r="E37" s="2" t="s">
        <v>212</v>
      </c>
      <c r="F37" s="2" t="s">
        <v>1040</v>
      </c>
      <c r="G37" s="2" t="s">
        <v>276</v>
      </c>
      <c r="H37" s="2" t="s">
        <v>277</v>
      </c>
      <c r="I37" s="2" t="s">
        <v>278</v>
      </c>
      <c r="J37" s="2" t="s">
        <v>279</v>
      </c>
      <c r="K37" s="2" t="s">
        <v>277</v>
      </c>
      <c r="L37" s="2" t="s">
        <v>187</v>
      </c>
      <c r="M37" s="2" t="s">
        <v>280</v>
      </c>
      <c r="N37" s="2" t="s">
        <v>281</v>
      </c>
      <c r="O37" s="11">
        <v>43508</v>
      </c>
      <c r="P37" s="2" t="s">
        <v>510</v>
      </c>
      <c r="Q37" s="2" t="s">
        <v>511</v>
      </c>
      <c r="R37" s="2" t="s">
        <v>244</v>
      </c>
      <c r="S37" s="2" t="s">
        <v>245</v>
      </c>
      <c r="T37" s="2" t="s">
        <v>246</v>
      </c>
      <c r="U37" s="2" t="s">
        <v>247</v>
      </c>
      <c r="V37" s="13">
        <v>140</v>
      </c>
      <c r="W37" s="13">
        <v>77</v>
      </c>
      <c r="X37" s="2">
        <v>4.2</v>
      </c>
      <c r="Y37" s="2" t="s">
        <v>196</v>
      </c>
      <c r="Z37" s="2" t="s">
        <v>880</v>
      </c>
      <c r="AA37" s="2">
        <v>22</v>
      </c>
      <c r="AB37" s="2">
        <v>5</v>
      </c>
      <c r="AC37" s="2">
        <v>3</v>
      </c>
      <c r="AD37" s="2">
        <v>1</v>
      </c>
      <c r="AE37" s="17">
        <v>0</v>
      </c>
      <c r="AF37" s="17">
        <v>0.06</v>
      </c>
      <c r="AG37" s="23">
        <v>12</v>
      </c>
      <c r="AH37" s="2" t="s">
        <v>289</v>
      </c>
      <c r="AI37" s="2" t="s">
        <v>230</v>
      </c>
      <c r="AJ37" s="2" t="s">
        <v>1172</v>
      </c>
      <c r="AK37" s="2" t="s">
        <v>196</v>
      </c>
      <c r="AL37" s="2" t="s">
        <v>910</v>
      </c>
      <c r="AM37" s="2" t="s">
        <v>203</v>
      </c>
      <c r="AN37" s="2" t="s">
        <v>880</v>
      </c>
      <c r="AO37" s="25">
        <v>0</v>
      </c>
      <c r="AP37" s="25">
        <v>-5.416666666666667</v>
      </c>
      <c r="AQ37" s="21">
        <v>77</v>
      </c>
      <c r="AR37" s="13">
        <v>140</v>
      </c>
      <c r="AS37" s="21">
        <v>0</v>
      </c>
      <c r="AT37" s="27">
        <v>0</v>
      </c>
      <c r="AU37" s="15">
        <v>0</v>
      </c>
      <c r="AV37" s="19">
        <v>12</v>
      </c>
      <c r="AW37" s="2" t="s">
        <v>180</v>
      </c>
      <c r="AX37" s="2">
        <v>3</v>
      </c>
      <c r="AY37" s="2" t="s">
        <v>205</v>
      </c>
      <c r="AZ37" s="2" t="s">
        <v>205</v>
      </c>
      <c r="BA37" s="2">
        <v>0</v>
      </c>
      <c r="BB37" s="2" t="s">
        <v>880</v>
      </c>
      <c r="BC37" s="2" t="s">
        <v>880</v>
      </c>
      <c r="BD37" s="2" t="s">
        <v>254</v>
      </c>
      <c r="BE37" s="2" t="s">
        <v>209</v>
      </c>
      <c r="BF37" s="3" t="s">
        <v>210</v>
      </c>
    </row>
    <row r="38" spans="1:58" x14ac:dyDescent="0.25">
      <c r="A38" s="1" t="s">
        <v>512</v>
      </c>
      <c r="B38" s="11">
        <v>45690</v>
      </c>
      <c r="C38" s="11">
        <v>45695</v>
      </c>
      <c r="D38" s="2" t="s">
        <v>310</v>
      </c>
      <c r="E38" s="2" t="s">
        <v>181</v>
      </c>
      <c r="F38" s="2" t="s">
        <v>1041</v>
      </c>
      <c r="G38" s="2" t="s">
        <v>237</v>
      </c>
      <c r="H38" s="2" t="s">
        <v>215</v>
      </c>
      <c r="I38" s="2" t="s">
        <v>238</v>
      </c>
      <c r="J38" s="2" t="s">
        <v>239</v>
      </c>
      <c r="K38" s="2" t="s">
        <v>215</v>
      </c>
      <c r="L38" s="2" t="s">
        <v>218</v>
      </c>
      <c r="M38" s="2" t="s">
        <v>240</v>
      </c>
      <c r="N38" s="2" t="s">
        <v>241</v>
      </c>
      <c r="O38" s="11">
        <v>44814</v>
      </c>
      <c r="P38" s="2" t="s">
        <v>513</v>
      </c>
      <c r="Q38" s="2" t="s">
        <v>514</v>
      </c>
      <c r="R38" s="2" t="s">
        <v>192</v>
      </c>
      <c r="S38" s="2" t="s">
        <v>456</v>
      </c>
      <c r="T38" s="2" t="s">
        <v>515</v>
      </c>
      <c r="U38" s="2" t="s">
        <v>365</v>
      </c>
      <c r="V38" s="13">
        <v>125</v>
      </c>
      <c r="W38" s="13">
        <v>69</v>
      </c>
      <c r="X38" s="2">
        <v>0.1</v>
      </c>
      <c r="Y38" s="2" t="s">
        <v>382</v>
      </c>
      <c r="Z38" s="2" t="s">
        <v>880</v>
      </c>
      <c r="AA38" s="2">
        <v>28</v>
      </c>
      <c r="AB38" s="2">
        <v>6</v>
      </c>
      <c r="AC38" s="2">
        <v>2</v>
      </c>
      <c r="AD38" s="2">
        <v>1</v>
      </c>
      <c r="AE38" s="17">
        <v>0</v>
      </c>
      <c r="AF38" s="17">
        <v>0.06</v>
      </c>
      <c r="AG38" s="23">
        <v>5</v>
      </c>
      <c r="AH38" s="2" t="s">
        <v>229</v>
      </c>
      <c r="AI38" s="2" t="s">
        <v>230</v>
      </c>
      <c r="AJ38" s="2" t="s">
        <v>1173</v>
      </c>
      <c r="AK38" s="2" t="s">
        <v>196</v>
      </c>
      <c r="AL38" s="2" t="s">
        <v>911</v>
      </c>
      <c r="AM38" s="2" t="s">
        <v>203</v>
      </c>
      <c r="AN38" s="2" t="s">
        <v>880</v>
      </c>
      <c r="AO38" s="25">
        <v>0</v>
      </c>
      <c r="AP38" s="25">
        <v>-12.8</v>
      </c>
      <c r="AQ38" s="21">
        <v>69</v>
      </c>
      <c r="AR38" s="13">
        <v>125</v>
      </c>
      <c r="AS38" s="21">
        <v>0</v>
      </c>
      <c r="AT38" s="27">
        <v>0</v>
      </c>
      <c r="AU38" s="15">
        <v>0</v>
      </c>
      <c r="AV38" s="19">
        <v>5</v>
      </c>
      <c r="AW38" s="2" t="s">
        <v>310</v>
      </c>
      <c r="AX38" s="2">
        <v>5</v>
      </c>
      <c r="AY38" s="2" t="s">
        <v>205</v>
      </c>
      <c r="AZ38" s="2" t="s">
        <v>205</v>
      </c>
      <c r="BA38" s="2">
        <v>0</v>
      </c>
      <c r="BB38" s="2" t="s">
        <v>252</v>
      </c>
      <c r="BC38" s="2" t="s">
        <v>253</v>
      </c>
      <c r="BD38" s="2" t="s">
        <v>208</v>
      </c>
      <c r="BE38" s="2" t="s">
        <v>255</v>
      </c>
      <c r="BF38" s="3" t="s">
        <v>210</v>
      </c>
    </row>
    <row r="39" spans="1:58" x14ac:dyDescent="0.25">
      <c r="A39" s="1" t="s">
        <v>516</v>
      </c>
      <c r="B39" s="11">
        <v>45691</v>
      </c>
      <c r="C39" s="11">
        <v>45694</v>
      </c>
      <c r="D39" s="2" t="s">
        <v>180</v>
      </c>
      <c r="E39" s="2" t="s">
        <v>212</v>
      </c>
      <c r="F39" s="2" t="s">
        <v>1042</v>
      </c>
      <c r="G39" s="2" t="s">
        <v>183</v>
      </c>
      <c r="H39" s="2" t="s">
        <v>184</v>
      </c>
      <c r="I39" s="2" t="s">
        <v>185</v>
      </c>
      <c r="J39" s="2" t="s">
        <v>186</v>
      </c>
      <c r="K39" s="2" t="s">
        <v>184</v>
      </c>
      <c r="L39" s="2" t="s">
        <v>187</v>
      </c>
      <c r="M39" s="2" t="s">
        <v>188</v>
      </c>
      <c r="N39" s="2" t="s">
        <v>189</v>
      </c>
      <c r="O39" s="11">
        <v>43891</v>
      </c>
      <c r="P39" s="2" t="s">
        <v>517</v>
      </c>
      <c r="Q39" s="2" t="s">
        <v>518</v>
      </c>
      <c r="R39" s="2" t="s">
        <v>244</v>
      </c>
      <c r="S39" s="2" t="s">
        <v>519</v>
      </c>
      <c r="T39" s="2" t="s">
        <v>520</v>
      </c>
      <c r="U39" s="2" t="s">
        <v>247</v>
      </c>
      <c r="V39" s="13">
        <v>25</v>
      </c>
      <c r="W39" s="13">
        <v>13</v>
      </c>
      <c r="X39" s="2">
        <v>0.4</v>
      </c>
      <c r="Y39" s="2" t="s">
        <v>521</v>
      </c>
      <c r="Z39" s="2" t="s">
        <v>880</v>
      </c>
      <c r="AA39" s="2">
        <v>60</v>
      </c>
      <c r="AB39" s="2">
        <v>15</v>
      </c>
      <c r="AC39" s="2">
        <v>1</v>
      </c>
      <c r="AD39" s="2">
        <v>4</v>
      </c>
      <c r="AE39" s="17">
        <v>0</v>
      </c>
      <c r="AF39" s="17">
        <v>0.05</v>
      </c>
      <c r="AG39" s="23">
        <v>3</v>
      </c>
      <c r="AH39" s="2" t="s">
        <v>366</v>
      </c>
      <c r="AI39" s="2" t="s">
        <v>230</v>
      </c>
      <c r="AJ39" s="2" t="s">
        <v>1174</v>
      </c>
      <c r="AK39" s="2" t="s">
        <v>232</v>
      </c>
      <c r="AL39" s="2" t="s">
        <v>912</v>
      </c>
      <c r="AM39" s="2" t="s">
        <v>203</v>
      </c>
      <c r="AN39" s="2" t="s">
        <v>880</v>
      </c>
      <c r="AO39" s="25">
        <v>0</v>
      </c>
      <c r="AP39" s="25">
        <v>-16.333333333333332</v>
      </c>
      <c r="AQ39" s="21">
        <v>52</v>
      </c>
      <c r="AR39" s="13">
        <v>100</v>
      </c>
      <c r="AS39" s="21">
        <v>0</v>
      </c>
      <c r="AT39" s="27">
        <v>0</v>
      </c>
      <c r="AU39" s="15">
        <v>0</v>
      </c>
      <c r="AV39" s="19">
        <v>3</v>
      </c>
      <c r="AW39" s="2" t="s">
        <v>180</v>
      </c>
      <c r="AX39" s="2">
        <v>3</v>
      </c>
      <c r="AY39" s="2" t="s">
        <v>205</v>
      </c>
      <c r="AZ39" s="2" t="s">
        <v>205</v>
      </c>
      <c r="BA39" s="2">
        <v>0</v>
      </c>
      <c r="BB39" s="2" t="s">
        <v>880</v>
      </c>
      <c r="BC39" s="2" t="s">
        <v>880</v>
      </c>
      <c r="BD39" s="2" t="s">
        <v>254</v>
      </c>
      <c r="BE39" s="2" t="s">
        <v>209</v>
      </c>
      <c r="BF39" s="3" t="s">
        <v>210</v>
      </c>
    </row>
    <row r="40" spans="1:58" x14ac:dyDescent="0.25">
      <c r="A40" s="1" t="s">
        <v>522</v>
      </c>
      <c r="B40" s="11">
        <v>45691</v>
      </c>
      <c r="C40" s="11">
        <v>45696</v>
      </c>
      <c r="D40" s="2" t="s">
        <v>180</v>
      </c>
      <c r="E40" s="2" t="s">
        <v>181</v>
      </c>
      <c r="F40" s="2" t="s">
        <v>1043</v>
      </c>
      <c r="G40" s="2" t="s">
        <v>296</v>
      </c>
      <c r="H40" s="2" t="s">
        <v>297</v>
      </c>
      <c r="I40" s="2" t="s">
        <v>298</v>
      </c>
      <c r="J40" s="2" t="s">
        <v>299</v>
      </c>
      <c r="K40" s="2" t="s">
        <v>297</v>
      </c>
      <c r="L40" s="2" t="s">
        <v>187</v>
      </c>
      <c r="M40" s="2" t="s">
        <v>300</v>
      </c>
      <c r="N40" s="2" t="s">
        <v>301</v>
      </c>
      <c r="O40" s="11">
        <v>43332</v>
      </c>
      <c r="P40" s="2" t="s">
        <v>523</v>
      </c>
      <c r="Q40" s="2" t="s">
        <v>524</v>
      </c>
      <c r="R40" s="2" t="s">
        <v>265</v>
      </c>
      <c r="S40" s="2" t="s">
        <v>266</v>
      </c>
      <c r="T40" s="2" t="s">
        <v>525</v>
      </c>
      <c r="U40" s="2" t="s">
        <v>444</v>
      </c>
      <c r="V40" s="13">
        <v>45</v>
      </c>
      <c r="W40" s="13">
        <v>25</v>
      </c>
      <c r="X40" s="2">
        <v>1.2</v>
      </c>
      <c r="Y40" s="2" t="s">
        <v>288</v>
      </c>
      <c r="Z40" s="2" t="s">
        <v>880</v>
      </c>
      <c r="AA40" s="2">
        <v>35</v>
      </c>
      <c r="AB40" s="2">
        <v>8</v>
      </c>
      <c r="AC40" s="2">
        <v>2</v>
      </c>
      <c r="AD40" s="2">
        <v>1</v>
      </c>
      <c r="AE40" s="17">
        <v>0</v>
      </c>
      <c r="AF40" s="17">
        <v>0.05</v>
      </c>
      <c r="AG40" s="23">
        <v>6</v>
      </c>
      <c r="AH40" s="2" t="s">
        <v>198</v>
      </c>
      <c r="AI40" s="2" t="s">
        <v>199</v>
      </c>
      <c r="AJ40" s="2" t="s">
        <v>1175</v>
      </c>
      <c r="AK40" s="2" t="s">
        <v>271</v>
      </c>
      <c r="AL40" s="2" t="s">
        <v>913</v>
      </c>
      <c r="AM40" s="2" t="s">
        <v>203</v>
      </c>
      <c r="AN40" s="2" t="s">
        <v>880</v>
      </c>
      <c r="AO40" s="25">
        <v>0</v>
      </c>
      <c r="AP40" s="25">
        <v>-3.1666666666666665</v>
      </c>
      <c r="AQ40" s="21">
        <v>25</v>
      </c>
      <c r="AR40" s="13">
        <v>45</v>
      </c>
      <c r="AS40" s="21">
        <v>0</v>
      </c>
      <c r="AT40" s="27">
        <v>0</v>
      </c>
      <c r="AU40" s="15">
        <v>0</v>
      </c>
      <c r="AV40" s="19">
        <v>6</v>
      </c>
      <c r="AW40" s="2" t="s">
        <v>180</v>
      </c>
      <c r="AX40" s="2">
        <v>5</v>
      </c>
      <c r="AY40" s="2" t="s">
        <v>205</v>
      </c>
      <c r="AZ40" s="2" t="s">
        <v>205</v>
      </c>
      <c r="BA40" s="2">
        <v>0</v>
      </c>
      <c r="BB40" s="2" t="s">
        <v>880</v>
      </c>
      <c r="BC40" s="2" t="s">
        <v>880</v>
      </c>
      <c r="BD40" s="2" t="s">
        <v>273</v>
      </c>
      <c r="BE40" s="2" t="s">
        <v>209</v>
      </c>
      <c r="BF40" s="3" t="s">
        <v>210</v>
      </c>
    </row>
    <row r="41" spans="1:58" x14ac:dyDescent="0.25">
      <c r="A41" s="1" t="s">
        <v>526</v>
      </c>
      <c r="B41" s="11">
        <v>45692</v>
      </c>
      <c r="C41" s="11">
        <v>45695</v>
      </c>
      <c r="D41" s="2" t="s">
        <v>180</v>
      </c>
      <c r="E41" s="2" t="s">
        <v>212</v>
      </c>
      <c r="F41" s="2" t="s">
        <v>1044</v>
      </c>
      <c r="G41" s="2" t="s">
        <v>312</v>
      </c>
      <c r="H41" s="2" t="s">
        <v>184</v>
      </c>
      <c r="I41" s="2" t="s">
        <v>313</v>
      </c>
      <c r="J41" s="2" t="s">
        <v>314</v>
      </c>
      <c r="K41" s="2" t="s">
        <v>184</v>
      </c>
      <c r="L41" s="2" t="s">
        <v>218</v>
      </c>
      <c r="M41" s="2" t="s">
        <v>315</v>
      </c>
      <c r="N41" s="2" t="s">
        <v>316</v>
      </c>
      <c r="O41" s="11">
        <v>44745</v>
      </c>
      <c r="P41" s="2" t="s">
        <v>527</v>
      </c>
      <c r="Q41" s="2" t="s">
        <v>528</v>
      </c>
      <c r="R41" s="2" t="s">
        <v>223</v>
      </c>
      <c r="S41" s="2" t="s">
        <v>319</v>
      </c>
      <c r="T41" s="2" t="s">
        <v>225</v>
      </c>
      <c r="U41" s="2" t="s">
        <v>529</v>
      </c>
      <c r="V41" s="13">
        <v>40</v>
      </c>
      <c r="W41" s="13">
        <v>21</v>
      </c>
      <c r="X41" s="2">
        <v>0.6</v>
      </c>
      <c r="Y41" s="2" t="s">
        <v>530</v>
      </c>
      <c r="Z41" s="2">
        <v>9</v>
      </c>
      <c r="AA41" s="2">
        <v>50</v>
      </c>
      <c r="AB41" s="2">
        <v>12</v>
      </c>
      <c r="AC41" s="2">
        <v>2</v>
      </c>
      <c r="AD41" s="2">
        <v>2</v>
      </c>
      <c r="AE41" s="17">
        <v>0</v>
      </c>
      <c r="AF41" s="17">
        <v>0.05</v>
      </c>
      <c r="AG41" s="23">
        <v>4</v>
      </c>
      <c r="AH41" s="2" t="s">
        <v>249</v>
      </c>
      <c r="AI41" s="2" t="s">
        <v>230</v>
      </c>
      <c r="AJ41" s="2" t="s">
        <v>1176</v>
      </c>
      <c r="AK41" s="2" t="s">
        <v>232</v>
      </c>
      <c r="AL41" s="2" t="s">
        <v>914</v>
      </c>
      <c r="AM41" s="2" t="s">
        <v>203</v>
      </c>
      <c r="AN41" s="2" t="s">
        <v>880</v>
      </c>
      <c r="AO41" s="25">
        <v>0</v>
      </c>
      <c r="AP41" s="25">
        <v>-9.5</v>
      </c>
      <c r="AQ41" s="21">
        <v>42</v>
      </c>
      <c r="AR41" s="13">
        <v>80</v>
      </c>
      <c r="AS41" s="21">
        <v>0</v>
      </c>
      <c r="AT41" s="27">
        <v>0</v>
      </c>
      <c r="AU41" s="15">
        <v>0</v>
      </c>
      <c r="AV41" s="19">
        <v>4</v>
      </c>
      <c r="AW41" s="2" t="s">
        <v>180</v>
      </c>
      <c r="AX41" s="2">
        <v>3</v>
      </c>
      <c r="AY41" s="2" t="s">
        <v>205</v>
      </c>
      <c r="AZ41" s="2" t="s">
        <v>205</v>
      </c>
      <c r="BA41" s="2">
        <v>0</v>
      </c>
      <c r="BB41" s="2" t="s">
        <v>880</v>
      </c>
      <c r="BC41" s="2" t="s">
        <v>880</v>
      </c>
      <c r="BD41" s="2" t="s">
        <v>234</v>
      </c>
      <c r="BE41" s="2" t="s">
        <v>209</v>
      </c>
      <c r="BF41" s="3" t="s">
        <v>210</v>
      </c>
    </row>
    <row r="42" spans="1:58" x14ac:dyDescent="0.25">
      <c r="A42" s="1" t="s">
        <v>531</v>
      </c>
      <c r="B42" s="11">
        <v>45692</v>
      </c>
      <c r="C42" s="11">
        <v>45697</v>
      </c>
      <c r="D42" s="2" t="s">
        <v>371</v>
      </c>
      <c r="E42" s="2" t="s">
        <v>181</v>
      </c>
      <c r="F42" s="2" t="s">
        <v>1045</v>
      </c>
      <c r="G42" s="2" t="s">
        <v>326</v>
      </c>
      <c r="H42" s="2" t="s">
        <v>215</v>
      </c>
      <c r="I42" s="2" t="s">
        <v>327</v>
      </c>
      <c r="J42" s="2" t="s">
        <v>217</v>
      </c>
      <c r="K42" s="2" t="s">
        <v>215</v>
      </c>
      <c r="L42" s="2" t="s">
        <v>218</v>
      </c>
      <c r="M42" s="2" t="s">
        <v>328</v>
      </c>
      <c r="N42" s="2" t="s">
        <v>329</v>
      </c>
      <c r="O42" s="11">
        <v>44300</v>
      </c>
      <c r="P42" s="2" t="s">
        <v>532</v>
      </c>
      <c r="Q42" s="2" t="s">
        <v>533</v>
      </c>
      <c r="R42" s="2" t="s">
        <v>284</v>
      </c>
      <c r="S42" s="2" t="s">
        <v>534</v>
      </c>
      <c r="T42" s="2" t="s">
        <v>430</v>
      </c>
      <c r="U42" s="2" t="s">
        <v>431</v>
      </c>
      <c r="V42" s="13">
        <v>180</v>
      </c>
      <c r="W42" s="13">
        <v>104</v>
      </c>
      <c r="X42" s="2">
        <v>18</v>
      </c>
      <c r="Y42" s="2" t="s">
        <v>382</v>
      </c>
      <c r="Z42" s="2" t="s">
        <v>880</v>
      </c>
      <c r="AA42" s="2">
        <v>10</v>
      </c>
      <c r="AB42" s="2">
        <v>2</v>
      </c>
      <c r="AC42" s="2">
        <v>5</v>
      </c>
      <c r="AD42" s="2">
        <v>1</v>
      </c>
      <c r="AE42" s="17">
        <v>0.05</v>
      </c>
      <c r="AF42" s="17">
        <v>7.0000000000000007E-2</v>
      </c>
      <c r="AG42" s="23">
        <v>25</v>
      </c>
      <c r="AH42" s="2" t="s">
        <v>198</v>
      </c>
      <c r="AI42" s="2" t="s">
        <v>199</v>
      </c>
      <c r="AJ42" s="2" t="s">
        <v>1177</v>
      </c>
      <c r="AK42" s="2" t="s">
        <v>201</v>
      </c>
      <c r="AL42" s="2" t="s">
        <v>915</v>
      </c>
      <c r="AM42" s="2" t="s">
        <v>203</v>
      </c>
      <c r="AN42" s="2" t="s">
        <v>880</v>
      </c>
      <c r="AO42" s="25">
        <v>0</v>
      </c>
      <c r="AP42" s="25">
        <v>-1.5235772483981351</v>
      </c>
      <c r="AQ42" s="21">
        <v>104</v>
      </c>
      <c r="AR42" s="13">
        <v>180</v>
      </c>
      <c r="AS42" s="21">
        <v>0.09</v>
      </c>
      <c r="AT42" s="27">
        <v>16.2</v>
      </c>
      <c r="AU42" s="15">
        <v>1.1340000000000001E-2</v>
      </c>
      <c r="AV42" s="19">
        <v>41.21134</v>
      </c>
      <c r="AW42" s="2" t="s">
        <v>371</v>
      </c>
      <c r="AX42" s="2">
        <v>5</v>
      </c>
      <c r="AY42" s="2" t="s">
        <v>204</v>
      </c>
      <c r="AZ42" s="2" t="s">
        <v>205</v>
      </c>
      <c r="BA42" s="2">
        <v>0</v>
      </c>
      <c r="BB42" s="2" t="s">
        <v>291</v>
      </c>
      <c r="BC42" s="2" t="s">
        <v>292</v>
      </c>
      <c r="BD42" s="2" t="s">
        <v>293</v>
      </c>
      <c r="BE42" s="2" t="s">
        <v>209</v>
      </c>
      <c r="BF42" s="3" t="s">
        <v>210</v>
      </c>
    </row>
    <row r="43" spans="1:58" x14ac:dyDescent="0.25">
      <c r="A43" s="1" t="s">
        <v>535</v>
      </c>
      <c r="B43" s="11">
        <v>45693</v>
      </c>
      <c r="C43" s="11">
        <v>45696</v>
      </c>
      <c r="D43" s="2" t="s">
        <v>180</v>
      </c>
      <c r="E43" s="2" t="s">
        <v>212</v>
      </c>
      <c r="F43" s="2" t="s">
        <v>1046</v>
      </c>
      <c r="G43" s="2" t="s">
        <v>338</v>
      </c>
      <c r="H43" s="2" t="s">
        <v>184</v>
      </c>
      <c r="I43" s="2" t="s">
        <v>339</v>
      </c>
      <c r="J43" s="2" t="s">
        <v>340</v>
      </c>
      <c r="K43" s="2" t="s">
        <v>184</v>
      </c>
      <c r="L43" s="2" t="s">
        <v>218</v>
      </c>
      <c r="M43" s="2" t="s">
        <v>341</v>
      </c>
      <c r="N43" s="2" t="s">
        <v>342</v>
      </c>
      <c r="O43" s="11">
        <v>44982</v>
      </c>
      <c r="P43" s="2" t="s">
        <v>536</v>
      </c>
      <c r="Q43" s="2" t="s">
        <v>537</v>
      </c>
      <c r="R43" s="2" t="s">
        <v>402</v>
      </c>
      <c r="S43" s="2" t="s">
        <v>403</v>
      </c>
      <c r="T43" s="2" t="s">
        <v>538</v>
      </c>
      <c r="U43" s="2" t="s">
        <v>405</v>
      </c>
      <c r="V43" s="13">
        <v>32</v>
      </c>
      <c r="W43" s="13">
        <v>17</v>
      </c>
      <c r="X43" s="2">
        <v>0.2</v>
      </c>
      <c r="Y43" s="2" t="s">
        <v>382</v>
      </c>
      <c r="Z43" s="2" t="s">
        <v>880</v>
      </c>
      <c r="AA43" s="2">
        <v>70</v>
      </c>
      <c r="AB43" s="2">
        <v>15</v>
      </c>
      <c r="AC43" s="2">
        <v>1</v>
      </c>
      <c r="AD43" s="2">
        <v>3</v>
      </c>
      <c r="AE43" s="17">
        <v>0</v>
      </c>
      <c r="AF43" s="17">
        <v>0.05</v>
      </c>
      <c r="AG43" s="23">
        <v>3</v>
      </c>
      <c r="AH43" s="2" t="s">
        <v>229</v>
      </c>
      <c r="AI43" s="2" t="s">
        <v>230</v>
      </c>
      <c r="AJ43" s="2" t="s">
        <v>1178</v>
      </c>
      <c r="AK43" s="2" t="s">
        <v>196</v>
      </c>
      <c r="AL43" s="2" t="s">
        <v>916</v>
      </c>
      <c r="AM43" s="2" t="s">
        <v>203</v>
      </c>
      <c r="AN43" s="2" t="s">
        <v>880</v>
      </c>
      <c r="AO43" s="25">
        <v>0</v>
      </c>
      <c r="AP43" s="25">
        <v>-16</v>
      </c>
      <c r="AQ43" s="21">
        <v>51</v>
      </c>
      <c r="AR43" s="13">
        <v>96</v>
      </c>
      <c r="AS43" s="21">
        <v>0</v>
      </c>
      <c r="AT43" s="27">
        <v>0</v>
      </c>
      <c r="AU43" s="15">
        <v>0</v>
      </c>
      <c r="AV43" s="19">
        <v>3</v>
      </c>
      <c r="AW43" s="2" t="s">
        <v>180</v>
      </c>
      <c r="AX43" s="2">
        <v>3</v>
      </c>
      <c r="AY43" s="2" t="s">
        <v>205</v>
      </c>
      <c r="AZ43" s="2" t="s">
        <v>205</v>
      </c>
      <c r="BA43" s="2">
        <v>0</v>
      </c>
      <c r="BB43" s="2" t="s">
        <v>880</v>
      </c>
      <c r="BC43" s="2" t="s">
        <v>880</v>
      </c>
      <c r="BD43" s="2" t="s">
        <v>539</v>
      </c>
      <c r="BE43" s="2" t="s">
        <v>209</v>
      </c>
      <c r="BF43" s="3" t="s">
        <v>210</v>
      </c>
    </row>
    <row r="44" spans="1:58" x14ac:dyDescent="0.25">
      <c r="A44" s="1" t="s">
        <v>540</v>
      </c>
      <c r="B44" s="11">
        <v>45693</v>
      </c>
      <c r="C44" s="11">
        <v>45698</v>
      </c>
      <c r="D44" s="2" t="s">
        <v>180</v>
      </c>
      <c r="E44" s="2" t="s">
        <v>181</v>
      </c>
      <c r="F44" s="2" t="s">
        <v>1047</v>
      </c>
      <c r="G44" s="2" t="s">
        <v>356</v>
      </c>
      <c r="H44" s="2" t="s">
        <v>297</v>
      </c>
      <c r="I44" s="2" t="s">
        <v>357</v>
      </c>
      <c r="J44" s="2" t="s">
        <v>358</v>
      </c>
      <c r="K44" s="2" t="s">
        <v>297</v>
      </c>
      <c r="L44" s="2" t="s">
        <v>218</v>
      </c>
      <c r="M44" s="2" t="s">
        <v>359</v>
      </c>
      <c r="N44" s="2" t="s">
        <v>360</v>
      </c>
      <c r="O44" s="11">
        <v>44895</v>
      </c>
      <c r="P44" s="2" t="s">
        <v>541</v>
      </c>
      <c r="Q44" s="2" t="s">
        <v>542</v>
      </c>
      <c r="R44" s="2" t="s">
        <v>265</v>
      </c>
      <c r="S44" s="2" t="s">
        <v>319</v>
      </c>
      <c r="T44" s="2" t="s">
        <v>320</v>
      </c>
      <c r="U44" s="2" t="s">
        <v>321</v>
      </c>
      <c r="V44" s="13">
        <v>145</v>
      </c>
      <c r="W44" s="13">
        <v>80</v>
      </c>
      <c r="X44" s="2">
        <v>2.2000000000000002</v>
      </c>
      <c r="Y44" s="2" t="s">
        <v>530</v>
      </c>
      <c r="Z44" s="2">
        <v>10</v>
      </c>
      <c r="AA44" s="2">
        <v>25</v>
      </c>
      <c r="AB44" s="2">
        <v>5</v>
      </c>
      <c r="AC44" s="2">
        <v>3</v>
      </c>
      <c r="AD44" s="2">
        <v>1</v>
      </c>
      <c r="AE44" s="17">
        <v>0.1</v>
      </c>
      <c r="AF44" s="17">
        <v>0.06</v>
      </c>
      <c r="AG44" s="23">
        <v>12</v>
      </c>
      <c r="AH44" s="2" t="s">
        <v>198</v>
      </c>
      <c r="AI44" s="2" t="s">
        <v>230</v>
      </c>
      <c r="AJ44" s="2" t="s">
        <v>1179</v>
      </c>
      <c r="AK44" s="2" t="s">
        <v>232</v>
      </c>
      <c r="AL44" s="2" t="s">
        <v>917</v>
      </c>
      <c r="AM44" s="2" t="s">
        <v>203</v>
      </c>
      <c r="AN44" s="2" t="s">
        <v>880</v>
      </c>
      <c r="AO44" s="25">
        <v>0</v>
      </c>
      <c r="AP44" s="25">
        <v>-1.4214823013101883</v>
      </c>
      <c r="AQ44" s="21">
        <v>80</v>
      </c>
      <c r="AR44" s="13">
        <v>145</v>
      </c>
      <c r="AS44" s="21">
        <v>0.14499999999999999</v>
      </c>
      <c r="AT44" s="27">
        <v>21.024999999999999</v>
      </c>
      <c r="AU44" s="15">
        <v>1.2614999999999998E-2</v>
      </c>
      <c r="AV44" s="19">
        <v>33.037615000000002</v>
      </c>
      <c r="AW44" s="2" t="s">
        <v>180</v>
      </c>
      <c r="AX44" s="2">
        <v>5</v>
      </c>
      <c r="AY44" s="2" t="s">
        <v>205</v>
      </c>
      <c r="AZ44" s="2" t="s">
        <v>205</v>
      </c>
      <c r="BA44" s="2">
        <v>0</v>
      </c>
      <c r="BB44" s="2" t="s">
        <v>206</v>
      </c>
      <c r="BC44" s="2" t="s">
        <v>207</v>
      </c>
      <c r="BD44" s="2" t="s">
        <v>273</v>
      </c>
      <c r="BE44" s="2" t="s">
        <v>209</v>
      </c>
      <c r="BF44" s="3" t="s">
        <v>210</v>
      </c>
    </row>
    <row r="45" spans="1:58" x14ac:dyDescent="0.25">
      <c r="A45" s="1" t="s">
        <v>543</v>
      </c>
      <c r="B45" s="11">
        <v>45694</v>
      </c>
      <c r="C45" s="11">
        <v>45697</v>
      </c>
      <c r="D45" s="2" t="s">
        <v>180</v>
      </c>
      <c r="E45" s="2" t="s">
        <v>212</v>
      </c>
      <c r="F45" s="2" t="s">
        <v>1048</v>
      </c>
      <c r="G45" s="2" t="s">
        <v>373</v>
      </c>
      <c r="H45" s="2" t="s">
        <v>297</v>
      </c>
      <c r="I45" s="2" t="s">
        <v>374</v>
      </c>
      <c r="J45" s="2" t="s">
        <v>375</v>
      </c>
      <c r="K45" s="2" t="s">
        <v>297</v>
      </c>
      <c r="L45" s="2" t="s">
        <v>218</v>
      </c>
      <c r="M45" s="2" t="s">
        <v>376</v>
      </c>
      <c r="N45" s="2" t="s">
        <v>377</v>
      </c>
      <c r="O45" s="11">
        <v>45033</v>
      </c>
      <c r="P45" s="2" t="s">
        <v>544</v>
      </c>
      <c r="Q45" s="2" t="s">
        <v>545</v>
      </c>
      <c r="R45" s="2" t="s">
        <v>244</v>
      </c>
      <c r="S45" s="2" t="s">
        <v>519</v>
      </c>
      <c r="T45" s="2" t="s">
        <v>546</v>
      </c>
      <c r="U45" s="2" t="s">
        <v>247</v>
      </c>
      <c r="V45" s="13">
        <v>85</v>
      </c>
      <c r="W45" s="13">
        <v>45</v>
      </c>
      <c r="X45" s="2">
        <v>2.1</v>
      </c>
      <c r="Y45" s="2" t="s">
        <v>227</v>
      </c>
      <c r="Z45" s="2" t="s">
        <v>880</v>
      </c>
      <c r="AA45" s="2">
        <v>20</v>
      </c>
      <c r="AB45" s="2">
        <v>5</v>
      </c>
      <c r="AC45" s="2">
        <v>2</v>
      </c>
      <c r="AD45" s="2">
        <v>2</v>
      </c>
      <c r="AE45" s="17">
        <v>0</v>
      </c>
      <c r="AF45" s="17">
        <v>0.06</v>
      </c>
      <c r="AG45" s="23">
        <v>8</v>
      </c>
      <c r="AH45" s="2" t="s">
        <v>249</v>
      </c>
      <c r="AI45" s="2" t="s">
        <v>230</v>
      </c>
      <c r="AJ45" s="2" t="s">
        <v>1180</v>
      </c>
      <c r="AK45" s="2" t="s">
        <v>196</v>
      </c>
      <c r="AL45" s="2" t="s">
        <v>918</v>
      </c>
      <c r="AM45" s="2" t="s">
        <v>203</v>
      </c>
      <c r="AN45" s="2" t="s">
        <v>880</v>
      </c>
      <c r="AO45" s="25">
        <v>0</v>
      </c>
      <c r="AP45" s="25">
        <v>-10.25</v>
      </c>
      <c r="AQ45" s="21">
        <v>90</v>
      </c>
      <c r="AR45" s="13">
        <v>170</v>
      </c>
      <c r="AS45" s="21">
        <v>0</v>
      </c>
      <c r="AT45" s="27">
        <v>0</v>
      </c>
      <c r="AU45" s="15">
        <v>0</v>
      </c>
      <c r="AV45" s="19">
        <v>8</v>
      </c>
      <c r="AW45" s="2" t="s">
        <v>180</v>
      </c>
      <c r="AX45" s="2">
        <v>3</v>
      </c>
      <c r="AY45" s="2" t="s">
        <v>205</v>
      </c>
      <c r="AZ45" s="2" t="s">
        <v>205</v>
      </c>
      <c r="BA45" s="2">
        <v>0</v>
      </c>
      <c r="BB45" s="2" t="s">
        <v>880</v>
      </c>
      <c r="BC45" s="2" t="s">
        <v>880</v>
      </c>
      <c r="BD45" s="2" t="s">
        <v>254</v>
      </c>
      <c r="BE45" s="2" t="s">
        <v>209</v>
      </c>
      <c r="BF45" s="3" t="s">
        <v>210</v>
      </c>
    </row>
    <row r="46" spans="1:58" x14ac:dyDescent="0.25">
      <c r="A46" s="1" t="s">
        <v>547</v>
      </c>
      <c r="B46" s="11">
        <v>45694</v>
      </c>
      <c r="C46" s="11">
        <v>45699</v>
      </c>
      <c r="D46" s="2" t="s">
        <v>310</v>
      </c>
      <c r="E46" s="2" t="s">
        <v>181</v>
      </c>
      <c r="F46" s="2" t="s">
        <v>213</v>
      </c>
      <c r="G46" s="2" t="s">
        <v>214</v>
      </c>
      <c r="H46" s="2" t="s">
        <v>215</v>
      </c>
      <c r="I46" s="2" t="s">
        <v>216</v>
      </c>
      <c r="J46" s="2" t="s">
        <v>217</v>
      </c>
      <c r="K46" s="2" t="s">
        <v>215</v>
      </c>
      <c r="L46" s="2" t="s">
        <v>218</v>
      </c>
      <c r="M46" s="2" t="s">
        <v>219</v>
      </c>
      <c r="N46" s="2" t="s">
        <v>220</v>
      </c>
      <c r="O46" s="11">
        <v>44362</v>
      </c>
      <c r="P46" s="2" t="s">
        <v>548</v>
      </c>
      <c r="Q46" s="2" t="s">
        <v>549</v>
      </c>
      <c r="R46" s="2" t="s">
        <v>192</v>
      </c>
      <c r="S46" s="2" t="s">
        <v>193</v>
      </c>
      <c r="T46" s="2" t="s">
        <v>550</v>
      </c>
      <c r="U46" s="2" t="s">
        <v>365</v>
      </c>
      <c r="V46" s="13">
        <v>110</v>
      </c>
      <c r="W46" s="13">
        <v>61</v>
      </c>
      <c r="X46" s="2">
        <v>0.4</v>
      </c>
      <c r="Y46" s="2" t="s">
        <v>288</v>
      </c>
      <c r="Z46" s="2" t="s">
        <v>551</v>
      </c>
      <c r="AA46" s="2">
        <v>30</v>
      </c>
      <c r="AB46" s="2">
        <v>8</v>
      </c>
      <c r="AC46" s="2">
        <v>2</v>
      </c>
      <c r="AD46" s="2">
        <v>2</v>
      </c>
      <c r="AE46" s="17">
        <v>0.05</v>
      </c>
      <c r="AF46" s="17">
        <v>0.05</v>
      </c>
      <c r="AG46" s="23">
        <v>6</v>
      </c>
      <c r="AH46" s="2" t="s">
        <v>289</v>
      </c>
      <c r="AI46" s="2" t="s">
        <v>199</v>
      </c>
      <c r="AJ46" s="2" t="s">
        <v>307</v>
      </c>
      <c r="AK46" s="2" t="s">
        <v>271</v>
      </c>
      <c r="AL46" s="2" t="s">
        <v>919</v>
      </c>
      <c r="AM46" s="2" t="s">
        <v>203</v>
      </c>
      <c r="AN46" s="2" t="s">
        <v>880</v>
      </c>
      <c r="AO46" s="25">
        <v>0</v>
      </c>
      <c r="AP46" s="25">
        <v>-3.0381171782166749</v>
      </c>
      <c r="AQ46" s="21">
        <v>122</v>
      </c>
      <c r="AR46" s="13">
        <v>220</v>
      </c>
      <c r="AS46" s="21">
        <v>0.11</v>
      </c>
      <c r="AT46" s="27">
        <v>24.2</v>
      </c>
      <c r="AU46" s="15">
        <v>1.21E-2</v>
      </c>
      <c r="AV46" s="19">
        <v>30.2121</v>
      </c>
      <c r="AW46" s="2" t="s">
        <v>310</v>
      </c>
      <c r="AX46" s="2">
        <v>5</v>
      </c>
      <c r="AY46" s="2" t="s">
        <v>205</v>
      </c>
      <c r="AZ46" s="2" t="s">
        <v>205</v>
      </c>
      <c r="BA46" s="2">
        <v>0</v>
      </c>
      <c r="BB46" s="2" t="s">
        <v>252</v>
      </c>
      <c r="BC46" s="2" t="s">
        <v>253</v>
      </c>
      <c r="BD46" s="2" t="s">
        <v>208</v>
      </c>
      <c r="BE46" s="2" t="s">
        <v>209</v>
      </c>
      <c r="BF46" s="3" t="s">
        <v>210</v>
      </c>
    </row>
    <row r="47" spans="1:58" x14ac:dyDescent="0.25">
      <c r="A47" s="1" t="s">
        <v>552</v>
      </c>
      <c r="B47" s="11">
        <v>45695</v>
      </c>
      <c r="C47" s="11">
        <v>45698</v>
      </c>
      <c r="D47" s="2" t="s">
        <v>180</v>
      </c>
      <c r="E47" s="2" t="s">
        <v>212</v>
      </c>
      <c r="F47" s="2" t="s">
        <v>1049</v>
      </c>
      <c r="G47" s="2" t="s">
        <v>258</v>
      </c>
      <c r="H47" s="2" t="s">
        <v>184</v>
      </c>
      <c r="I47" s="2" t="s">
        <v>259</v>
      </c>
      <c r="J47" s="2" t="s">
        <v>260</v>
      </c>
      <c r="K47" s="2" t="s">
        <v>184</v>
      </c>
      <c r="L47" s="2" t="s">
        <v>218</v>
      </c>
      <c r="M47" s="2" t="s">
        <v>261</v>
      </c>
      <c r="N47" s="2" t="s">
        <v>262</v>
      </c>
      <c r="O47" s="11">
        <v>44140</v>
      </c>
      <c r="P47" s="2" t="s">
        <v>553</v>
      </c>
      <c r="Q47" s="2" t="s">
        <v>554</v>
      </c>
      <c r="R47" s="2" t="s">
        <v>265</v>
      </c>
      <c r="S47" s="2" t="s">
        <v>224</v>
      </c>
      <c r="T47" s="2" t="s">
        <v>267</v>
      </c>
      <c r="U47" s="2" t="s">
        <v>268</v>
      </c>
      <c r="V47" s="13">
        <v>48</v>
      </c>
      <c r="W47" s="13">
        <v>25</v>
      </c>
      <c r="X47" s="2">
        <v>0.5</v>
      </c>
      <c r="Y47" s="2" t="s">
        <v>288</v>
      </c>
      <c r="Z47" s="2" t="s">
        <v>228</v>
      </c>
      <c r="AA47" s="2">
        <v>65</v>
      </c>
      <c r="AB47" s="2">
        <v>15</v>
      </c>
      <c r="AC47" s="2">
        <v>2</v>
      </c>
      <c r="AD47" s="2">
        <v>2</v>
      </c>
      <c r="AE47" s="17">
        <v>0</v>
      </c>
      <c r="AF47" s="17">
        <v>0.06</v>
      </c>
      <c r="AG47" s="23">
        <v>4</v>
      </c>
      <c r="AH47" s="2" t="s">
        <v>366</v>
      </c>
      <c r="AI47" s="2" t="s">
        <v>230</v>
      </c>
      <c r="AJ47" s="2" t="s">
        <v>1181</v>
      </c>
      <c r="AK47" s="2" t="s">
        <v>232</v>
      </c>
      <c r="AL47" s="2" t="s">
        <v>920</v>
      </c>
      <c r="AM47" s="2" t="s">
        <v>203</v>
      </c>
      <c r="AN47" s="2" t="s">
        <v>880</v>
      </c>
      <c r="AO47" s="25">
        <v>0</v>
      </c>
      <c r="AP47" s="25">
        <v>-11.5</v>
      </c>
      <c r="AQ47" s="21">
        <v>50</v>
      </c>
      <c r="AR47" s="13">
        <v>96</v>
      </c>
      <c r="AS47" s="21">
        <v>0</v>
      </c>
      <c r="AT47" s="27">
        <v>0</v>
      </c>
      <c r="AU47" s="15">
        <v>0</v>
      </c>
      <c r="AV47" s="19">
        <v>4</v>
      </c>
      <c r="AW47" s="2" t="s">
        <v>180</v>
      </c>
      <c r="AX47" s="2">
        <v>3</v>
      </c>
      <c r="AY47" s="2" t="s">
        <v>205</v>
      </c>
      <c r="AZ47" s="2" t="s">
        <v>205</v>
      </c>
      <c r="BA47" s="2">
        <v>0</v>
      </c>
      <c r="BB47" s="2" t="s">
        <v>880</v>
      </c>
      <c r="BC47" s="2" t="s">
        <v>880</v>
      </c>
      <c r="BD47" s="2" t="s">
        <v>273</v>
      </c>
      <c r="BE47" s="2" t="s">
        <v>209</v>
      </c>
      <c r="BF47" s="3" t="s">
        <v>210</v>
      </c>
    </row>
    <row r="48" spans="1:58" x14ac:dyDescent="0.25">
      <c r="A48" s="1" t="s">
        <v>555</v>
      </c>
      <c r="B48" s="11">
        <v>45695</v>
      </c>
      <c r="C48" s="11">
        <v>45700</v>
      </c>
      <c r="D48" s="2" t="s">
        <v>180</v>
      </c>
      <c r="E48" s="2" t="s">
        <v>181</v>
      </c>
      <c r="F48" s="2" t="s">
        <v>1050</v>
      </c>
      <c r="G48" s="2" t="s">
        <v>276</v>
      </c>
      <c r="H48" s="2" t="s">
        <v>277</v>
      </c>
      <c r="I48" s="2" t="s">
        <v>278</v>
      </c>
      <c r="J48" s="2" t="s">
        <v>279</v>
      </c>
      <c r="K48" s="2" t="s">
        <v>277</v>
      </c>
      <c r="L48" s="2" t="s">
        <v>187</v>
      </c>
      <c r="M48" s="2" t="s">
        <v>280</v>
      </c>
      <c r="N48" s="2" t="s">
        <v>281</v>
      </c>
      <c r="O48" s="11">
        <v>43508</v>
      </c>
      <c r="P48" s="2" t="s">
        <v>556</v>
      </c>
      <c r="Q48" s="2" t="s">
        <v>557</v>
      </c>
      <c r="R48" s="2" t="s">
        <v>192</v>
      </c>
      <c r="S48" s="2" t="s">
        <v>558</v>
      </c>
      <c r="T48" s="2" t="s">
        <v>194</v>
      </c>
      <c r="U48" s="2" t="s">
        <v>195</v>
      </c>
      <c r="V48" s="13">
        <v>900</v>
      </c>
      <c r="W48" s="13">
        <v>540</v>
      </c>
      <c r="X48" s="2">
        <v>0.3</v>
      </c>
      <c r="Y48" s="2" t="s">
        <v>288</v>
      </c>
      <c r="Z48" s="2" t="s">
        <v>559</v>
      </c>
      <c r="AA48" s="2">
        <v>20</v>
      </c>
      <c r="AB48" s="2">
        <v>5</v>
      </c>
      <c r="AC48" s="2">
        <v>2</v>
      </c>
      <c r="AD48" s="2">
        <v>1</v>
      </c>
      <c r="AE48" s="17">
        <v>0.05</v>
      </c>
      <c r="AF48" s="17">
        <v>0.08</v>
      </c>
      <c r="AG48" s="23">
        <v>10</v>
      </c>
      <c r="AH48" s="2" t="s">
        <v>198</v>
      </c>
      <c r="AI48" s="2" t="s">
        <v>199</v>
      </c>
      <c r="AJ48" s="2" t="s">
        <v>1182</v>
      </c>
      <c r="AK48" s="2" t="s">
        <v>201</v>
      </c>
      <c r="AL48" s="2" t="s">
        <v>921</v>
      </c>
      <c r="AM48" s="2" t="s">
        <v>203</v>
      </c>
      <c r="AN48" s="2" t="s">
        <v>880</v>
      </c>
      <c r="AO48" s="25">
        <v>0</v>
      </c>
      <c r="AP48" s="25">
        <v>-0.30018973139043248</v>
      </c>
      <c r="AQ48" s="21">
        <v>540</v>
      </c>
      <c r="AR48" s="13">
        <v>900</v>
      </c>
      <c r="AS48" s="21">
        <v>0.45</v>
      </c>
      <c r="AT48" s="27">
        <v>405</v>
      </c>
      <c r="AU48" s="15">
        <v>0.32400000000000001</v>
      </c>
      <c r="AV48" s="19">
        <v>415.32400000000001</v>
      </c>
      <c r="AW48" s="2" t="s">
        <v>180</v>
      </c>
      <c r="AX48" s="2">
        <v>5</v>
      </c>
      <c r="AY48" s="2" t="s">
        <v>204</v>
      </c>
      <c r="AZ48" s="2" t="s">
        <v>205</v>
      </c>
      <c r="BA48" s="2">
        <v>0</v>
      </c>
      <c r="BB48" s="2" t="s">
        <v>352</v>
      </c>
      <c r="BC48" s="2" t="s">
        <v>353</v>
      </c>
      <c r="BD48" s="2" t="s">
        <v>208</v>
      </c>
      <c r="BE48" s="2" t="s">
        <v>209</v>
      </c>
      <c r="BF48" s="3" t="s">
        <v>210</v>
      </c>
    </row>
    <row r="49" spans="1:58" x14ac:dyDescent="0.25">
      <c r="A49" s="1" t="s">
        <v>560</v>
      </c>
      <c r="B49" s="11">
        <v>45696</v>
      </c>
      <c r="C49" s="11">
        <v>45699</v>
      </c>
      <c r="D49" s="2" t="s">
        <v>180</v>
      </c>
      <c r="E49" s="2" t="s">
        <v>212</v>
      </c>
      <c r="F49" s="2" t="s">
        <v>1051</v>
      </c>
      <c r="G49" s="2" t="s">
        <v>237</v>
      </c>
      <c r="H49" s="2" t="s">
        <v>215</v>
      </c>
      <c r="I49" s="2" t="s">
        <v>238</v>
      </c>
      <c r="J49" s="2" t="s">
        <v>239</v>
      </c>
      <c r="K49" s="2" t="s">
        <v>215</v>
      </c>
      <c r="L49" s="2" t="s">
        <v>218</v>
      </c>
      <c r="M49" s="2" t="s">
        <v>240</v>
      </c>
      <c r="N49" s="2" t="s">
        <v>241</v>
      </c>
      <c r="O49" s="11">
        <v>44814</v>
      </c>
      <c r="P49" s="2" t="s">
        <v>561</v>
      </c>
      <c r="Q49" s="2" t="s">
        <v>562</v>
      </c>
      <c r="R49" s="2" t="s">
        <v>244</v>
      </c>
      <c r="S49" s="2" t="s">
        <v>563</v>
      </c>
      <c r="T49" s="2" t="s">
        <v>564</v>
      </c>
      <c r="U49" s="2" t="s">
        <v>247</v>
      </c>
      <c r="V49" s="13">
        <v>18</v>
      </c>
      <c r="W49" s="13">
        <v>9</v>
      </c>
      <c r="X49" s="2">
        <v>0.8</v>
      </c>
      <c r="Y49" s="2" t="s">
        <v>382</v>
      </c>
      <c r="Z49" s="2" t="s">
        <v>880</v>
      </c>
      <c r="AA49" s="2">
        <v>150</v>
      </c>
      <c r="AB49" s="2">
        <v>30</v>
      </c>
      <c r="AC49" s="2">
        <v>2</v>
      </c>
      <c r="AD49" s="2">
        <v>6</v>
      </c>
      <c r="AE49" s="17">
        <v>0</v>
      </c>
      <c r="AF49" s="17">
        <v>0.05</v>
      </c>
      <c r="AG49" s="23">
        <v>4</v>
      </c>
      <c r="AH49" s="2" t="s">
        <v>249</v>
      </c>
      <c r="AI49" s="2" t="s">
        <v>230</v>
      </c>
      <c r="AJ49" s="2" t="s">
        <v>1183</v>
      </c>
      <c r="AK49" s="2" t="s">
        <v>232</v>
      </c>
      <c r="AL49" s="2" t="s">
        <v>922</v>
      </c>
      <c r="AM49" s="2" t="s">
        <v>203</v>
      </c>
      <c r="AN49" s="2" t="s">
        <v>880</v>
      </c>
      <c r="AO49" s="25">
        <v>0</v>
      </c>
      <c r="AP49" s="25">
        <v>-12.5</v>
      </c>
      <c r="AQ49" s="21">
        <v>54</v>
      </c>
      <c r="AR49" s="13">
        <v>108</v>
      </c>
      <c r="AS49" s="21">
        <v>0</v>
      </c>
      <c r="AT49" s="27">
        <v>0</v>
      </c>
      <c r="AU49" s="15">
        <v>0</v>
      </c>
      <c r="AV49" s="19">
        <v>4</v>
      </c>
      <c r="AW49" s="2" t="s">
        <v>180</v>
      </c>
      <c r="AX49" s="2">
        <v>3</v>
      </c>
      <c r="AY49" s="2" t="s">
        <v>205</v>
      </c>
      <c r="AZ49" s="2" t="s">
        <v>205</v>
      </c>
      <c r="BA49" s="2">
        <v>0</v>
      </c>
      <c r="BB49" s="2" t="s">
        <v>369</v>
      </c>
      <c r="BC49" s="2" t="s">
        <v>173</v>
      </c>
      <c r="BD49" s="2" t="s">
        <v>254</v>
      </c>
      <c r="BE49" s="2" t="s">
        <v>209</v>
      </c>
      <c r="BF49" s="3" t="s">
        <v>210</v>
      </c>
    </row>
    <row r="50" spans="1:58" x14ac:dyDescent="0.25">
      <c r="A50" s="1" t="s">
        <v>565</v>
      </c>
      <c r="B50" s="11">
        <v>45696</v>
      </c>
      <c r="C50" s="11">
        <v>45701</v>
      </c>
      <c r="D50" s="2" t="s">
        <v>371</v>
      </c>
      <c r="E50" s="2" t="s">
        <v>181</v>
      </c>
      <c r="F50" s="2" t="s">
        <v>1052</v>
      </c>
      <c r="G50" s="2" t="s">
        <v>183</v>
      </c>
      <c r="H50" s="2" t="s">
        <v>184</v>
      </c>
      <c r="I50" s="2" t="s">
        <v>185</v>
      </c>
      <c r="J50" s="2" t="s">
        <v>186</v>
      </c>
      <c r="K50" s="2" t="s">
        <v>184</v>
      </c>
      <c r="L50" s="2" t="s">
        <v>187</v>
      </c>
      <c r="M50" s="2" t="s">
        <v>188</v>
      </c>
      <c r="N50" s="2" t="s">
        <v>189</v>
      </c>
      <c r="O50" s="11">
        <v>43891</v>
      </c>
      <c r="P50" s="2" t="s">
        <v>566</v>
      </c>
      <c r="Q50" s="2" t="s">
        <v>567</v>
      </c>
      <c r="R50" s="2" t="s">
        <v>363</v>
      </c>
      <c r="S50" s="2" t="s">
        <v>568</v>
      </c>
      <c r="T50" s="2" t="s">
        <v>569</v>
      </c>
      <c r="U50" s="2" t="s">
        <v>388</v>
      </c>
      <c r="V50" s="13">
        <v>110</v>
      </c>
      <c r="W50" s="13">
        <v>60</v>
      </c>
      <c r="X50" s="2">
        <v>3.5</v>
      </c>
      <c r="Y50" s="2" t="s">
        <v>288</v>
      </c>
      <c r="Z50" s="2" t="s">
        <v>570</v>
      </c>
      <c r="AA50" s="2">
        <v>18</v>
      </c>
      <c r="AB50" s="2">
        <v>4</v>
      </c>
      <c r="AC50" s="2">
        <v>3</v>
      </c>
      <c r="AD50" s="2">
        <v>1</v>
      </c>
      <c r="AE50" s="17">
        <v>0</v>
      </c>
      <c r="AF50" s="17">
        <v>0.06</v>
      </c>
      <c r="AG50" s="23">
        <v>12</v>
      </c>
      <c r="AH50" s="2" t="s">
        <v>229</v>
      </c>
      <c r="AI50" s="2" t="s">
        <v>199</v>
      </c>
      <c r="AJ50" s="2" t="s">
        <v>1184</v>
      </c>
      <c r="AK50" s="2" t="s">
        <v>271</v>
      </c>
      <c r="AL50" s="2" t="s">
        <v>923</v>
      </c>
      <c r="AM50" s="2" t="s">
        <v>203</v>
      </c>
      <c r="AN50" s="2" t="s">
        <v>880</v>
      </c>
      <c r="AO50" s="25">
        <v>0</v>
      </c>
      <c r="AP50" s="25">
        <v>-4</v>
      </c>
      <c r="AQ50" s="21">
        <v>60</v>
      </c>
      <c r="AR50" s="13">
        <v>110</v>
      </c>
      <c r="AS50" s="21">
        <v>0</v>
      </c>
      <c r="AT50" s="27">
        <v>0</v>
      </c>
      <c r="AU50" s="15">
        <v>0</v>
      </c>
      <c r="AV50" s="19">
        <v>12</v>
      </c>
      <c r="AW50" s="2" t="s">
        <v>371</v>
      </c>
      <c r="AX50" s="2">
        <v>5</v>
      </c>
      <c r="AY50" s="2" t="s">
        <v>205</v>
      </c>
      <c r="AZ50" s="2" t="s">
        <v>205</v>
      </c>
      <c r="BA50" s="2">
        <v>0</v>
      </c>
      <c r="BB50" s="2" t="s">
        <v>880</v>
      </c>
      <c r="BC50" s="2" t="s">
        <v>880</v>
      </c>
      <c r="BD50" s="2" t="s">
        <v>234</v>
      </c>
      <c r="BE50" s="2" t="s">
        <v>209</v>
      </c>
      <c r="BF50" s="3" t="s">
        <v>210</v>
      </c>
    </row>
    <row r="51" spans="1:58" x14ac:dyDescent="0.25">
      <c r="A51" s="1" t="s">
        <v>571</v>
      </c>
      <c r="B51" s="11">
        <v>45697</v>
      </c>
      <c r="C51" s="11">
        <v>45700</v>
      </c>
      <c r="D51" s="2" t="s">
        <v>180</v>
      </c>
      <c r="E51" s="2" t="s">
        <v>212</v>
      </c>
      <c r="F51" s="2" t="s">
        <v>1053</v>
      </c>
      <c r="G51" s="2" t="s">
        <v>296</v>
      </c>
      <c r="H51" s="2" t="s">
        <v>297</v>
      </c>
      <c r="I51" s="2" t="s">
        <v>298</v>
      </c>
      <c r="J51" s="2" t="s">
        <v>299</v>
      </c>
      <c r="K51" s="2" t="s">
        <v>297</v>
      </c>
      <c r="L51" s="2" t="s">
        <v>187</v>
      </c>
      <c r="M51" s="2" t="s">
        <v>300</v>
      </c>
      <c r="N51" s="2" t="s">
        <v>301</v>
      </c>
      <c r="O51" s="11">
        <v>43332</v>
      </c>
      <c r="P51" s="2" t="s">
        <v>572</v>
      </c>
      <c r="Q51" s="2" t="s">
        <v>573</v>
      </c>
      <c r="R51" s="2" t="s">
        <v>285</v>
      </c>
      <c r="S51" s="2" t="s">
        <v>266</v>
      </c>
      <c r="T51" s="2" t="s">
        <v>574</v>
      </c>
      <c r="U51" s="2" t="s">
        <v>287</v>
      </c>
      <c r="V51" s="13">
        <v>95</v>
      </c>
      <c r="W51" s="13">
        <v>52</v>
      </c>
      <c r="X51" s="2">
        <v>3.2</v>
      </c>
      <c r="Y51" s="2" t="s">
        <v>288</v>
      </c>
      <c r="Z51" s="2" t="s">
        <v>880</v>
      </c>
      <c r="AA51" s="2">
        <v>15</v>
      </c>
      <c r="AB51" s="2">
        <v>4</v>
      </c>
      <c r="AC51" s="2">
        <v>2</v>
      </c>
      <c r="AD51" s="2">
        <v>1</v>
      </c>
      <c r="AE51" s="17">
        <v>0</v>
      </c>
      <c r="AF51" s="17">
        <v>0.06</v>
      </c>
      <c r="AG51" s="23">
        <v>8</v>
      </c>
      <c r="AH51" s="2" t="s">
        <v>198</v>
      </c>
      <c r="AI51" s="2" t="s">
        <v>199</v>
      </c>
      <c r="AJ51" s="2" t="s">
        <v>1185</v>
      </c>
      <c r="AK51" s="2" t="s">
        <v>201</v>
      </c>
      <c r="AL51" s="2" t="s">
        <v>924</v>
      </c>
      <c r="AM51" s="2" t="s">
        <v>203</v>
      </c>
      <c r="AN51" s="2" t="s">
        <v>880</v>
      </c>
      <c r="AO51" s="25">
        <v>0</v>
      </c>
      <c r="AP51" s="25">
        <v>-5.5</v>
      </c>
      <c r="AQ51" s="21">
        <v>52</v>
      </c>
      <c r="AR51" s="13">
        <v>95</v>
      </c>
      <c r="AS51" s="21">
        <v>0</v>
      </c>
      <c r="AT51" s="27">
        <v>0</v>
      </c>
      <c r="AU51" s="15">
        <v>0</v>
      </c>
      <c r="AV51" s="19">
        <v>8</v>
      </c>
      <c r="AW51" s="2" t="s">
        <v>180</v>
      </c>
      <c r="AX51" s="2">
        <v>3</v>
      </c>
      <c r="AY51" s="2" t="s">
        <v>204</v>
      </c>
      <c r="AZ51" s="2" t="s">
        <v>205</v>
      </c>
      <c r="BA51" s="2">
        <v>0</v>
      </c>
      <c r="BB51" s="2" t="s">
        <v>880</v>
      </c>
      <c r="BC51" s="2" t="s">
        <v>880</v>
      </c>
      <c r="BD51" s="2" t="s">
        <v>293</v>
      </c>
      <c r="BE51" s="2" t="s">
        <v>209</v>
      </c>
      <c r="BF51" s="3" t="s">
        <v>210</v>
      </c>
    </row>
    <row r="52" spans="1:58" x14ac:dyDescent="0.25">
      <c r="A52" s="1" t="s">
        <v>575</v>
      </c>
      <c r="B52" s="11">
        <v>45697</v>
      </c>
      <c r="C52" s="11">
        <v>45702</v>
      </c>
      <c r="D52" s="2" t="s">
        <v>180</v>
      </c>
      <c r="E52" s="2" t="s">
        <v>181</v>
      </c>
      <c r="F52" s="2" t="s">
        <v>1054</v>
      </c>
      <c r="G52" s="2" t="s">
        <v>312</v>
      </c>
      <c r="H52" s="2" t="s">
        <v>184</v>
      </c>
      <c r="I52" s="2" t="s">
        <v>313</v>
      </c>
      <c r="J52" s="2" t="s">
        <v>314</v>
      </c>
      <c r="K52" s="2" t="s">
        <v>184</v>
      </c>
      <c r="L52" s="2" t="s">
        <v>218</v>
      </c>
      <c r="M52" s="2" t="s">
        <v>315</v>
      </c>
      <c r="N52" s="2" t="s">
        <v>316</v>
      </c>
      <c r="O52" s="11">
        <v>44745</v>
      </c>
      <c r="P52" s="2" t="s">
        <v>576</v>
      </c>
      <c r="Q52" s="2" t="s">
        <v>577</v>
      </c>
      <c r="R52" s="2" t="s">
        <v>578</v>
      </c>
      <c r="S52" s="2" t="s">
        <v>579</v>
      </c>
      <c r="T52" s="2" t="s">
        <v>580</v>
      </c>
      <c r="U52" s="2" t="s">
        <v>581</v>
      </c>
      <c r="V52" s="13">
        <v>6</v>
      </c>
      <c r="W52" s="13">
        <v>3</v>
      </c>
      <c r="X52" s="2">
        <v>0.5</v>
      </c>
      <c r="Y52" s="2"/>
      <c r="Z52" s="2" t="s">
        <v>880</v>
      </c>
      <c r="AA52" s="2">
        <v>500</v>
      </c>
      <c r="AB52" s="2">
        <v>100</v>
      </c>
      <c r="AC52" s="2">
        <v>1</v>
      </c>
      <c r="AD52" s="2">
        <v>12</v>
      </c>
      <c r="AE52" s="17">
        <v>0</v>
      </c>
      <c r="AF52" s="17">
        <v>0.04</v>
      </c>
      <c r="AG52" s="23">
        <v>2</v>
      </c>
      <c r="AH52" s="2" t="s">
        <v>249</v>
      </c>
      <c r="AI52" s="2" t="s">
        <v>230</v>
      </c>
      <c r="AJ52" s="2" t="s">
        <v>1186</v>
      </c>
      <c r="AK52" s="2" t="s">
        <v>196</v>
      </c>
      <c r="AL52" s="2" t="s">
        <v>925</v>
      </c>
      <c r="AM52" s="2" t="s">
        <v>203</v>
      </c>
      <c r="AN52" s="2" t="s">
        <v>880</v>
      </c>
      <c r="AO52" s="25">
        <v>0</v>
      </c>
      <c r="AP52" s="25">
        <v>-17</v>
      </c>
      <c r="AQ52" s="21">
        <v>36</v>
      </c>
      <c r="AR52" s="13">
        <v>72</v>
      </c>
      <c r="AS52" s="21">
        <v>0</v>
      </c>
      <c r="AT52" s="27">
        <v>0</v>
      </c>
      <c r="AU52" s="15">
        <v>0</v>
      </c>
      <c r="AV52" s="19">
        <v>2</v>
      </c>
      <c r="AW52" s="2" t="s">
        <v>180</v>
      </c>
      <c r="AX52" s="2">
        <v>5</v>
      </c>
      <c r="AY52" s="2" t="s">
        <v>205</v>
      </c>
      <c r="AZ52" s="2" t="s">
        <v>204</v>
      </c>
      <c r="BA52" s="2">
        <v>0.05</v>
      </c>
      <c r="BB52" s="2" t="s">
        <v>369</v>
      </c>
      <c r="BC52" s="2" t="s">
        <v>173</v>
      </c>
      <c r="BD52" s="2" t="s">
        <v>582</v>
      </c>
      <c r="BE52" s="2" t="s">
        <v>209</v>
      </c>
      <c r="BF52" s="3" t="s">
        <v>210</v>
      </c>
    </row>
    <row r="53" spans="1:58" x14ac:dyDescent="0.25">
      <c r="A53" s="1" t="s">
        <v>583</v>
      </c>
      <c r="B53" s="11">
        <v>45698</v>
      </c>
      <c r="C53" s="11">
        <v>45701</v>
      </c>
      <c r="D53" s="2" t="s">
        <v>180</v>
      </c>
      <c r="E53" s="2" t="s">
        <v>212</v>
      </c>
      <c r="F53" s="2" t="s">
        <v>1055</v>
      </c>
      <c r="G53" s="2" t="s">
        <v>326</v>
      </c>
      <c r="H53" s="2" t="s">
        <v>215</v>
      </c>
      <c r="I53" s="2" t="s">
        <v>327</v>
      </c>
      <c r="J53" s="2" t="s">
        <v>217</v>
      </c>
      <c r="K53" s="2" t="s">
        <v>215</v>
      </c>
      <c r="L53" s="2" t="s">
        <v>218</v>
      </c>
      <c r="M53" s="2" t="s">
        <v>328</v>
      </c>
      <c r="N53" s="2" t="s">
        <v>329</v>
      </c>
      <c r="O53" s="11">
        <v>44300</v>
      </c>
      <c r="P53" s="2" t="s">
        <v>584</v>
      </c>
      <c r="Q53" s="2" t="s">
        <v>585</v>
      </c>
      <c r="R53" s="2" t="s">
        <v>586</v>
      </c>
      <c r="S53" s="2" t="s">
        <v>587</v>
      </c>
      <c r="T53" s="2" t="s">
        <v>588</v>
      </c>
      <c r="U53" s="2" t="s">
        <v>388</v>
      </c>
      <c r="V53" s="13">
        <v>85</v>
      </c>
      <c r="W53" s="13">
        <v>45</v>
      </c>
      <c r="X53" s="2">
        <v>0.1</v>
      </c>
      <c r="Y53" s="2" t="s">
        <v>271</v>
      </c>
      <c r="Z53" s="2" t="s">
        <v>880</v>
      </c>
      <c r="AA53" s="2">
        <v>25</v>
      </c>
      <c r="AB53" s="2">
        <v>5</v>
      </c>
      <c r="AC53" s="2">
        <v>2</v>
      </c>
      <c r="AD53" s="2">
        <v>1</v>
      </c>
      <c r="AE53" s="17">
        <v>0</v>
      </c>
      <c r="AF53" s="17">
        <v>0.06</v>
      </c>
      <c r="AG53" s="23">
        <v>3</v>
      </c>
      <c r="AH53" s="2" t="s">
        <v>366</v>
      </c>
      <c r="AI53" s="2" t="s">
        <v>230</v>
      </c>
      <c r="AJ53" s="2" t="s">
        <v>1187</v>
      </c>
      <c r="AK53" s="2" t="s">
        <v>232</v>
      </c>
      <c r="AL53" s="2" t="s">
        <v>926</v>
      </c>
      <c r="AM53" s="2" t="s">
        <v>350</v>
      </c>
      <c r="AN53" s="2" t="s">
        <v>589</v>
      </c>
      <c r="AO53" s="25">
        <v>25</v>
      </c>
      <c r="AP53" s="25">
        <v>-14</v>
      </c>
      <c r="AQ53" s="21">
        <v>45</v>
      </c>
      <c r="AR53" s="13">
        <v>85</v>
      </c>
      <c r="AS53" s="21">
        <v>0</v>
      </c>
      <c r="AT53" s="27">
        <v>0</v>
      </c>
      <c r="AU53" s="15">
        <v>0</v>
      </c>
      <c r="AV53" s="19">
        <v>3</v>
      </c>
      <c r="AW53" s="2" t="s">
        <v>180</v>
      </c>
      <c r="AX53" s="2">
        <v>3</v>
      </c>
      <c r="AY53" s="2" t="s">
        <v>205</v>
      </c>
      <c r="AZ53" s="2" t="s">
        <v>205</v>
      </c>
      <c r="BA53" s="2">
        <v>0</v>
      </c>
      <c r="BB53" s="2" t="s">
        <v>206</v>
      </c>
      <c r="BC53" s="2" t="s">
        <v>880</v>
      </c>
      <c r="BD53" s="2" t="s">
        <v>539</v>
      </c>
      <c r="BE53" s="2" t="s">
        <v>255</v>
      </c>
      <c r="BF53" s="3" t="s">
        <v>210</v>
      </c>
    </row>
    <row r="54" spans="1:58" x14ac:dyDescent="0.25">
      <c r="A54" s="1" t="s">
        <v>590</v>
      </c>
      <c r="B54" s="11">
        <v>45698</v>
      </c>
      <c r="C54" s="11">
        <v>45703</v>
      </c>
      <c r="D54" s="2" t="s">
        <v>310</v>
      </c>
      <c r="E54" s="2" t="s">
        <v>181</v>
      </c>
      <c r="F54" s="2" t="s">
        <v>1056</v>
      </c>
      <c r="G54" s="2" t="s">
        <v>338</v>
      </c>
      <c r="H54" s="2" t="s">
        <v>184</v>
      </c>
      <c r="I54" s="2" t="s">
        <v>339</v>
      </c>
      <c r="J54" s="2" t="s">
        <v>340</v>
      </c>
      <c r="K54" s="2" t="s">
        <v>184</v>
      </c>
      <c r="L54" s="2" t="s">
        <v>218</v>
      </c>
      <c r="M54" s="2" t="s">
        <v>341</v>
      </c>
      <c r="N54" s="2" t="s">
        <v>342</v>
      </c>
      <c r="O54" s="11">
        <v>44982</v>
      </c>
      <c r="P54" s="2" t="s">
        <v>591</v>
      </c>
      <c r="Q54" s="2" t="s">
        <v>592</v>
      </c>
      <c r="R54" s="2" t="s">
        <v>244</v>
      </c>
      <c r="S54" s="2" t="s">
        <v>245</v>
      </c>
      <c r="T54" s="2" t="s">
        <v>593</v>
      </c>
      <c r="U54" s="2" t="s">
        <v>247</v>
      </c>
      <c r="V54" s="13">
        <v>35</v>
      </c>
      <c r="W54" s="13">
        <v>18</v>
      </c>
      <c r="X54" s="2">
        <v>1.2</v>
      </c>
      <c r="Y54" s="2" t="s">
        <v>432</v>
      </c>
      <c r="Z54" s="2" t="s">
        <v>880</v>
      </c>
      <c r="AA54" s="2">
        <v>60</v>
      </c>
      <c r="AB54" s="2">
        <v>15</v>
      </c>
      <c r="AC54" s="2">
        <v>2</v>
      </c>
      <c r="AD54" s="2">
        <v>2</v>
      </c>
      <c r="AE54" s="17">
        <v>0.05</v>
      </c>
      <c r="AF54" s="17">
        <v>0.05</v>
      </c>
      <c r="AG54" s="23">
        <v>5</v>
      </c>
      <c r="AH54" s="2" t="s">
        <v>198</v>
      </c>
      <c r="AI54" s="2" t="s">
        <v>230</v>
      </c>
      <c r="AJ54" s="2" t="s">
        <v>1188</v>
      </c>
      <c r="AK54" s="2" t="s">
        <v>196</v>
      </c>
      <c r="AL54" s="2" t="s">
        <v>927</v>
      </c>
      <c r="AM54" s="2" t="s">
        <v>203</v>
      </c>
      <c r="AN54" s="2" t="s">
        <v>880</v>
      </c>
      <c r="AO54" s="25">
        <v>0</v>
      </c>
      <c r="AP54" s="25">
        <v>-3.8314203369244653</v>
      </c>
      <c r="AQ54" s="21">
        <v>36</v>
      </c>
      <c r="AR54" s="13">
        <v>70</v>
      </c>
      <c r="AS54" s="21">
        <v>3.5000000000000003E-2</v>
      </c>
      <c r="AT54" s="27">
        <v>2.4500000000000002</v>
      </c>
      <c r="AU54" s="15">
        <v>1.2250000000000002E-3</v>
      </c>
      <c r="AV54" s="19">
        <v>7.451225</v>
      </c>
      <c r="AW54" s="2" t="s">
        <v>310</v>
      </c>
      <c r="AX54" s="2">
        <v>5</v>
      </c>
      <c r="AY54" s="2" t="s">
        <v>205</v>
      </c>
      <c r="AZ54" s="2" t="s">
        <v>205</v>
      </c>
      <c r="BA54" s="2">
        <v>0</v>
      </c>
      <c r="BB54" s="2" t="s">
        <v>252</v>
      </c>
      <c r="BC54" s="2" t="s">
        <v>253</v>
      </c>
      <c r="BD54" s="2" t="s">
        <v>254</v>
      </c>
      <c r="BE54" s="2" t="s">
        <v>209</v>
      </c>
      <c r="BF54" s="3" t="s">
        <v>210</v>
      </c>
    </row>
    <row r="55" spans="1:58" x14ac:dyDescent="0.25">
      <c r="A55" s="1" t="s">
        <v>594</v>
      </c>
      <c r="B55" s="11">
        <v>45699</v>
      </c>
      <c r="C55" s="11">
        <v>45702</v>
      </c>
      <c r="D55" s="2" t="s">
        <v>180</v>
      </c>
      <c r="E55" s="2" t="s">
        <v>212</v>
      </c>
      <c r="F55" s="2" t="s">
        <v>1057</v>
      </c>
      <c r="G55" s="2" t="s">
        <v>356</v>
      </c>
      <c r="H55" s="2" t="s">
        <v>297</v>
      </c>
      <c r="I55" s="2" t="s">
        <v>357</v>
      </c>
      <c r="J55" s="2" t="s">
        <v>358</v>
      </c>
      <c r="K55" s="2" t="s">
        <v>297</v>
      </c>
      <c r="L55" s="2" t="s">
        <v>218</v>
      </c>
      <c r="M55" s="2" t="s">
        <v>359</v>
      </c>
      <c r="N55" s="2" t="s">
        <v>360</v>
      </c>
      <c r="O55" s="11">
        <v>44895</v>
      </c>
      <c r="P55" s="2" t="s">
        <v>595</v>
      </c>
      <c r="Q55" s="2" t="s">
        <v>596</v>
      </c>
      <c r="R55" s="2" t="s">
        <v>244</v>
      </c>
      <c r="S55" s="2" t="s">
        <v>332</v>
      </c>
      <c r="T55" s="2" t="s">
        <v>597</v>
      </c>
      <c r="U55" s="2" t="s">
        <v>247</v>
      </c>
      <c r="V55" s="13">
        <v>75</v>
      </c>
      <c r="W55" s="13">
        <v>41</v>
      </c>
      <c r="X55" s="2">
        <v>2.5</v>
      </c>
      <c r="Y55" s="2" t="s">
        <v>382</v>
      </c>
      <c r="Z55" s="2" t="s">
        <v>880</v>
      </c>
      <c r="AA55" s="2">
        <v>22</v>
      </c>
      <c r="AB55" s="2">
        <v>5</v>
      </c>
      <c r="AC55" s="2">
        <v>2</v>
      </c>
      <c r="AD55" s="2">
        <v>1</v>
      </c>
      <c r="AE55" s="17">
        <v>0</v>
      </c>
      <c r="AF55" s="17">
        <v>0.06</v>
      </c>
      <c r="AG55" s="23">
        <v>8</v>
      </c>
      <c r="AH55" s="2" t="s">
        <v>289</v>
      </c>
      <c r="AI55" s="2" t="s">
        <v>199</v>
      </c>
      <c r="AJ55" s="2" t="s">
        <v>1189</v>
      </c>
      <c r="AK55" s="2" t="s">
        <v>201</v>
      </c>
      <c r="AL55" s="2" t="s">
        <v>928</v>
      </c>
      <c r="AM55" s="2" t="s">
        <v>203</v>
      </c>
      <c r="AN55" s="2" t="s">
        <v>880</v>
      </c>
      <c r="AO55" s="25">
        <v>0</v>
      </c>
      <c r="AP55" s="25">
        <v>-4.125</v>
      </c>
      <c r="AQ55" s="21">
        <v>41</v>
      </c>
      <c r="AR55" s="13">
        <v>75</v>
      </c>
      <c r="AS55" s="21">
        <v>0</v>
      </c>
      <c r="AT55" s="27">
        <v>0</v>
      </c>
      <c r="AU55" s="15">
        <v>0</v>
      </c>
      <c r="AV55" s="19">
        <v>8</v>
      </c>
      <c r="AW55" s="2" t="s">
        <v>180</v>
      </c>
      <c r="AX55" s="2">
        <v>3</v>
      </c>
      <c r="AY55" s="2" t="s">
        <v>204</v>
      </c>
      <c r="AZ55" s="2" t="s">
        <v>205</v>
      </c>
      <c r="BA55" s="2">
        <v>0</v>
      </c>
      <c r="BB55" s="2" t="s">
        <v>880</v>
      </c>
      <c r="BC55" s="2" t="s">
        <v>880</v>
      </c>
      <c r="BD55" s="2" t="s">
        <v>254</v>
      </c>
      <c r="BE55" s="2" t="s">
        <v>209</v>
      </c>
      <c r="BF55" s="3" t="s">
        <v>210</v>
      </c>
    </row>
    <row r="56" spans="1:58" x14ac:dyDescent="0.25">
      <c r="A56" s="1" t="s">
        <v>598</v>
      </c>
      <c r="B56" s="11">
        <v>45699</v>
      </c>
      <c r="C56" s="11">
        <v>45704</v>
      </c>
      <c r="D56" s="2" t="s">
        <v>180</v>
      </c>
      <c r="E56" s="2" t="s">
        <v>181</v>
      </c>
      <c r="F56" s="2" t="s">
        <v>1058</v>
      </c>
      <c r="G56" s="2" t="s">
        <v>373</v>
      </c>
      <c r="H56" s="2" t="s">
        <v>297</v>
      </c>
      <c r="I56" s="2" t="s">
        <v>374</v>
      </c>
      <c r="J56" s="2" t="s">
        <v>375</v>
      </c>
      <c r="K56" s="2" t="s">
        <v>297</v>
      </c>
      <c r="L56" s="2" t="s">
        <v>218</v>
      </c>
      <c r="M56" s="2" t="s">
        <v>376</v>
      </c>
      <c r="N56" s="2" t="s">
        <v>377</v>
      </c>
      <c r="O56" s="11">
        <v>45033</v>
      </c>
      <c r="P56" s="2" t="s">
        <v>599</v>
      </c>
      <c r="Q56" s="2" t="s">
        <v>600</v>
      </c>
      <c r="R56" s="2" t="s">
        <v>402</v>
      </c>
      <c r="S56" s="2" t="s">
        <v>601</v>
      </c>
      <c r="T56" s="2" t="s">
        <v>602</v>
      </c>
      <c r="U56" s="2" t="s">
        <v>405</v>
      </c>
      <c r="V56" s="13">
        <v>12</v>
      </c>
      <c r="W56" s="13">
        <v>6</v>
      </c>
      <c r="X56" s="2">
        <v>0.4</v>
      </c>
      <c r="Y56" s="2" t="s">
        <v>382</v>
      </c>
      <c r="Z56" s="2" t="s">
        <v>880</v>
      </c>
      <c r="AA56" s="2">
        <v>200</v>
      </c>
      <c r="AB56" s="2">
        <v>40</v>
      </c>
      <c r="AC56" s="2">
        <v>1</v>
      </c>
      <c r="AD56" s="2">
        <v>8</v>
      </c>
      <c r="AE56" s="17">
        <v>0</v>
      </c>
      <c r="AF56" s="17">
        <v>0.05</v>
      </c>
      <c r="AG56" s="23">
        <v>3</v>
      </c>
      <c r="AH56" s="2" t="s">
        <v>229</v>
      </c>
      <c r="AI56" s="2" t="s">
        <v>230</v>
      </c>
      <c r="AJ56" s="2" t="s">
        <v>1190</v>
      </c>
      <c r="AK56" s="2" t="s">
        <v>232</v>
      </c>
      <c r="AL56" s="2" t="s">
        <v>929</v>
      </c>
      <c r="AM56" s="2" t="s">
        <v>203</v>
      </c>
      <c r="AN56" s="2" t="s">
        <v>880</v>
      </c>
      <c r="AO56" s="25">
        <v>0</v>
      </c>
      <c r="AP56" s="25">
        <v>-15</v>
      </c>
      <c r="AQ56" s="21">
        <v>48</v>
      </c>
      <c r="AR56" s="13">
        <v>96</v>
      </c>
      <c r="AS56" s="21">
        <v>0</v>
      </c>
      <c r="AT56" s="27">
        <v>0</v>
      </c>
      <c r="AU56" s="15">
        <v>0</v>
      </c>
      <c r="AV56" s="19">
        <v>3</v>
      </c>
      <c r="AW56" s="2" t="s">
        <v>180</v>
      </c>
      <c r="AX56" s="2">
        <v>5</v>
      </c>
      <c r="AY56" s="2" t="s">
        <v>205</v>
      </c>
      <c r="AZ56" s="2" t="s">
        <v>205</v>
      </c>
      <c r="BA56" s="2">
        <v>0</v>
      </c>
      <c r="BB56" s="2" t="s">
        <v>369</v>
      </c>
      <c r="BC56" s="2" t="s">
        <v>173</v>
      </c>
      <c r="BD56" s="2" t="s">
        <v>539</v>
      </c>
      <c r="BE56" s="2" t="s">
        <v>209</v>
      </c>
      <c r="BF56" s="3" t="s">
        <v>210</v>
      </c>
    </row>
    <row r="57" spans="1:58" x14ac:dyDescent="0.25">
      <c r="A57" s="1" t="s">
        <v>603</v>
      </c>
      <c r="B57" s="11">
        <v>45700</v>
      </c>
      <c r="C57" s="11">
        <v>45703</v>
      </c>
      <c r="D57" s="2" t="s">
        <v>180</v>
      </c>
      <c r="E57" s="2" t="s">
        <v>212</v>
      </c>
      <c r="F57" s="2" t="s">
        <v>355</v>
      </c>
      <c r="G57" s="2" t="s">
        <v>214</v>
      </c>
      <c r="H57" s="2" t="s">
        <v>215</v>
      </c>
      <c r="I57" s="2" t="s">
        <v>216</v>
      </c>
      <c r="J57" s="2" t="s">
        <v>217</v>
      </c>
      <c r="K57" s="2" t="s">
        <v>215</v>
      </c>
      <c r="L57" s="2" t="s">
        <v>218</v>
      </c>
      <c r="M57" s="2" t="s">
        <v>219</v>
      </c>
      <c r="N57" s="2" t="s">
        <v>220</v>
      </c>
      <c r="O57" s="11">
        <v>44362</v>
      </c>
      <c r="P57" s="2" t="s">
        <v>604</v>
      </c>
      <c r="Q57" s="2" t="s">
        <v>605</v>
      </c>
      <c r="R57" s="2" t="s">
        <v>192</v>
      </c>
      <c r="S57" s="2" t="s">
        <v>363</v>
      </c>
      <c r="T57" s="2" t="s">
        <v>364</v>
      </c>
      <c r="U57" s="2" t="s">
        <v>365</v>
      </c>
      <c r="V57" s="13">
        <v>70</v>
      </c>
      <c r="W57" s="13">
        <v>38</v>
      </c>
      <c r="X57" s="2">
        <v>0.2</v>
      </c>
      <c r="Y57" s="2" t="s">
        <v>288</v>
      </c>
      <c r="Z57" s="2" t="s">
        <v>880</v>
      </c>
      <c r="AA57" s="2">
        <v>45</v>
      </c>
      <c r="AB57" s="2">
        <v>10</v>
      </c>
      <c r="AC57" s="2">
        <v>2</v>
      </c>
      <c r="AD57" s="2">
        <v>2</v>
      </c>
      <c r="AE57" s="17">
        <v>0</v>
      </c>
      <c r="AF57" s="17">
        <v>0.05</v>
      </c>
      <c r="AG57" s="23">
        <v>4</v>
      </c>
      <c r="AH57" s="2" t="s">
        <v>198</v>
      </c>
      <c r="AI57" s="2" t="s">
        <v>230</v>
      </c>
      <c r="AJ57" s="2" t="s">
        <v>1191</v>
      </c>
      <c r="AK57" s="2" t="s">
        <v>232</v>
      </c>
      <c r="AL57" s="2" t="s">
        <v>930</v>
      </c>
      <c r="AM57" s="2" t="s">
        <v>203</v>
      </c>
      <c r="AN57" s="2" t="s">
        <v>880</v>
      </c>
      <c r="AO57" s="25">
        <v>0</v>
      </c>
      <c r="AP57" s="25">
        <v>-18</v>
      </c>
      <c r="AQ57" s="21">
        <v>76</v>
      </c>
      <c r="AR57" s="13">
        <v>140</v>
      </c>
      <c r="AS57" s="21">
        <v>0</v>
      </c>
      <c r="AT57" s="27">
        <v>0</v>
      </c>
      <c r="AU57" s="15">
        <v>0</v>
      </c>
      <c r="AV57" s="19">
        <v>4</v>
      </c>
      <c r="AW57" s="2" t="s">
        <v>180</v>
      </c>
      <c r="AX57" s="2">
        <v>3</v>
      </c>
      <c r="AY57" s="2" t="s">
        <v>205</v>
      </c>
      <c r="AZ57" s="2" t="s">
        <v>205</v>
      </c>
      <c r="BA57" s="2">
        <v>0</v>
      </c>
      <c r="BB57" s="2" t="s">
        <v>880</v>
      </c>
      <c r="BC57" s="2" t="s">
        <v>880</v>
      </c>
      <c r="BD57" s="2" t="s">
        <v>208</v>
      </c>
      <c r="BE57" s="2" t="s">
        <v>209</v>
      </c>
      <c r="BF57" s="3" t="s">
        <v>210</v>
      </c>
    </row>
    <row r="58" spans="1:58" x14ac:dyDescent="0.25">
      <c r="A58" s="1" t="s">
        <v>606</v>
      </c>
      <c r="B58" s="11">
        <v>45700</v>
      </c>
      <c r="C58" s="11">
        <v>45705</v>
      </c>
      <c r="D58" s="2" t="s">
        <v>371</v>
      </c>
      <c r="E58" s="2" t="s">
        <v>181</v>
      </c>
      <c r="F58" s="2" t="s">
        <v>1059</v>
      </c>
      <c r="G58" s="2" t="s">
        <v>258</v>
      </c>
      <c r="H58" s="2" t="s">
        <v>184</v>
      </c>
      <c r="I58" s="2" t="s">
        <v>259</v>
      </c>
      <c r="J58" s="2" t="s">
        <v>260</v>
      </c>
      <c r="K58" s="2" t="s">
        <v>184</v>
      </c>
      <c r="L58" s="2" t="s">
        <v>218</v>
      </c>
      <c r="M58" s="2" t="s">
        <v>261</v>
      </c>
      <c r="N58" s="2" t="s">
        <v>262</v>
      </c>
      <c r="O58" s="11">
        <v>44140</v>
      </c>
      <c r="P58" s="2" t="s">
        <v>607</v>
      </c>
      <c r="Q58" s="2" t="s">
        <v>608</v>
      </c>
      <c r="R58" s="2" t="s">
        <v>244</v>
      </c>
      <c r="S58" s="2" t="s">
        <v>245</v>
      </c>
      <c r="T58" s="2" t="s">
        <v>609</v>
      </c>
      <c r="U58" s="2" t="s">
        <v>247</v>
      </c>
      <c r="V58" s="13">
        <v>30</v>
      </c>
      <c r="W58" s="13">
        <v>16</v>
      </c>
      <c r="X58" s="2">
        <v>0.5</v>
      </c>
      <c r="Y58" s="2" t="s">
        <v>610</v>
      </c>
      <c r="Z58" s="2" t="s">
        <v>880</v>
      </c>
      <c r="AA58" s="2">
        <v>80</v>
      </c>
      <c r="AB58" s="2">
        <v>20</v>
      </c>
      <c r="AC58" s="2">
        <v>2</v>
      </c>
      <c r="AD58" s="2">
        <v>4</v>
      </c>
      <c r="AE58" s="17">
        <v>0</v>
      </c>
      <c r="AF58" s="17">
        <v>0.06</v>
      </c>
      <c r="AG58" s="23">
        <v>6</v>
      </c>
      <c r="AH58" s="2" t="s">
        <v>249</v>
      </c>
      <c r="AI58" s="2" t="s">
        <v>199</v>
      </c>
      <c r="AJ58" s="2" t="s">
        <v>1192</v>
      </c>
      <c r="AK58" s="2" t="s">
        <v>271</v>
      </c>
      <c r="AL58" s="2" t="s">
        <v>931</v>
      </c>
      <c r="AM58" s="2" t="s">
        <v>203</v>
      </c>
      <c r="AN58" s="2" t="s">
        <v>880</v>
      </c>
      <c r="AO58" s="25">
        <v>0</v>
      </c>
      <c r="AP58" s="25">
        <v>-9.6666666666666661</v>
      </c>
      <c r="AQ58" s="21">
        <v>64</v>
      </c>
      <c r="AR58" s="13">
        <v>120</v>
      </c>
      <c r="AS58" s="21">
        <v>0</v>
      </c>
      <c r="AT58" s="27">
        <v>0</v>
      </c>
      <c r="AU58" s="15">
        <v>0</v>
      </c>
      <c r="AV58" s="19">
        <v>6</v>
      </c>
      <c r="AW58" s="2" t="s">
        <v>371</v>
      </c>
      <c r="AX58" s="2">
        <v>5</v>
      </c>
      <c r="AY58" s="2" t="s">
        <v>205</v>
      </c>
      <c r="AZ58" s="2" t="s">
        <v>205</v>
      </c>
      <c r="BA58" s="2">
        <v>0</v>
      </c>
      <c r="BB58" s="2" t="s">
        <v>880</v>
      </c>
      <c r="BC58" s="2" t="s">
        <v>880</v>
      </c>
      <c r="BD58" s="2" t="s">
        <v>254</v>
      </c>
      <c r="BE58" s="2" t="s">
        <v>209</v>
      </c>
      <c r="BF58" s="3" t="s">
        <v>210</v>
      </c>
    </row>
    <row r="59" spans="1:58" x14ac:dyDescent="0.25">
      <c r="A59" s="1" t="s">
        <v>611</v>
      </c>
      <c r="B59" s="11">
        <v>45701</v>
      </c>
      <c r="C59" s="11">
        <v>45704</v>
      </c>
      <c r="D59" s="2" t="s">
        <v>180</v>
      </c>
      <c r="E59" s="2" t="s">
        <v>212</v>
      </c>
      <c r="F59" s="2" t="s">
        <v>1060</v>
      </c>
      <c r="G59" s="2" t="s">
        <v>276</v>
      </c>
      <c r="H59" s="2" t="s">
        <v>277</v>
      </c>
      <c r="I59" s="2" t="s">
        <v>278</v>
      </c>
      <c r="J59" s="2" t="s">
        <v>279</v>
      </c>
      <c r="K59" s="2" t="s">
        <v>277</v>
      </c>
      <c r="L59" s="2" t="s">
        <v>187</v>
      </c>
      <c r="M59" s="2" t="s">
        <v>280</v>
      </c>
      <c r="N59" s="2" t="s">
        <v>281</v>
      </c>
      <c r="O59" s="11">
        <v>43508</v>
      </c>
      <c r="P59" s="2" t="s">
        <v>612</v>
      </c>
      <c r="Q59" s="2" t="s">
        <v>613</v>
      </c>
      <c r="R59" s="2" t="s">
        <v>265</v>
      </c>
      <c r="S59" s="2" t="s">
        <v>499</v>
      </c>
      <c r="T59" s="2" t="s">
        <v>500</v>
      </c>
      <c r="U59" s="2" t="s">
        <v>268</v>
      </c>
      <c r="V59" s="13">
        <v>28</v>
      </c>
      <c r="W59" s="13">
        <v>15</v>
      </c>
      <c r="X59" s="2">
        <v>0.9</v>
      </c>
      <c r="Y59" s="2" t="s">
        <v>530</v>
      </c>
      <c r="Z59" s="2" t="s">
        <v>880</v>
      </c>
      <c r="AA59" s="2">
        <v>40</v>
      </c>
      <c r="AB59" s="2">
        <v>10</v>
      </c>
      <c r="AC59" s="2">
        <v>1</v>
      </c>
      <c r="AD59" s="2">
        <v>3</v>
      </c>
      <c r="AE59" s="17">
        <v>0</v>
      </c>
      <c r="AF59" s="17">
        <v>0.05</v>
      </c>
      <c r="AG59" s="23">
        <v>4</v>
      </c>
      <c r="AH59" s="2" t="s">
        <v>366</v>
      </c>
      <c r="AI59" s="2" t="s">
        <v>230</v>
      </c>
      <c r="AJ59" s="2" t="s">
        <v>1193</v>
      </c>
      <c r="AK59" s="2" t="s">
        <v>232</v>
      </c>
      <c r="AL59" s="2" t="s">
        <v>932</v>
      </c>
      <c r="AM59" s="2" t="s">
        <v>203</v>
      </c>
      <c r="AN59" s="2" t="s">
        <v>880</v>
      </c>
      <c r="AO59" s="25">
        <v>0</v>
      </c>
      <c r="AP59" s="25">
        <v>-10.25</v>
      </c>
      <c r="AQ59" s="21">
        <v>45</v>
      </c>
      <c r="AR59" s="13">
        <v>84</v>
      </c>
      <c r="AS59" s="21">
        <v>0</v>
      </c>
      <c r="AT59" s="27">
        <v>0</v>
      </c>
      <c r="AU59" s="15">
        <v>0</v>
      </c>
      <c r="AV59" s="19">
        <v>4</v>
      </c>
      <c r="AW59" s="2" t="s">
        <v>180</v>
      </c>
      <c r="AX59" s="2">
        <v>3</v>
      </c>
      <c r="AY59" s="2" t="s">
        <v>205</v>
      </c>
      <c r="AZ59" s="2" t="s">
        <v>205</v>
      </c>
      <c r="BA59" s="2">
        <v>0</v>
      </c>
      <c r="BB59" s="2" t="s">
        <v>880</v>
      </c>
      <c r="BC59" s="2" t="s">
        <v>880</v>
      </c>
      <c r="BD59" s="2" t="s">
        <v>273</v>
      </c>
      <c r="BE59" s="2" t="s">
        <v>209</v>
      </c>
      <c r="BF59" s="3" t="s">
        <v>210</v>
      </c>
    </row>
    <row r="60" spans="1:58" x14ac:dyDescent="0.25">
      <c r="A60" s="1" t="s">
        <v>614</v>
      </c>
      <c r="B60" s="11">
        <v>45701</v>
      </c>
      <c r="C60" s="11">
        <v>45706</v>
      </c>
      <c r="D60" s="2" t="s">
        <v>180</v>
      </c>
      <c r="E60" s="2" t="s">
        <v>181</v>
      </c>
      <c r="F60" s="2" t="s">
        <v>1061</v>
      </c>
      <c r="G60" s="2" t="s">
        <v>237</v>
      </c>
      <c r="H60" s="2" t="s">
        <v>215</v>
      </c>
      <c r="I60" s="2" t="s">
        <v>238</v>
      </c>
      <c r="J60" s="2" t="s">
        <v>239</v>
      </c>
      <c r="K60" s="2" t="s">
        <v>215</v>
      </c>
      <c r="L60" s="2" t="s">
        <v>218</v>
      </c>
      <c r="M60" s="2" t="s">
        <v>240</v>
      </c>
      <c r="N60" s="2" t="s">
        <v>241</v>
      </c>
      <c r="O60" s="11">
        <v>44814</v>
      </c>
      <c r="P60" s="2" t="s">
        <v>615</v>
      </c>
      <c r="Q60" s="2" t="s">
        <v>616</v>
      </c>
      <c r="R60" s="2" t="s">
        <v>363</v>
      </c>
      <c r="S60" s="2" t="s">
        <v>224</v>
      </c>
      <c r="T60" s="2" t="s">
        <v>617</v>
      </c>
      <c r="U60" s="2" t="s">
        <v>388</v>
      </c>
      <c r="V60" s="13">
        <v>40</v>
      </c>
      <c r="W60" s="13">
        <v>21</v>
      </c>
      <c r="X60" s="2">
        <v>0.2</v>
      </c>
      <c r="Y60" s="2" t="s">
        <v>530</v>
      </c>
      <c r="Z60" s="2">
        <v>32</v>
      </c>
      <c r="AA60" s="2">
        <v>55</v>
      </c>
      <c r="AB60" s="2">
        <v>12</v>
      </c>
      <c r="AC60" s="2">
        <v>1</v>
      </c>
      <c r="AD60" s="2">
        <v>2</v>
      </c>
      <c r="AE60" s="17">
        <v>0</v>
      </c>
      <c r="AF60" s="17">
        <v>0.05</v>
      </c>
      <c r="AG60" s="23">
        <v>3</v>
      </c>
      <c r="AH60" s="2" t="s">
        <v>229</v>
      </c>
      <c r="AI60" s="2" t="s">
        <v>230</v>
      </c>
      <c r="AJ60" s="2" t="s">
        <v>1194</v>
      </c>
      <c r="AK60" s="2" t="s">
        <v>196</v>
      </c>
      <c r="AL60" s="2" t="s">
        <v>933</v>
      </c>
      <c r="AM60" s="2" t="s">
        <v>203</v>
      </c>
      <c r="AN60" s="2" t="s">
        <v>880</v>
      </c>
      <c r="AO60" s="25">
        <v>0</v>
      </c>
      <c r="AP60" s="25">
        <v>-13</v>
      </c>
      <c r="AQ60" s="21">
        <v>42</v>
      </c>
      <c r="AR60" s="13">
        <v>80</v>
      </c>
      <c r="AS60" s="21">
        <v>0</v>
      </c>
      <c r="AT60" s="27">
        <v>0</v>
      </c>
      <c r="AU60" s="15">
        <v>0</v>
      </c>
      <c r="AV60" s="19">
        <v>3</v>
      </c>
      <c r="AW60" s="2" t="s">
        <v>180</v>
      </c>
      <c r="AX60" s="2">
        <v>5</v>
      </c>
      <c r="AY60" s="2" t="s">
        <v>205</v>
      </c>
      <c r="AZ60" s="2" t="s">
        <v>205</v>
      </c>
      <c r="BA60" s="2">
        <v>0</v>
      </c>
      <c r="BB60" s="2" t="s">
        <v>206</v>
      </c>
      <c r="BC60" s="2" t="s">
        <v>207</v>
      </c>
      <c r="BD60" s="2" t="s">
        <v>234</v>
      </c>
      <c r="BE60" s="2" t="s">
        <v>209</v>
      </c>
      <c r="BF60" s="3" t="s">
        <v>210</v>
      </c>
    </row>
    <row r="61" spans="1:58" x14ac:dyDescent="0.25">
      <c r="A61" s="1" t="s">
        <v>618</v>
      </c>
      <c r="B61" s="11">
        <v>45702</v>
      </c>
      <c r="C61" s="11">
        <v>45705</v>
      </c>
      <c r="D61" s="2" t="s">
        <v>180</v>
      </c>
      <c r="E61" s="2" t="s">
        <v>212</v>
      </c>
      <c r="F61" s="2" t="s">
        <v>1062</v>
      </c>
      <c r="G61" s="2" t="s">
        <v>183</v>
      </c>
      <c r="H61" s="2" t="s">
        <v>184</v>
      </c>
      <c r="I61" s="2" t="s">
        <v>185</v>
      </c>
      <c r="J61" s="2" t="s">
        <v>186</v>
      </c>
      <c r="K61" s="2" t="s">
        <v>184</v>
      </c>
      <c r="L61" s="2" t="s">
        <v>187</v>
      </c>
      <c r="M61" s="2" t="s">
        <v>188</v>
      </c>
      <c r="N61" s="2" t="s">
        <v>189</v>
      </c>
      <c r="O61" s="11">
        <v>43891</v>
      </c>
      <c r="P61" s="2" t="s">
        <v>619</v>
      </c>
      <c r="Q61" s="2" t="s">
        <v>620</v>
      </c>
      <c r="R61" s="2" t="s">
        <v>244</v>
      </c>
      <c r="S61" s="2" t="s">
        <v>245</v>
      </c>
      <c r="T61" s="2" t="s">
        <v>621</v>
      </c>
      <c r="U61" s="2" t="s">
        <v>247</v>
      </c>
      <c r="V61" s="13">
        <v>45</v>
      </c>
      <c r="W61" s="13">
        <v>24</v>
      </c>
      <c r="X61" s="2">
        <v>1.2</v>
      </c>
      <c r="Y61" s="2" t="s">
        <v>288</v>
      </c>
      <c r="Z61" s="2" t="s">
        <v>622</v>
      </c>
      <c r="AA61" s="2">
        <v>35</v>
      </c>
      <c r="AB61" s="2">
        <v>8</v>
      </c>
      <c r="AC61" s="2">
        <v>2</v>
      </c>
      <c r="AD61" s="2">
        <v>2</v>
      </c>
      <c r="AE61" s="17">
        <v>0</v>
      </c>
      <c r="AF61" s="17">
        <v>0.06</v>
      </c>
      <c r="AG61" s="23">
        <v>4</v>
      </c>
      <c r="AH61" s="2" t="s">
        <v>198</v>
      </c>
      <c r="AI61" s="2" t="s">
        <v>230</v>
      </c>
      <c r="AJ61" s="2" t="s">
        <v>1195</v>
      </c>
      <c r="AK61" s="2" t="s">
        <v>196</v>
      </c>
      <c r="AL61" s="2" t="s">
        <v>934</v>
      </c>
      <c r="AM61" s="2" t="s">
        <v>203</v>
      </c>
      <c r="AN61" s="2" t="s">
        <v>880</v>
      </c>
      <c r="AO61" s="25">
        <v>0</v>
      </c>
      <c r="AP61" s="25">
        <v>-11</v>
      </c>
      <c r="AQ61" s="21">
        <v>48</v>
      </c>
      <c r="AR61" s="13">
        <v>90</v>
      </c>
      <c r="AS61" s="21">
        <v>0</v>
      </c>
      <c r="AT61" s="27">
        <v>0</v>
      </c>
      <c r="AU61" s="15">
        <v>0</v>
      </c>
      <c r="AV61" s="19">
        <v>4</v>
      </c>
      <c r="AW61" s="2" t="s">
        <v>180</v>
      </c>
      <c r="AX61" s="2">
        <v>3</v>
      </c>
      <c r="AY61" s="2" t="s">
        <v>205</v>
      </c>
      <c r="AZ61" s="2" t="s">
        <v>205</v>
      </c>
      <c r="BA61" s="2">
        <v>0</v>
      </c>
      <c r="BB61" s="2" t="s">
        <v>880</v>
      </c>
      <c r="BC61" s="2" t="s">
        <v>880</v>
      </c>
      <c r="BD61" s="2" t="s">
        <v>254</v>
      </c>
      <c r="BE61" s="2" t="s">
        <v>209</v>
      </c>
      <c r="BF61" s="3" t="s">
        <v>210</v>
      </c>
    </row>
    <row r="62" spans="1:58" x14ac:dyDescent="0.25">
      <c r="A62" s="1" t="s">
        <v>623</v>
      </c>
      <c r="B62" s="11">
        <v>45702</v>
      </c>
      <c r="C62" s="11">
        <v>45707</v>
      </c>
      <c r="D62" s="2" t="s">
        <v>310</v>
      </c>
      <c r="E62" s="2" t="s">
        <v>181</v>
      </c>
      <c r="F62" s="2" t="s">
        <v>1063</v>
      </c>
      <c r="G62" s="2" t="s">
        <v>296</v>
      </c>
      <c r="H62" s="2" t="s">
        <v>297</v>
      </c>
      <c r="I62" s="2" t="s">
        <v>298</v>
      </c>
      <c r="J62" s="2" t="s">
        <v>299</v>
      </c>
      <c r="K62" s="2" t="s">
        <v>297</v>
      </c>
      <c r="L62" s="2" t="s">
        <v>187</v>
      </c>
      <c r="M62" s="2" t="s">
        <v>300</v>
      </c>
      <c r="N62" s="2" t="s">
        <v>301</v>
      </c>
      <c r="O62" s="11">
        <v>43332</v>
      </c>
      <c r="P62" s="2" t="s">
        <v>624</v>
      </c>
      <c r="Q62" s="2" t="s">
        <v>625</v>
      </c>
      <c r="R62" s="2" t="s">
        <v>192</v>
      </c>
      <c r="S62" s="2" t="s">
        <v>363</v>
      </c>
      <c r="T62" s="2" t="s">
        <v>626</v>
      </c>
      <c r="U62" s="2" t="s">
        <v>365</v>
      </c>
      <c r="V62" s="13">
        <v>35</v>
      </c>
      <c r="W62" s="13">
        <v>18</v>
      </c>
      <c r="X62" s="2">
        <v>0.2</v>
      </c>
      <c r="Y62" s="2" t="s">
        <v>288</v>
      </c>
      <c r="Z62" s="2" t="s">
        <v>627</v>
      </c>
      <c r="AA62" s="2">
        <v>60</v>
      </c>
      <c r="AB62" s="2">
        <v>15</v>
      </c>
      <c r="AC62" s="2">
        <v>1</v>
      </c>
      <c r="AD62" s="2">
        <v>2</v>
      </c>
      <c r="AE62" s="17">
        <v>0</v>
      </c>
      <c r="AF62" s="17">
        <v>0.05</v>
      </c>
      <c r="AG62" s="23">
        <v>3</v>
      </c>
      <c r="AH62" s="2" t="s">
        <v>289</v>
      </c>
      <c r="AI62" s="2" t="s">
        <v>199</v>
      </c>
      <c r="AJ62" s="2" t="s">
        <v>1196</v>
      </c>
      <c r="AK62" s="2" t="s">
        <v>271</v>
      </c>
      <c r="AL62" s="2" t="s">
        <v>935</v>
      </c>
      <c r="AM62" s="2" t="s">
        <v>203</v>
      </c>
      <c r="AN62" s="2" t="s">
        <v>880</v>
      </c>
      <c r="AO62" s="25">
        <v>0</v>
      </c>
      <c r="AP62" s="25">
        <v>-11</v>
      </c>
      <c r="AQ62" s="21">
        <v>36</v>
      </c>
      <c r="AR62" s="13">
        <v>70</v>
      </c>
      <c r="AS62" s="21">
        <v>0</v>
      </c>
      <c r="AT62" s="27">
        <v>0</v>
      </c>
      <c r="AU62" s="15">
        <v>0</v>
      </c>
      <c r="AV62" s="19">
        <v>3</v>
      </c>
      <c r="AW62" s="2" t="s">
        <v>310</v>
      </c>
      <c r="AX62" s="2">
        <v>5</v>
      </c>
      <c r="AY62" s="2" t="s">
        <v>205</v>
      </c>
      <c r="AZ62" s="2" t="s">
        <v>205</v>
      </c>
      <c r="BA62" s="2">
        <v>0</v>
      </c>
      <c r="BB62" s="2" t="s">
        <v>880</v>
      </c>
      <c r="BC62" s="2" t="s">
        <v>880</v>
      </c>
      <c r="BD62" s="2" t="s">
        <v>208</v>
      </c>
      <c r="BE62" s="2" t="s">
        <v>209</v>
      </c>
      <c r="BF62" s="3" t="s">
        <v>210</v>
      </c>
    </row>
    <row r="63" spans="1:58" x14ac:dyDescent="0.25">
      <c r="A63" s="1" t="s">
        <v>628</v>
      </c>
      <c r="B63" s="11">
        <v>45703</v>
      </c>
      <c r="C63" s="11">
        <v>45706</v>
      </c>
      <c r="D63" s="2" t="s">
        <v>180</v>
      </c>
      <c r="E63" s="2" t="s">
        <v>212</v>
      </c>
      <c r="F63" s="2" t="s">
        <v>1064</v>
      </c>
      <c r="G63" s="2" t="s">
        <v>312</v>
      </c>
      <c r="H63" s="2" t="s">
        <v>184</v>
      </c>
      <c r="I63" s="2" t="s">
        <v>313</v>
      </c>
      <c r="J63" s="2" t="s">
        <v>314</v>
      </c>
      <c r="K63" s="2" t="s">
        <v>184</v>
      </c>
      <c r="L63" s="2" t="s">
        <v>218</v>
      </c>
      <c r="M63" s="2" t="s">
        <v>315</v>
      </c>
      <c r="N63" s="2" t="s">
        <v>316</v>
      </c>
      <c r="O63" s="11">
        <v>44745</v>
      </c>
      <c r="P63" s="2" t="s">
        <v>629</v>
      </c>
      <c r="Q63" s="2" t="s">
        <v>630</v>
      </c>
      <c r="R63" s="2" t="s">
        <v>244</v>
      </c>
      <c r="S63" s="2" t="s">
        <v>631</v>
      </c>
      <c r="T63" s="2" t="s">
        <v>632</v>
      </c>
      <c r="U63" s="2" t="s">
        <v>247</v>
      </c>
      <c r="V63" s="13">
        <v>22</v>
      </c>
      <c r="W63" s="13">
        <v>11</v>
      </c>
      <c r="X63" s="2">
        <v>1.2</v>
      </c>
      <c r="Y63" s="2" t="s">
        <v>633</v>
      </c>
      <c r="Z63" s="2" t="s">
        <v>634</v>
      </c>
      <c r="AA63" s="2">
        <v>45</v>
      </c>
      <c r="AB63" s="2">
        <v>10</v>
      </c>
      <c r="AC63" s="2">
        <v>2</v>
      </c>
      <c r="AD63" s="2">
        <v>3</v>
      </c>
      <c r="AE63" s="17">
        <v>0</v>
      </c>
      <c r="AF63" s="17">
        <v>0.05</v>
      </c>
      <c r="AG63" s="23">
        <v>4</v>
      </c>
      <c r="AH63" s="2" t="s">
        <v>249</v>
      </c>
      <c r="AI63" s="2" t="s">
        <v>230</v>
      </c>
      <c r="AJ63" s="2" t="s">
        <v>1197</v>
      </c>
      <c r="AK63" s="2" t="s">
        <v>232</v>
      </c>
      <c r="AL63" s="2" t="s">
        <v>936</v>
      </c>
      <c r="AM63" s="2" t="s">
        <v>203</v>
      </c>
      <c r="AN63" s="2" t="s">
        <v>880</v>
      </c>
      <c r="AO63" s="25">
        <v>0</v>
      </c>
      <c r="AP63" s="25">
        <v>-7.25</v>
      </c>
      <c r="AQ63" s="21">
        <v>33</v>
      </c>
      <c r="AR63" s="13">
        <v>66</v>
      </c>
      <c r="AS63" s="21">
        <v>0</v>
      </c>
      <c r="AT63" s="27">
        <v>0</v>
      </c>
      <c r="AU63" s="15">
        <v>0</v>
      </c>
      <c r="AV63" s="19">
        <v>4</v>
      </c>
      <c r="AW63" s="2" t="s">
        <v>180</v>
      </c>
      <c r="AX63" s="2">
        <v>3</v>
      </c>
      <c r="AY63" s="2" t="s">
        <v>205</v>
      </c>
      <c r="AZ63" s="2" t="s">
        <v>205</v>
      </c>
      <c r="BA63" s="2">
        <v>0</v>
      </c>
      <c r="BB63" s="2" t="s">
        <v>880</v>
      </c>
      <c r="BC63" s="2" t="s">
        <v>880</v>
      </c>
      <c r="BD63" s="2" t="s">
        <v>254</v>
      </c>
      <c r="BE63" s="2" t="s">
        <v>209</v>
      </c>
      <c r="BF63" s="3" t="s">
        <v>210</v>
      </c>
    </row>
    <row r="64" spans="1:58" x14ac:dyDescent="0.25">
      <c r="A64" s="1" t="s">
        <v>635</v>
      </c>
      <c r="B64" s="11">
        <v>45703</v>
      </c>
      <c r="C64" s="11">
        <v>45708</v>
      </c>
      <c r="D64" s="2" t="s">
        <v>180</v>
      </c>
      <c r="E64" s="2" t="s">
        <v>181</v>
      </c>
      <c r="F64" s="2" t="s">
        <v>1065</v>
      </c>
      <c r="G64" s="2" t="s">
        <v>326</v>
      </c>
      <c r="H64" s="2" t="s">
        <v>215</v>
      </c>
      <c r="I64" s="2" t="s">
        <v>327</v>
      </c>
      <c r="J64" s="2" t="s">
        <v>217</v>
      </c>
      <c r="K64" s="2" t="s">
        <v>215</v>
      </c>
      <c r="L64" s="2" t="s">
        <v>218</v>
      </c>
      <c r="M64" s="2" t="s">
        <v>328</v>
      </c>
      <c r="N64" s="2" t="s">
        <v>329</v>
      </c>
      <c r="O64" s="11">
        <v>44300</v>
      </c>
      <c r="P64" s="2" t="s">
        <v>636</v>
      </c>
      <c r="Q64" s="2" t="s">
        <v>637</v>
      </c>
      <c r="R64" s="2" t="s">
        <v>192</v>
      </c>
      <c r="S64" s="2" t="s">
        <v>193</v>
      </c>
      <c r="T64" s="2" t="s">
        <v>550</v>
      </c>
      <c r="U64" s="2" t="s">
        <v>365</v>
      </c>
      <c r="V64" s="13">
        <v>18</v>
      </c>
      <c r="W64" s="13">
        <v>9</v>
      </c>
      <c r="X64" s="2">
        <v>0.05</v>
      </c>
      <c r="Y64" s="2" t="s">
        <v>288</v>
      </c>
      <c r="Z64" s="2" t="s">
        <v>638</v>
      </c>
      <c r="AA64" s="2">
        <v>200</v>
      </c>
      <c r="AB64" s="2">
        <v>40</v>
      </c>
      <c r="AC64" s="2">
        <v>1</v>
      </c>
      <c r="AD64" s="2">
        <v>5</v>
      </c>
      <c r="AE64" s="17">
        <v>0</v>
      </c>
      <c r="AF64" s="17">
        <v>0.05</v>
      </c>
      <c r="AG64" s="23">
        <v>2</v>
      </c>
      <c r="AH64" s="2" t="s">
        <v>366</v>
      </c>
      <c r="AI64" s="2" t="s">
        <v>199</v>
      </c>
      <c r="AJ64" s="2" t="s">
        <v>1198</v>
      </c>
      <c r="AK64" s="2" t="s">
        <v>201</v>
      </c>
      <c r="AL64" s="2" t="s">
        <v>937</v>
      </c>
      <c r="AM64" s="2" t="s">
        <v>203</v>
      </c>
      <c r="AN64" s="2" t="s">
        <v>880</v>
      </c>
      <c r="AO64" s="25">
        <v>0</v>
      </c>
      <c r="AP64" s="25">
        <v>-21.5</v>
      </c>
      <c r="AQ64" s="21">
        <v>45</v>
      </c>
      <c r="AR64" s="13">
        <v>90</v>
      </c>
      <c r="AS64" s="21">
        <v>0</v>
      </c>
      <c r="AT64" s="27">
        <v>0</v>
      </c>
      <c r="AU64" s="15">
        <v>0</v>
      </c>
      <c r="AV64" s="19">
        <v>2</v>
      </c>
      <c r="AW64" s="2" t="s">
        <v>180</v>
      </c>
      <c r="AX64" s="2">
        <v>5</v>
      </c>
      <c r="AY64" s="2" t="s">
        <v>204</v>
      </c>
      <c r="AZ64" s="2" t="s">
        <v>205</v>
      </c>
      <c r="BA64" s="2">
        <v>0</v>
      </c>
      <c r="BB64" s="2" t="s">
        <v>369</v>
      </c>
      <c r="BC64" s="2" t="s">
        <v>173</v>
      </c>
      <c r="BD64" s="2" t="s">
        <v>208</v>
      </c>
      <c r="BE64" s="2" t="s">
        <v>209</v>
      </c>
      <c r="BF64" s="3" t="s">
        <v>210</v>
      </c>
    </row>
    <row r="65" spans="1:58" x14ac:dyDescent="0.25">
      <c r="A65" s="1" t="s">
        <v>639</v>
      </c>
      <c r="B65" s="11">
        <v>45704</v>
      </c>
      <c r="C65" s="11">
        <v>45707</v>
      </c>
      <c r="D65" s="2" t="s">
        <v>180</v>
      </c>
      <c r="E65" s="2" t="s">
        <v>212</v>
      </c>
      <c r="F65" s="2" t="s">
        <v>1066</v>
      </c>
      <c r="G65" s="2" t="s">
        <v>338</v>
      </c>
      <c r="H65" s="2" t="s">
        <v>184</v>
      </c>
      <c r="I65" s="2" t="s">
        <v>339</v>
      </c>
      <c r="J65" s="2" t="s">
        <v>340</v>
      </c>
      <c r="K65" s="2" t="s">
        <v>184</v>
      </c>
      <c r="L65" s="2" t="s">
        <v>218</v>
      </c>
      <c r="M65" s="2" t="s">
        <v>341</v>
      </c>
      <c r="N65" s="2" t="s">
        <v>342</v>
      </c>
      <c r="O65" s="11">
        <v>44982</v>
      </c>
      <c r="P65" s="2" t="s">
        <v>640</v>
      </c>
      <c r="Q65" s="2" t="s">
        <v>641</v>
      </c>
      <c r="R65" s="2" t="s">
        <v>244</v>
      </c>
      <c r="S65" s="2" t="s">
        <v>332</v>
      </c>
      <c r="T65" s="2" t="s">
        <v>642</v>
      </c>
      <c r="U65" s="2" t="s">
        <v>247</v>
      </c>
      <c r="V65" s="13">
        <v>110</v>
      </c>
      <c r="W65" s="13">
        <v>63</v>
      </c>
      <c r="X65" s="2">
        <v>12</v>
      </c>
      <c r="Y65" s="2" t="s">
        <v>382</v>
      </c>
      <c r="Z65" s="2" t="s">
        <v>880</v>
      </c>
      <c r="AA65" s="2">
        <v>18</v>
      </c>
      <c r="AB65" s="2">
        <v>4</v>
      </c>
      <c r="AC65" s="2">
        <v>3</v>
      </c>
      <c r="AD65" s="2">
        <v>1</v>
      </c>
      <c r="AE65" s="17">
        <v>0.05</v>
      </c>
      <c r="AF65" s="17">
        <v>0.06</v>
      </c>
      <c r="AG65" s="23">
        <v>12</v>
      </c>
      <c r="AH65" s="2" t="s">
        <v>198</v>
      </c>
      <c r="AI65" s="2" t="s">
        <v>230</v>
      </c>
      <c r="AJ65" s="2" t="s">
        <v>1199</v>
      </c>
      <c r="AK65" s="2" t="s">
        <v>232</v>
      </c>
      <c r="AL65" s="2" t="s">
        <v>938</v>
      </c>
      <c r="AM65" s="2" t="s">
        <v>203</v>
      </c>
      <c r="AN65" s="2" t="s">
        <v>880</v>
      </c>
      <c r="AO65" s="25">
        <v>0</v>
      </c>
      <c r="AP65" s="25">
        <v>-2.4896029219608469</v>
      </c>
      <c r="AQ65" s="21">
        <v>63</v>
      </c>
      <c r="AR65" s="13">
        <v>110</v>
      </c>
      <c r="AS65" s="21">
        <v>5.5E-2</v>
      </c>
      <c r="AT65" s="27">
        <v>6.05</v>
      </c>
      <c r="AU65" s="15">
        <v>3.6299999999999995E-3</v>
      </c>
      <c r="AV65" s="19">
        <v>18.053629999999998</v>
      </c>
      <c r="AW65" s="2" t="s">
        <v>180</v>
      </c>
      <c r="AX65" s="2">
        <v>3</v>
      </c>
      <c r="AY65" s="2" t="s">
        <v>205</v>
      </c>
      <c r="AZ65" s="2" t="s">
        <v>205</v>
      </c>
      <c r="BA65" s="2">
        <v>0</v>
      </c>
      <c r="BB65" s="2" t="s">
        <v>252</v>
      </c>
      <c r="BC65" s="2" t="s">
        <v>253</v>
      </c>
      <c r="BD65" s="2" t="s">
        <v>254</v>
      </c>
      <c r="BE65" s="2" t="s">
        <v>209</v>
      </c>
      <c r="BF65" s="3" t="s">
        <v>210</v>
      </c>
    </row>
    <row r="66" spans="1:58" x14ac:dyDescent="0.25">
      <c r="A66" s="1" t="s">
        <v>643</v>
      </c>
      <c r="B66" s="11">
        <v>45704</v>
      </c>
      <c r="C66" s="11">
        <v>45709</v>
      </c>
      <c r="D66" s="2" t="s">
        <v>371</v>
      </c>
      <c r="E66" s="2" t="s">
        <v>181</v>
      </c>
      <c r="F66" s="2" t="s">
        <v>1067</v>
      </c>
      <c r="G66" s="2" t="s">
        <v>356</v>
      </c>
      <c r="H66" s="2" t="s">
        <v>297</v>
      </c>
      <c r="I66" s="2" t="s">
        <v>357</v>
      </c>
      <c r="J66" s="2" t="s">
        <v>358</v>
      </c>
      <c r="K66" s="2" t="s">
        <v>297</v>
      </c>
      <c r="L66" s="2" t="s">
        <v>218</v>
      </c>
      <c r="M66" s="2" t="s">
        <v>359</v>
      </c>
      <c r="N66" s="2" t="s">
        <v>360</v>
      </c>
      <c r="O66" s="11">
        <v>44895</v>
      </c>
      <c r="P66" s="2" t="s">
        <v>644</v>
      </c>
      <c r="Q66" s="2" t="s">
        <v>645</v>
      </c>
      <c r="R66" s="2" t="s">
        <v>223</v>
      </c>
      <c r="S66" s="2" t="s">
        <v>224</v>
      </c>
      <c r="T66" s="2" t="s">
        <v>225</v>
      </c>
      <c r="U66" s="2" t="s">
        <v>226</v>
      </c>
      <c r="V66" s="13">
        <v>8</v>
      </c>
      <c r="W66" s="13">
        <v>4</v>
      </c>
      <c r="X66" s="2">
        <v>0.1</v>
      </c>
      <c r="Y66" s="2" t="s">
        <v>382</v>
      </c>
      <c r="Z66" s="2" t="s">
        <v>646</v>
      </c>
      <c r="AA66" s="2">
        <v>400</v>
      </c>
      <c r="AB66" s="2">
        <v>80</v>
      </c>
      <c r="AC66" s="2">
        <v>1</v>
      </c>
      <c r="AD66" s="2">
        <v>15</v>
      </c>
      <c r="AE66" s="17">
        <v>0</v>
      </c>
      <c r="AF66" s="17">
        <v>0.04</v>
      </c>
      <c r="AG66" s="23">
        <v>2</v>
      </c>
      <c r="AH66" s="2" t="s">
        <v>229</v>
      </c>
      <c r="AI66" s="2" t="s">
        <v>230</v>
      </c>
      <c r="AJ66" s="2" t="s">
        <v>1200</v>
      </c>
      <c r="AK66" s="2" t="s">
        <v>196</v>
      </c>
      <c r="AL66" s="2" t="s">
        <v>939</v>
      </c>
      <c r="AM66" s="2" t="s">
        <v>203</v>
      </c>
      <c r="AN66" s="2" t="s">
        <v>880</v>
      </c>
      <c r="AO66" s="25">
        <v>0</v>
      </c>
      <c r="AP66" s="25">
        <v>-29</v>
      </c>
      <c r="AQ66" s="21">
        <v>60</v>
      </c>
      <c r="AR66" s="13">
        <v>120</v>
      </c>
      <c r="AS66" s="21">
        <v>0</v>
      </c>
      <c r="AT66" s="27">
        <v>0</v>
      </c>
      <c r="AU66" s="15">
        <v>0</v>
      </c>
      <c r="AV66" s="19">
        <v>2</v>
      </c>
      <c r="AW66" s="2" t="s">
        <v>371</v>
      </c>
      <c r="AX66" s="2">
        <v>5</v>
      </c>
      <c r="AY66" s="2" t="s">
        <v>205</v>
      </c>
      <c r="AZ66" s="2" t="s">
        <v>204</v>
      </c>
      <c r="BA66" s="2">
        <v>0.05</v>
      </c>
      <c r="BB66" s="2" t="s">
        <v>369</v>
      </c>
      <c r="BC66" s="2" t="s">
        <v>173</v>
      </c>
      <c r="BD66" s="2" t="s">
        <v>234</v>
      </c>
      <c r="BE66" s="2" t="s">
        <v>209</v>
      </c>
      <c r="BF66" s="3" t="s">
        <v>210</v>
      </c>
    </row>
    <row r="67" spans="1:58" x14ac:dyDescent="0.25">
      <c r="A67" s="1" t="s">
        <v>647</v>
      </c>
      <c r="B67" s="11">
        <v>45705</v>
      </c>
      <c r="C67" s="11">
        <v>45708</v>
      </c>
      <c r="D67" s="2" t="s">
        <v>180</v>
      </c>
      <c r="E67" s="2" t="s">
        <v>212</v>
      </c>
      <c r="F67" s="2" t="s">
        <v>1068</v>
      </c>
      <c r="G67" s="2" t="s">
        <v>373</v>
      </c>
      <c r="H67" s="2" t="s">
        <v>297</v>
      </c>
      <c r="I67" s="2" t="s">
        <v>374</v>
      </c>
      <c r="J67" s="2" t="s">
        <v>375</v>
      </c>
      <c r="K67" s="2" t="s">
        <v>297</v>
      </c>
      <c r="L67" s="2" t="s">
        <v>218</v>
      </c>
      <c r="M67" s="2" t="s">
        <v>376</v>
      </c>
      <c r="N67" s="2" t="s">
        <v>377</v>
      </c>
      <c r="O67" s="11">
        <v>45033</v>
      </c>
      <c r="P67" s="2" t="s">
        <v>648</v>
      </c>
      <c r="Q67" s="2" t="s">
        <v>649</v>
      </c>
      <c r="R67" s="2" t="s">
        <v>650</v>
      </c>
      <c r="S67" s="2" t="s">
        <v>651</v>
      </c>
      <c r="T67" s="2" t="s">
        <v>652</v>
      </c>
      <c r="U67" s="2" t="s">
        <v>653</v>
      </c>
      <c r="V67" s="13">
        <v>65</v>
      </c>
      <c r="W67" s="13">
        <v>36</v>
      </c>
      <c r="X67" s="2">
        <v>2.5</v>
      </c>
      <c r="Y67" s="2" t="s">
        <v>288</v>
      </c>
      <c r="Z67" s="2" t="s">
        <v>880</v>
      </c>
      <c r="AA67" s="2">
        <v>20</v>
      </c>
      <c r="AB67" s="2">
        <v>5</v>
      </c>
      <c r="AC67" s="2">
        <v>2</v>
      </c>
      <c r="AD67" s="2">
        <v>1</v>
      </c>
      <c r="AE67" s="17">
        <v>0</v>
      </c>
      <c r="AF67" s="17">
        <v>0.06</v>
      </c>
      <c r="AG67" s="23">
        <v>6</v>
      </c>
      <c r="AH67" s="2" t="s">
        <v>249</v>
      </c>
      <c r="AI67" s="2" t="s">
        <v>199</v>
      </c>
      <c r="AJ67" s="2" t="s">
        <v>1201</v>
      </c>
      <c r="AK67" s="2" t="s">
        <v>201</v>
      </c>
      <c r="AL67" s="2" t="s">
        <v>940</v>
      </c>
      <c r="AM67" s="2" t="s">
        <v>203</v>
      </c>
      <c r="AN67" s="2" t="s">
        <v>880</v>
      </c>
      <c r="AO67" s="25">
        <v>0</v>
      </c>
      <c r="AP67" s="25">
        <v>-5</v>
      </c>
      <c r="AQ67" s="21">
        <v>36</v>
      </c>
      <c r="AR67" s="13">
        <v>65</v>
      </c>
      <c r="AS67" s="21">
        <v>0</v>
      </c>
      <c r="AT67" s="27">
        <v>0</v>
      </c>
      <c r="AU67" s="15">
        <v>0</v>
      </c>
      <c r="AV67" s="19">
        <v>6</v>
      </c>
      <c r="AW67" s="2" t="s">
        <v>180</v>
      </c>
      <c r="AX67" s="2">
        <v>3</v>
      </c>
      <c r="AY67" s="2" t="s">
        <v>204</v>
      </c>
      <c r="AZ67" s="2" t="s">
        <v>205</v>
      </c>
      <c r="BA67" s="2">
        <v>0</v>
      </c>
      <c r="BB67" s="2" t="s">
        <v>880</v>
      </c>
      <c r="BC67" s="2" t="s">
        <v>880</v>
      </c>
      <c r="BD67" s="2" t="s">
        <v>654</v>
      </c>
      <c r="BE67" s="2" t="s">
        <v>209</v>
      </c>
      <c r="BF67" s="3" t="s">
        <v>210</v>
      </c>
    </row>
    <row r="68" spans="1:58" x14ac:dyDescent="0.25">
      <c r="A68" s="1" t="s">
        <v>655</v>
      </c>
      <c r="B68" s="11">
        <v>45705</v>
      </c>
      <c r="C68" s="11">
        <v>45710</v>
      </c>
      <c r="D68" s="2" t="s">
        <v>180</v>
      </c>
      <c r="E68" s="2" t="s">
        <v>181</v>
      </c>
      <c r="F68" s="2" t="s">
        <v>325</v>
      </c>
      <c r="G68" s="2" t="s">
        <v>214</v>
      </c>
      <c r="H68" s="2" t="s">
        <v>215</v>
      </c>
      <c r="I68" s="2" t="s">
        <v>216</v>
      </c>
      <c r="J68" s="2" t="s">
        <v>217</v>
      </c>
      <c r="K68" s="2" t="s">
        <v>215</v>
      </c>
      <c r="L68" s="2" t="s">
        <v>218</v>
      </c>
      <c r="M68" s="2" t="s">
        <v>219</v>
      </c>
      <c r="N68" s="2" t="s">
        <v>220</v>
      </c>
      <c r="O68" s="11">
        <v>44362</v>
      </c>
      <c r="P68" s="2" t="s">
        <v>656</v>
      </c>
      <c r="Q68" s="2" t="s">
        <v>657</v>
      </c>
      <c r="R68" s="2" t="s">
        <v>244</v>
      </c>
      <c r="S68" s="2" t="s">
        <v>519</v>
      </c>
      <c r="T68" s="2" t="s">
        <v>658</v>
      </c>
      <c r="U68" s="2" t="s">
        <v>247</v>
      </c>
      <c r="V68" s="13">
        <v>28</v>
      </c>
      <c r="W68" s="13">
        <v>15</v>
      </c>
      <c r="X68" s="2">
        <v>0.8</v>
      </c>
      <c r="Y68" s="2" t="s">
        <v>659</v>
      </c>
      <c r="Z68" s="2" t="s">
        <v>880</v>
      </c>
      <c r="AA68" s="2">
        <v>40</v>
      </c>
      <c r="AB68" s="2">
        <v>10</v>
      </c>
      <c r="AC68" s="2">
        <v>2</v>
      </c>
      <c r="AD68" s="2">
        <v>2</v>
      </c>
      <c r="AE68" s="17">
        <v>0</v>
      </c>
      <c r="AF68" s="17">
        <v>0.05</v>
      </c>
      <c r="AG68" s="23">
        <v>4</v>
      </c>
      <c r="AH68" s="2" t="s">
        <v>198</v>
      </c>
      <c r="AI68" s="2" t="s">
        <v>230</v>
      </c>
      <c r="AJ68" s="2" t="s">
        <v>1202</v>
      </c>
      <c r="AK68" s="2" t="s">
        <v>232</v>
      </c>
      <c r="AL68" s="2" t="s">
        <v>941</v>
      </c>
      <c r="AM68" s="2" t="s">
        <v>203</v>
      </c>
      <c r="AN68" s="2" t="s">
        <v>880</v>
      </c>
      <c r="AO68" s="25">
        <v>0</v>
      </c>
      <c r="AP68" s="25">
        <v>-6.5</v>
      </c>
      <c r="AQ68" s="21">
        <v>30</v>
      </c>
      <c r="AR68" s="13">
        <v>56</v>
      </c>
      <c r="AS68" s="21">
        <v>0</v>
      </c>
      <c r="AT68" s="27">
        <v>0</v>
      </c>
      <c r="AU68" s="15">
        <v>0</v>
      </c>
      <c r="AV68" s="19">
        <v>4</v>
      </c>
      <c r="AW68" s="2" t="s">
        <v>180</v>
      </c>
      <c r="AX68" s="2">
        <v>5</v>
      </c>
      <c r="AY68" s="2" t="s">
        <v>205</v>
      </c>
      <c r="AZ68" s="2" t="s">
        <v>205</v>
      </c>
      <c r="BA68" s="2">
        <v>0</v>
      </c>
      <c r="BB68" s="2" t="s">
        <v>206</v>
      </c>
      <c r="BC68" s="2" t="s">
        <v>880</v>
      </c>
      <c r="BD68" s="2" t="s">
        <v>254</v>
      </c>
      <c r="BE68" s="2" t="s">
        <v>209</v>
      </c>
      <c r="BF68" s="3" t="s">
        <v>210</v>
      </c>
    </row>
    <row r="69" spans="1:58" x14ac:dyDescent="0.25">
      <c r="A69" s="1" t="s">
        <v>660</v>
      </c>
      <c r="B69" s="11">
        <v>45706</v>
      </c>
      <c r="C69" s="11">
        <v>45709</v>
      </c>
      <c r="D69" s="2" t="s">
        <v>180</v>
      </c>
      <c r="E69" s="2" t="s">
        <v>212</v>
      </c>
      <c r="F69" s="2" t="s">
        <v>1069</v>
      </c>
      <c r="G69" s="2" t="s">
        <v>258</v>
      </c>
      <c r="H69" s="2" t="s">
        <v>184</v>
      </c>
      <c r="I69" s="2" t="s">
        <v>259</v>
      </c>
      <c r="J69" s="2" t="s">
        <v>260</v>
      </c>
      <c r="K69" s="2" t="s">
        <v>184</v>
      </c>
      <c r="L69" s="2" t="s">
        <v>218</v>
      </c>
      <c r="M69" s="2" t="s">
        <v>261</v>
      </c>
      <c r="N69" s="2" t="s">
        <v>262</v>
      </c>
      <c r="O69" s="11">
        <v>44140</v>
      </c>
      <c r="P69" s="2" t="s">
        <v>661</v>
      </c>
      <c r="Q69" s="2" t="s">
        <v>662</v>
      </c>
      <c r="R69" s="2" t="s">
        <v>265</v>
      </c>
      <c r="S69" s="2" t="s">
        <v>266</v>
      </c>
      <c r="T69" s="2" t="s">
        <v>465</v>
      </c>
      <c r="U69" s="2" t="s">
        <v>268</v>
      </c>
      <c r="V69" s="13">
        <v>90</v>
      </c>
      <c r="W69" s="13">
        <v>50</v>
      </c>
      <c r="X69" s="2">
        <v>10</v>
      </c>
      <c r="Y69" s="2" t="s">
        <v>288</v>
      </c>
      <c r="Z69" s="2" t="s">
        <v>663</v>
      </c>
      <c r="AA69" s="2">
        <v>15</v>
      </c>
      <c r="AB69" s="2">
        <v>4</v>
      </c>
      <c r="AC69" s="2">
        <v>2</v>
      </c>
      <c r="AD69" s="2">
        <v>1</v>
      </c>
      <c r="AE69" s="17">
        <v>0.05</v>
      </c>
      <c r="AF69" s="17">
        <v>0.06</v>
      </c>
      <c r="AG69" s="23">
        <v>8</v>
      </c>
      <c r="AH69" s="2" t="s">
        <v>289</v>
      </c>
      <c r="AI69" s="2" t="s">
        <v>230</v>
      </c>
      <c r="AJ69" s="2" t="s">
        <v>1203</v>
      </c>
      <c r="AK69" s="2" t="s">
        <v>196</v>
      </c>
      <c r="AL69" s="2" t="s">
        <v>942</v>
      </c>
      <c r="AM69" s="2" t="s">
        <v>203</v>
      </c>
      <c r="AN69" s="2" t="s">
        <v>880</v>
      </c>
      <c r="AO69" s="25">
        <v>0</v>
      </c>
      <c r="AP69" s="25">
        <v>-3.1485409996158449</v>
      </c>
      <c r="AQ69" s="21">
        <v>50</v>
      </c>
      <c r="AR69" s="13">
        <v>90</v>
      </c>
      <c r="AS69" s="21">
        <v>4.4999999999999998E-2</v>
      </c>
      <c r="AT69" s="27">
        <v>4.05</v>
      </c>
      <c r="AU69" s="15">
        <v>2.4299999999999999E-3</v>
      </c>
      <c r="AV69" s="19">
        <v>12.052430000000001</v>
      </c>
      <c r="AW69" s="2" t="s">
        <v>180</v>
      </c>
      <c r="AX69" s="2">
        <v>3</v>
      </c>
      <c r="AY69" s="2" t="s">
        <v>205</v>
      </c>
      <c r="AZ69" s="2" t="s">
        <v>205</v>
      </c>
      <c r="BA69" s="2">
        <v>0</v>
      </c>
      <c r="BB69" s="2" t="s">
        <v>291</v>
      </c>
      <c r="BC69" s="2" t="s">
        <v>292</v>
      </c>
      <c r="BD69" s="2" t="s">
        <v>273</v>
      </c>
      <c r="BE69" s="2" t="s">
        <v>255</v>
      </c>
      <c r="BF69" s="3" t="s">
        <v>210</v>
      </c>
    </row>
    <row r="70" spans="1:58" x14ac:dyDescent="0.25">
      <c r="A70" s="1" t="s">
        <v>664</v>
      </c>
      <c r="B70" s="11">
        <v>45706</v>
      </c>
      <c r="C70" s="11">
        <v>45711</v>
      </c>
      <c r="D70" s="2" t="s">
        <v>310</v>
      </c>
      <c r="E70" s="2" t="s">
        <v>181</v>
      </c>
      <c r="F70" s="2" t="s">
        <v>1070</v>
      </c>
      <c r="G70" s="2" t="s">
        <v>276</v>
      </c>
      <c r="H70" s="2" t="s">
        <v>277</v>
      </c>
      <c r="I70" s="2" t="s">
        <v>278</v>
      </c>
      <c r="J70" s="2" t="s">
        <v>279</v>
      </c>
      <c r="K70" s="2" t="s">
        <v>277</v>
      </c>
      <c r="L70" s="2" t="s">
        <v>187</v>
      </c>
      <c r="M70" s="2" t="s">
        <v>280</v>
      </c>
      <c r="N70" s="2" t="s">
        <v>281</v>
      </c>
      <c r="O70" s="11">
        <v>43508</v>
      </c>
      <c r="P70" s="2" t="s">
        <v>665</v>
      </c>
      <c r="Q70" s="2" t="s">
        <v>666</v>
      </c>
      <c r="R70" s="2" t="s">
        <v>244</v>
      </c>
      <c r="S70" s="2" t="s">
        <v>667</v>
      </c>
      <c r="T70" s="2" t="s">
        <v>668</v>
      </c>
      <c r="U70" s="2" t="s">
        <v>247</v>
      </c>
      <c r="V70" s="13">
        <v>55</v>
      </c>
      <c r="W70" s="13">
        <v>30</v>
      </c>
      <c r="X70" s="2">
        <v>1.2</v>
      </c>
      <c r="Y70" s="2" t="s">
        <v>227</v>
      </c>
      <c r="Z70" s="2" t="s">
        <v>669</v>
      </c>
      <c r="AA70" s="2">
        <v>30</v>
      </c>
      <c r="AB70" s="2">
        <v>7</v>
      </c>
      <c r="AC70" s="2">
        <v>2</v>
      </c>
      <c r="AD70" s="2">
        <v>2</v>
      </c>
      <c r="AE70" s="17">
        <v>0</v>
      </c>
      <c r="AF70" s="17">
        <v>0.06</v>
      </c>
      <c r="AG70" s="23">
        <v>5</v>
      </c>
      <c r="AH70" s="2" t="s">
        <v>198</v>
      </c>
      <c r="AI70" s="2" t="s">
        <v>199</v>
      </c>
      <c r="AJ70" s="2" t="s">
        <v>1204</v>
      </c>
      <c r="AK70" s="2" t="s">
        <v>271</v>
      </c>
      <c r="AL70" s="2" t="s">
        <v>943</v>
      </c>
      <c r="AM70" s="2" t="s">
        <v>203</v>
      </c>
      <c r="AN70" s="2" t="s">
        <v>880</v>
      </c>
      <c r="AO70" s="25">
        <v>0</v>
      </c>
      <c r="AP70" s="25">
        <v>-11</v>
      </c>
      <c r="AQ70" s="21">
        <v>60</v>
      </c>
      <c r="AR70" s="13">
        <v>110</v>
      </c>
      <c r="AS70" s="21">
        <v>0</v>
      </c>
      <c r="AT70" s="27">
        <v>0</v>
      </c>
      <c r="AU70" s="15">
        <v>0</v>
      </c>
      <c r="AV70" s="19">
        <v>5</v>
      </c>
      <c r="AW70" s="2" t="s">
        <v>310</v>
      </c>
      <c r="AX70" s="2">
        <v>5</v>
      </c>
      <c r="AY70" s="2" t="s">
        <v>205</v>
      </c>
      <c r="AZ70" s="2" t="s">
        <v>205</v>
      </c>
      <c r="BA70" s="2">
        <v>0</v>
      </c>
      <c r="BB70" s="2" t="s">
        <v>880</v>
      </c>
      <c r="BC70" s="2" t="s">
        <v>880</v>
      </c>
      <c r="BD70" s="2" t="s">
        <v>254</v>
      </c>
      <c r="BE70" s="2" t="s">
        <v>209</v>
      </c>
      <c r="BF70" s="3" t="s">
        <v>210</v>
      </c>
    </row>
    <row r="71" spans="1:58" x14ac:dyDescent="0.25">
      <c r="A71" s="1" t="s">
        <v>670</v>
      </c>
      <c r="B71" s="11">
        <v>45707</v>
      </c>
      <c r="C71" s="11">
        <v>45710</v>
      </c>
      <c r="D71" s="2" t="s">
        <v>180</v>
      </c>
      <c r="E71" s="2" t="s">
        <v>212</v>
      </c>
      <c r="F71" s="2" t="s">
        <v>1071</v>
      </c>
      <c r="G71" s="2" t="s">
        <v>237</v>
      </c>
      <c r="H71" s="2" t="s">
        <v>215</v>
      </c>
      <c r="I71" s="2" t="s">
        <v>238</v>
      </c>
      <c r="J71" s="2" t="s">
        <v>239</v>
      </c>
      <c r="K71" s="2" t="s">
        <v>215</v>
      </c>
      <c r="L71" s="2" t="s">
        <v>218</v>
      </c>
      <c r="M71" s="2" t="s">
        <v>240</v>
      </c>
      <c r="N71" s="2" t="s">
        <v>241</v>
      </c>
      <c r="O71" s="11">
        <v>44814</v>
      </c>
      <c r="P71" s="2" t="s">
        <v>671</v>
      </c>
      <c r="Q71" s="2" t="s">
        <v>672</v>
      </c>
      <c r="R71" s="2" t="s">
        <v>192</v>
      </c>
      <c r="S71" s="2" t="s">
        <v>673</v>
      </c>
      <c r="T71" s="2" t="s">
        <v>674</v>
      </c>
      <c r="U71" s="2" t="s">
        <v>365</v>
      </c>
      <c r="V71" s="13">
        <v>95</v>
      </c>
      <c r="W71" s="13">
        <v>53</v>
      </c>
      <c r="X71" s="2">
        <v>1.2</v>
      </c>
      <c r="Y71" s="2" t="s">
        <v>288</v>
      </c>
      <c r="Z71" s="2" t="s">
        <v>880</v>
      </c>
      <c r="AA71" s="2">
        <v>15</v>
      </c>
      <c r="AB71" s="2">
        <v>4</v>
      </c>
      <c r="AC71" s="2">
        <v>2</v>
      </c>
      <c r="AD71" s="2">
        <v>1</v>
      </c>
      <c r="AE71" s="17">
        <v>0</v>
      </c>
      <c r="AF71" s="17">
        <v>0.06</v>
      </c>
      <c r="AG71" s="23">
        <v>8</v>
      </c>
      <c r="AH71" s="2" t="s">
        <v>366</v>
      </c>
      <c r="AI71" s="2" t="s">
        <v>199</v>
      </c>
      <c r="AJ71" s="2" t="s">
        <v>1205</v>
      </c>
      <c r="AK71" s="2" t="s">
        <v>271</v>
      </c>
      <c r="AL71" s="2" t="s">
        <v>944</v>
      </c>
      <c r="AM71" s="2" t="s">
        <v>203</v>
      </c>
      <c r="AN71" s="2" t="s">
        <v>880</v>
      </c>
      <c r="AO71" s="25">
        <v>0</v>
      </c>
      <c r="AP71" s="25">
        <v>-5.625</v>
      </c>
      <c r="AQ71" s="21">
        <v>53</v>
      </c>
      <c r="AR71" s="13">
        <v>95</v>
      </c>
      <c r="AS71" s="21">
        <v>0</v>
      </c>
      <c r="AT71" s="27">
        <v>0</v>
      </c>
      <c r="AU71" s="15">
        <v>0</v>
      </c>
      <c r="AV71" s="19">
        <v>8</v>
      </c>
      <c r="AW71" s="2" t="s">
        <v>180</v>
      </c>
      <c r="AX71" s="2">
        <v>3</v>
      </c>
      <c r="AY71" s="2" t="s">
        <v>205</v>
      </c>
      <c r="AZ71" s="2" t="s">
        <v>205</v>
      </c>
      <c r="BA71" s="2">
        <v>0</v>
      </c>
      <c r="BB71" s="2" t="s">
        <v>880</v>
      </c>
      <c r="BC71" s="2" t="s">
        <v>880</v>
      </c>
      <c r="BD71" s="2" t="s">
        <v>208</v>
      </c>
      <c r="BE71" s="2" t="s">
        <v>209</v>
      </c>
      <c r="BF71" s="3" t="s">
        <v>210</v>
      </c>
    </row>
    <row r="72" spans="1:58" x14ac:dyDescent="0.25">
      <c r="A72" s="1" t="s">
        <v>675</v>
      </c>
      <c r="B72" s="11">
        <v>45707</v>
      </c>
      <c r="C72" s="11">
        <v>45712</v>
      </c>
      <c r="D72" s="2" t="s">
        <v>180</v>
      </c>
      <c r="E72" s="2" t="s">
        <v>181</v>
      </c>
      <c r="F72" s="2" t="s">
        <v>1072</v>
      </c>
      <c r="G72" s="2" t="s">
        <v>183</v>
      </c>
      <c r="H72" s="2" t="s">
        <v>184</v>
      </c>
      <c r="I72" s="2" t="s">
        <v>185</v>
      </c>
      <c r="J72" s="2" t="s">
        <v>186</v>
      </c>
      <c r="K72" s="2" t="s">
        <v>184</v>
      </c>
      <c r="L72" s="2" t="s">
        <v>187</v>
      </c>
      <c r="M72" s="2" t="s">
        <v>188</v>
      </c>
      <c r="N72" s="2" t="s">
        <v>189</v>
      </c>
      <c r="O72" s="11">
        <v>43891</v>
      </c>
      <c r="P72" s="2" t="s">
        <v>676</v>
      </c>
      <c r="Q72" s="2" t="s">
        <v>677</v>
      </c>
      <c r="R72" s="2" t="s">
        <v>363</v>
      </c>
      <c r="S72" s="2" t="s">
        <v>678</v>
      </c>
      <c r="T72" s="2" t="s">
        <v>679</v>
      </c>
      <c r="U72" s="2" t="s">
        <v>388</v>
      </c>
      <c r="V72" s="13">
        <v>95</v>
      </c>
      <c r="W72" s="13">
        <v>52</v>
      </c>
      <c r="X72" s="2">
        <v>0.1</v>
      </c>
      <c r="Y72" s="2" t="s">
        <v>288</v>
      </c>
      <c r="Z72" s="2" t="s">
        <v>646</v>
      </c>
      <c r="AA72" s="2">
        <v>25</v>
      </c>
      <c r="AB72" s="2">
        <v>5</v>
      </c>
      <c r="AC72" s="2">
        <v>2</v>
      </c>
      <c r="AD72" s="2">
        <v>1</v>
      </c>
      <c r="AE72" s="17">
        <v>0.05</v>
      </c>
      <c r="AF72" s="17">
        <v>0.06</v>
      </c>
      <c r="AG72" s="23">
        <v>3</v>
      </c>
      <c r="AH72" s="2" t="s">
        <v>229</v>
      </c>
      <c r="AI72" s="2" t="s">
        <v>230</v>
      </c>
      <c r="AJ72" s="2" t="s">
        <v>1206</v>
      </c>
      <c r="AK72" s="2" t="s">
        <v>232</v>
      </c>
      <c r="AL72" s="2" t="s">
        <v>945</v>
      </c>
      <c r="AM72" s="2" t="s">
        <v>350</v>
      </c>
      <c r="AN72" s="2" t="s">
        <v>680</v>
      </c>
      <c r="AO72" s="25">
        <v>47.5</v>
      </c>
      <c r="AP72" s="25">
        <v>-5.9193032926901887</v>
      </c>
      <c r="AQ72" s="21">
        <v>52</v>
      </c>
      <c r="AR72" s="13">
        <v>95</v>
      </c>
      <c r="AS72" s="21">
        <v>4.7500000000000001E-2</v>
      </c>
      <c r="AT72" s="27">
        <v>4.5125000000000002</v>
      </c>
      <c r="AU72" s="15">
        <v>2.7074999999999998E-3</v>
      </c>
      <c r="AV72" s="19">
        <v>7.5152074999999998</v>
      </c>
      <c r="AW72" s="2" t="s">
        <v>180</v>
      </c>
      <c r="AX72" s="2">
        <v>5</v>
      </c>
      <c r="AY72" s="2" t="s">
        <v>205</v>
      </c>
      <c r="AZ72" s="2" t="s">
        <v>205</v>
      </c>
      <c r="BA72" s="2">
        <v>0</v>
      </c>
      <c r="BB72" s="2" t="s">
        <v>352</v>
      </c>
      <c r="BC72" s="2" t="s">
        <v>353</v>
      </c>
      <c r="BD72" s="2" t="s">
        <v>234</v>
      </c>
      <c r="BE72" s="2" t="s">
        <v>209</v>
      </c>
      <c r="BF72" s="3" t="s">
        <v>210</v>
      </c>
    </row>
    <row r="73" spans="1:58" x14ac:dyDescent="0.25">
      <c r="A73" s="1" t="s">
        <v>681</v>
      </c>
      <c r="B73" s="11">
        <v>45708</v>
      </c>
      <c r="C73" s="11">
        <v>45711</v>
      </c>
      <c r="D73" s="2" t="s">
        <v>180</v>
      </c>
      <c r="E73" s="2" t="s">
        <v>212</v>
      </c>
      <c r="F73" s="2" t="s">
        <v>1073</v>
      </c>
      <c r="G73" s="2" t="s">
        <v>296</v>
      </c>
      <c r="H73" s="2" t="s">
        <v>297</v>
      </c>
      <c r="I73" s="2" t="s">
        <v>298</v>
      </c>
      <c r="J73" s="2" t="s">
        <v>299</v>
      </c>
      <c r="K73" s="2" t="s">
        <v>297</v>
      </c>
      <c r="L73" s="2" t="s">
        <v>187</v>
      </c>
      <c r="M73" s="2" t="s">
        <v>300</v>
      </c>
      <c r="N73" s="2" t="s">
        <v>301</v>
      </c>
      <c r="O73" s="11">
        <v>43332</v>
      </c>
      <c r="P73" s="2" t="s">
        <v>682</v>
      </c>
      <c r="Q73" s="2" t="s">
        <v>683</v>
      </c>
      <c r="R73" s="2" t="s">
        <v>285</v>
      </c>
      <c r="S73" s="2" t="s">
        <v>284</v>
      </c>
      <c r="T73" s="2" t="s">
        <v>476</v>
      </c>
      <c r="U73" s="2" t="s">
        <v>287</v>
      </c>
      <c r="V73" s="13">
        <v>220</v>
      </c>
      <c r="W73" s="13">
        <v>128</v>
      </c>
      <c r="X73" s="2">
        <v>25</v>
      </c>
      <c r="Y73" s="2" t="s">
        <v>288</v>
      </c>
      <c r="Z73" s="2" t="s">
        <v>880</v>
      </c>
      <c r="AA73" s="2">
        <v>8</v>
      </c>
      <c r="AB73" s="2">
        <v>2</v>
      </c>
      <c r="AC73" s="2">
        <v>4</v>
      </c>
      <c r="AD73" s="2">
        <v>1</v>
      </c>
      <c r="AE73" s="17">
        <v>0</v>
      </c>
      <c r="AF73" s="17">
        <v>7.0000000000000007E-2</v>
      </c>
      <c r="AG73" s="23">
        <v>25</v>
      </c>
      <c r="AH73" s="2" t="s">
        <v>249</v>
      </c>
      <c r="AI73" s="2" t="s">
        <v>199</v>
      </c>
      <c r="AJ73" s="2" t="s">
        <v>1207</v>
      </c>
      <c r="AK73" s="2" t="s">
        <v>201</v>
      </c>
      <c r="AL73" s="2" t="s">
        <v>946</v>
      </c>
      <c r="AM73" s="2" t="s">
        <v>203</v>
      </c>
      <c r="AN73" s="2" t="s">
        <v>880</v>
      </c>
      <c r="AO73" s="25">
        <v>0</v>
      </c>
      <c r="AP73" s="25">
        <v>-4.12</v>
      </c>
      <c r="AQ73" s="21">
        <v>128</v>
      </c>
      <c r="AR73" s="13">
        <v>220</v>
      </c>
      <c r="AS73" s="21">
        <v>0</v>
      </c>
      <c r="AT73" s="27">
        <v>0</v>
      </c>
      <c r="AU73" s="15">
        <v>0</v>
      </c>
      <c r="AV73" s="19">
        <v>25</v>
      </c>
      <c r="AW73" s="2" t="s">
        <v>180</v>
      </c>
      <c r="AX73" s="2">
        <v>3</v>
      </c>
      <c r="AY73" s="2" t="s">
        <v>204</v>
      </c>
      <c r="AZ73" s="2" t="s">
        <v>205</v>
      </c>
      <c r="BA73" s="2">
        <v>0</v>
      </c>
      <c r="BB73" s="2" t="s">
        <v>291</v>
      </c>
      <c r="BC73" s="2" t="s">
        <v>292</v>
      </c>
      <c r="BD73" s="2" t="s">
        <v>293</v>
      </c>
      <c r="BE73" s="2" t="s">
        <v>209</v>
      </c>
      <c r="BF73" s="3" t="s">
        <v>210</v>
      </c>
    </row>
    <row r="74" spans="1:58" x14ac:dyDescent="0.25">
      <c r="A74" s="1" t="s">
        <v>684</v>
      </c>
      <c r="B74" s="11">
        <v>45708</v>
      </c>
      <c r="C74" s="11">
        <v>45713</v>
      </c>
      <c r="D74" s="2" t="s">
        <v>371</v>
      </c>
      <c r="E74" s="2" t="s">
        <v>181</v>
      </c>
      <c r="F74" s="2" t="s">
        <v>1074</v>
      </c>
      <c r="G74" s="2" t="s">
        <v>312</v>
      </c>
      <c r="H74" s="2" t="s">
        <v>184</v>
      </c>
      <c r="I74" s="2" t="s">
        <v>313</v>
      </c>
      <c r="J74" s="2" t="s">
        <v>314</v>
      </c>
      <c r="K74" s="2" t="s">
        <v>184</v>
      </c>
      <c r="L74" s="2" t="s">
        <v>218</v>
      </c>
      <c r="M74" s="2" t="s">
        <v>315</v>
      </c>
      <c r="N74" s="2" t="s">
        <v>316</v>
      </c>
      <c r="O74" s="11">
        <v>44745</v>
      </c>
      <c r="P74" s="2" t="s">
        <v>685</v>
      </c>
      <c r="Q74" s="2" t="s">
        <v>686</v>
      </c>
      <c r="R74" s="2" t="s">
        <v>244</v>
      </c>
      <c r="S74" s="2" t="s">
        <v>687</v>
      </c>
      <c r="T74" s="2" t="s">
        <v>688</v>
      </c>
      <c r="U74" s="2" t="s">
        <v>247</v>
      </c>
      <c r="V74" s="13">
        <v>120</v>
      </c>
      <c r="W74" s="13">
        <v>67</v>
      </c>
      <c r="X74" s="2">
        <v>4.5</v>
      </c>
      <c r="Y74" s="2" t="s">
        <v>288</v>
      </c>
      <c r="Z74" s="2">
        <v>25</v>
      </c>
      <c r="AA74" s="2">
        <v>5</v>
      </c>
      <c r="AB74" s="2">
        <v>3</v>
      </c>
      <c r="AC74" s="2">
        <v>1</v>
      </c>
      <c r="AD74" s="2">
        <v>0</v>
      </c>
      <c r="AE74" s="17">
        <v>0.06</v>
      </c>
      <c r="AF74" s="17">
        <v>0.12</v>
      </c>
      <c r="AG74" s="23">
        <v>0</v>
      </c>
      <c r="AH74" s="2" t="s">
        <v>249</v>
      </c>
      <c r="AI74" s="2" t="s">
        <v>230</v>
      </c>
      <c r="AJ74" s="2" t="s">
        <v>1208</v>
      </c>
      <c r="AK74" s="2" t="s">
        <v>201</v>
      </c>
      <c r="AL74" s="2" t="s">
        <v>947</v>
      </c>
      <c r="AM74" s="2" t="s">
        <v>203</v>
      </c>
      <c r="AN74" s="2">
        <v>0</v>
      </c>
      <c r="AO74" s="25">
        <v>44.17</v>
      </c>
      <c r="AP74" s="25">
        <v>0</v>
      </c>
      <c r="AQ74" s="21">
        <v>0</v>
      </c>
      <c r="AR74" s="13">
        <v>0</v>
      </c>
      <c r="AS74" s="21">
        <v>0</v>
      </c>
      <c r="AT74" s="27">
        <v>0</v>
      </c>
      <c r="AU74" s="15">
        <v>0</v>
      </c>
      <c r="AV74" s="19">
        <v>0</v>
      </c>
      <c r="AW74" s="2">
        <v>5</v>
      </c>
      <c r="AX74" s="2">
        <v>5</v>
      </c>
      <c r="AY74" s="2" t="s">
        <v>204</v>
      </c>
      <c r="AZ74" s="2" t="s">
        <v>205</v>
      </c>
      <c r="BA74" s="2">
        <v>0</v>
      </c>
      <c r="BB74" s="2" t="s">
        <v>880</v>
      </c>
      <c r="BC74" s="2" t="s">
        <v>654</v>
      </c>
      <c r="BD74" s="2" t="s">
        <v>209</v>
      </c>
      <c r="BE74" s="2" t="s">
        <v>210</v>
      </c>
      <c r="BF74" s="3"/>
    </row>
    <row r="75" spans="1:58" x14ac:dyDescent="0.25">
      <c r="A75" s="1" t="s">
        <v>689</v>
      </c>
      <c r="B75" s="11">
        <v>45709</v>
      </c>
      <c r="C75" s="11">
        <v>45712</v>
      </c>
      <c r="D75" s="2" t="s">
        <v>180</v>
      </c>
      <c r="E75" s="2" t="s">
        <v>212</v>
      </c>
      <c r="F75" s="2" t="s">
        <v>1075</v>
      </c>
      <c r="G75" s="2" t="s">
        <v>326</v>
      </c>
      <c r="H75" s="2" t="s">
        <v>215</v>
      </c>
      <c r="I75" s="2" t="s">
        <v>327</v>
      </c>
      <c r="J75" s="2" t="s">
        <v>217</v>
      </c>
      <c r="K75" s="2" t="s">
        <v>215</v>
      </c>
      <c r="L75" s="2" t="s">
        <v>218</v>
      </c>
      <c r="M75" s="2" t="s">
        <v>328</v>
      </c>
      <c r="N75" s="2" t="s">
        <v>329</v>
      </c>
      <c r="O75" s="11">
        <v>44300</v>
      </c>
      <c r="P75" s="2" t="s">
        <v>690</v>
      </c>
      <c r="Q75" s="2" t="s">
        <v>691</v>
      </c>
      <c r="R75" s="2" t="s">
        <v>402</v>
      </c>
      <c r="S75" s="2" t="s">
        <v>601</v>
      </c>
      <c r="T75" s="2" t="s">
        <v>404</v>
      </c>
      <c r="U75" s="2" t="s">
        <v>405</v>
      </c>
      <c r="V75" s="13">
        <v>65</v>
      </c>
      <c r="W75" s="13">
        <v>36</v>
      </c>
      <c r="X75" s="2">
        <v>1.1000000000000001</v>
      </c>
      <c r="Y75" s="2" t="s">
        <v>288</v>
      </c>
      <c r="Z75" s="2" t="s">
        <v>880</v>
      </c>
      <c r="AA75" s="2">
        <v>28</v>
      </c>
      <c r="AB75" s="2">
        <v>6</v>
      </c>
      <c r="AC75" s="2">
        <v>2</v>
      </c>
      <c r="AD75" s="2">
        <v>1</v>
      </c>
      <c r="AE75" s="17">
        <v>0</v>
      </c>
      <c r="AF75" s="17">
        <v>0.06</v>
      </c>
      <c r="AG75" s="23">
        <v>5</v>
      </c>
      <c r="AH75" s="2" t="s">
        <v>289</v>
      </c>
      <c r="AI75" s="2" t="s">
        <v>230</v>
      </c>
      <c r="AJ75" s="2" t="s">
        <v>1209</v>
      </c>
      <c r="AK75" s="2" t="s">
        <v>196</v>
      </c>
      <c r="AL75" s="2" t="s">
        <v>948</v>
      </c>
      <c r="AM75" s="2" t="s">
        <v>203</v>
      </c>
      <c r="AN75" s="2" t="s">
        <v>880</v>
      </c>
      <c r="AO75" s="25">
        <v>0</v>
      </c>
      <c r="AP75" s="25">
        <v>-6.2</v>
      </c>
      <c r="AQ75" s="21">
        <v>36</v>
      </c>
      <c r="AR75" s="13">
        <v>65</v>
      </c>
      <c r="AS75" s="21">
        <v>0</v>
      </c>
      <c r="AT75" s="27">
        <v>0</v>
      </c>
      <c r="AU75" s="15">
        <v>0</v>
      </c>
      <c r="AV75" s="19">
        <v>5</v>
      </c>
      <c r="AW75" s="2" t="s">
        <v>180</v>
      </c>
      <c r="AX75" s="2">
        <v>3</v>
      </c>
      <c r="AY75" s="2" t="s">
        <v>205</v>
      </c>
      <c r="AZ75" s="2" t="s">
        <v>205</v>
      </c>
      <c r="BA75" s="2">
        <v>0</v>
      </c>
      <c r="BB75" s="2" t="s">
        <v>880</v>
      </c>
      <c r="BC75" s="2" t="s">
        <v>880</v>
      </c>
      <c r="BD75" s="2" t="s">
        <v>539</v>
      </c>
      <c r="BE75" s="2" t="s">
        <v>209</v>
      </c>
      <c r="BF75" s="3" t="s">
        <v>210</v>
      </c>
    </row>
    <row r="76" spans="1:58" x14ac:dyDescent="0.25">
      <c r="A76" s="1" t="s">
        <v>692</v>
      </c>
      <c r="B76" s="11">
        <v>45709</v>
      </c>
      <c r="C76" s="11">
        <v>45714</v>
      </c>
      <c r="D76" s="2" t="s">
        <v>180</v>
      </c>
      <c r="E76" s="2" t="s">
        <v>181</v>
      </c>
      <c r="F76" s="2" t="s">
        <v>1076</v>
      </c>
      <c r="G76" s="2" t="s">
        <v>338</v>
      </c>
      <c r="H76" s="2" t="s">
        <v>184</v>
      </c>
      <c r="I76" s="2" t="s">
        <v>339</v>
      </c>
      <c r="J76" s="2" t="s">
        <v>340</v>
      </c>
      <c r="K76" s="2" t="s">
        <v>184</v>
      </c>
      <c r="L76" s="2" t="s">
        <v>218</v>
      </c>
      <c r="M76" s="2" t="s">
        <v>341</v>
      </c>
      <c r="N76" s="2" t="s">
        <v>342</v>
      </c>
      <c r="O76" s="11">
        <v>44982</v>
      </c>
      <c r="P76" s="2" t="s">
        <v>693</v>
      </c>
      <c r="Q76" s="2" t="s">
        <v>694</v>
      </c>
      <c r="R76" s="2" t="s">
        <v>285</v>
      </c>
      <c r="S76" s="2" t="s">
        <v>695</v>
      </c>
      <c r="T76" s="2" t="s">
        <v>696</v>
      </c>
      <c r="U76" s="2" t="s">
        <v>287</v>
      </c>
      <c r="V76" s="13">
        <v>4</v>
      </c>
      <c r="W76" s="13">
        <v>2</v>
      </c>
      <c r="X76" s="2">
        <v>0.1</v>
      </c>
      <c r="Y76" s="2" t="s">
        <v>227</v>
      </c>
      <c r="Z76" s="2" t="s">
        <v>880</v>
      </c>
      <c r="AA76" s="2">
        <v>500</v>
      </c>
      <c r="AB76" s="2">
        <v>100</v>
      </c>
      <c r="AC76" s="2">
        <v>1</v>
      </c>
      <c r="AD76" s="2">
        <v>25</v>
      </c>
      <c r="AE76" s="17">
        <v>0</v>
      </c>
      <c r="AF76" s="17">
        <v>0.04</v>
      </c>
      <c r="AG76" s="23">
        <v>2</v>
      </c>
      <c r="AH76" s="2" t="s">
        <v>229</v>
      </c>
      <c r="AI76" s="2" t="s">
        <v>230</v>
      </c>
      <c r="AJ76" s="2" t="s">
        <v>1210</v>
      </c>
      <c r="AK76" s="2" t="s">
        <v>232</v>
      </c>
      <c r="AL76" s="2" t="s">
        <v>949</v>
      </c>
      <c r="AM76" s="2" t="s">
        <v>203</v>
      </c>
      <c r="AN76" s="2" t="s">
        <v>880</v>
      </c>
      <c r="AO76" s="25">
        <v>0</v>
      </c>
      <c r="AP76" s="25">
        <v>-24</v>
      </c>
      <c r="AQ76" s="21">
        <v>50</v>
      </c>
      <c r="AR76" s="13">
        <v>100</v>
      </c>
      <c r="AS76" s="21">
        <v>0</v>
      </c>
      <c r="AT76" s="27">
        <v>0</v>
      </c>
      <c r="AU76" s="15">
        <v>0</v>
      </c>
      <c r="AV76" s="19">
        <v>2</v>
      </c>
      <c r="AW76" s="2" t="s">
        <v>180</v>
      </c>
      <c r="AX76" s="2">
        <v>5</v>
      </c>
      <c r="AY76" s="2" t="s">
        <v>205</v>
      </c>
      <c r="AZ76" s="2" t="s">
        <v>204</v>
      </c>
      <c r="BA76" s="2">
        <v>0.05</v>
      </c>
      <c r="BB76" s="2" t="s">
        <v>369</v>
      </c>
      <c r="BC76" s="2" t="s">
        <v>173</v>
      </c>
      <c r="BD76" s="2" t="s">
        <v>422</v>
      </c>
      <c r="BE76" s="2" t="s">
        <v>209</v>
      </c>
      <c r="BF76" s="3" t="s">
        <v>210</v>
      </c>
    </row>
    <row r="77" spans="1:58" x14ac:dyDescent="0.25">
      <c r="A77" s="1" t="s">
        <v>697</v>
      </c>
      <c r="B77" s="11">
        <v>45710</v>
      </c>
      <c r="C77" s="11">
        <v>45713</v>
      </c>
      <c r="D77" s="2" t="s">
        <v>180</v>
      </c>
      <c r="E77" s="2" t="s">
        <v>212</v>
      </c>
      <c r="F77" s="2" t="s">
        <v>1077</v>
      </c>
      <c r="G77" s="2" t="s">
        <v>356</v>
      </c>
      <c r="H77" s="2" t="s">
        <v>297</v>
      </c>
      <c r="I77" s="2" t="s">
        <v>357</v>
      </c>
      <c r="J77" s="2" t="s">
        <v>358</v>
      </c>
      <c r="K77" s="2" t="s">
        <v>297</v>
      </c>
      <c r="L77" s="2" t="s">
        <v>218</v>
      </c>
      <c r="M77" s="2" t="s">
        <v>359</v>
      </c>
      <c r="N77" s="2" t="s">
        <v>360</v>
      </c>
      <c r="O77" s="11">
        <v>44895</v>
      </c>
      <c r="P77" s="2" t="s">
        <v>698</v>
      </c>
      <c r="Q77" s="2" t="s">
        <v>699</v>
      </c>
      <c r="R77" s="2" t="s">
        <v>244</v>
      </c>
      <c r="S77" s="2" t="s">
        <v>651</v>
      </c>
      <c r="T77" s="2" t="s">
        <v>700</v>
      </c>
      <c r="U77" s="2" t="s">
        <v>247</v>
      </c>
      <c r="V77" s="13">
        <v>55</v>
      </c>
      <c r="W77" s="13">
        <v>30</v>
      </c>
      <c r="X77" s="2">
        <v>2.5</v>
      </c>
      <c r="Y77" s="2" t="s">
        <v>248</v>
      </c>
      <c r="Z77" s="2" t="s">
        <v>880</v>
      </c>
      <c r="AA77" s="2">
        <v>20</v>
      </c>
      <c r="AB77" s="2">
        <v>5</v>
      </c>
      <c r="AC77" s="2">
        <v>2</v>
      </c>
      <c r="AD77" s="2">
        <v>1</v>
      </c>
      <c r="AE77" s="17">
        <v>0.05</v>
      </c>
      <c r="AF77" s="17">
        <v>0.05</v>
      </c>
      <c r="AG77" s="23">
        <v>5</v>
      </c>
      <c r="AH77" s="2" t="s">
        <v>198</v>
      </c>
      <c r="AI77" s="2" t="s">
        <v>199</v>
      </c>
      <c r="AJ77" s="2" t="s">
        <v>1211</v>
      </c>
      <c r="AK77" s="2" t="s">
        <v>271</v>
      </c>
      <c r="AL77" s="2" t="s">
        <v>950</v>
      </c>
      <c r="AM77" s="2" t="s">
        <v>203</v>
      </c>
      <c r="AN77" s="2" t="s">
        <v>880</v>
      </c>
      <c r="AO77" s="25">
        <v>0</v>
      </c>
      <c r="AP77" s="25">
        <v>-3.6059910509432211</v>
      </c>
      <c r="AQ77" s="21">
        <v>30</v>
      </c>
      <c r="AR77" s="13">
        <v>55</v>
      </c>
      <c r="AS77" s="21">
        <v>2.75E-2</v>
      </c>
      <c r="AT77" s="27">
        <v>1.5125</v>
      </c>
      <c r="AU77" s="15">
        <v>7.5624999999999998E-4</v>
      </c>
      <c r="AV77" s="19">
        <v>6.5132562499999995</v>
      </c>
      <c r="AW77" s="2" t="s">
        <v>180</v>
      </c>
      <c r="AX77" s="2">
        <v>3</v>
      </c>
      <c r="AY77" s="2" t="s">
        <v>205</v>
      </c>
      <c r="AZ77" s="2" t="s">
        <v>205</v>
      </c>
      <c r="BA77" s="2">
        <v>0</v>
      </c>
      <c r="BB77" s="2" t="s">
        <v>252</v>
      </c>
      <c r="BC77" s="2" t="s">
        <v>253</v>
      </c>
      <c r="BD77" s="2" t="s">
        <v>254</v>
      </c>
      <c r="BE77" s="2" t="s">
        <v>255</v>
      </c>
      <c r="BF77" s="3" t="s">
        <v>210</v>
      </c>
    </row>
    <row r="78" spans="1:58" x14ac:dyDescent="0.25">
      <c r="A78" s="1" t="s">
        <v>701</v>
      </c>
      <c r="B78" s="11">
        <v>45710</v>
      </c>
      <c r="C78" s="11">
        <v>45715</v>
      </c>
      <c r="D78" s="2" t="s">
        <v>310</v>
      </c>
      <c r="E78" s="2" t="s">
        <v>181</v>
      </c>
      <c r="F78" s="2" t="s">
        <v>1078</v>
      </c>
      <c r="G78" s="2" t="s">
        <v>373</v>
      </c>
      <c r="H78" s="2" t="s">
        <v>297</v>
      </c>
      <c r="I78" s="2" t="s">
        <v>374</v>
      </c>
      <c r="J78" s="2" t="s">
        <v>375</v>
      </c>
      <c r="K78" s="2" t="s">
        <v>297</v>
      </c>
      <c r="L78" s="2" t="s">
        <v>218</v>
      </c>
      <c r="M78" s="2" t="s">
        <v>376</v>
      </c>
      <c r="N78" s="2" t="s">
        <v>377</v>
      </c>
      <c r="O78" s="11">
        <v>45033</v>
      </c>
      <c r="P78" s="2" t="s">
        <v>702</v>
      </c>
      <c r="Q78" s="2" t="s">
        <v>703</v>
      </c>
      <c r="R78" s="2" t="s">
        <v>265</v>
      </c>
      <c r="S78" s="2" t="s">
        <v>363</v>
      </c>
      <c r="T78" s="2" t="s">
        <v>704</v>
      </c>
      <c r="U78" s="2" t="s">
        <v>268</v>
      </c>
      <c r="V78" s="13">
        <v>15</v>
      </c>
      <c r="W78" s="13">
        <v>8</v>
      </c>
      <c r="X78" s="2">
        <v>0.2</v>
      </c>
      <c r="Y78" s="2" t="s">
        <v>288</v>
      </c>
      <c r="Z78" s="2" t="s">
        <v>705</v>
      </c>
      <c r="AA78" s="2">
        <v>120</v>
      </c>
      <c r="AB78" s="2">
        <v>25</v>
      </c>
      <c r="AC78" s="2">
        <v>1</v>
      </c>
      <c r="AD78" s="2">
        <v>4</v>
      </c>
      <c r="AE78" s="17">
        <v>0</v>
      </c>
      <c r="AF78" s="17">
        <v>0.05</v>
      </c>
      <c r="AG78" s="23">
        <v>3</v>
      </c>
      <c r="AH78" s="2" t="s">
        <v>249</v>
      </c>
      <c r="AI78" s="2" t="s">
        <v>230</v>
      </c>
      <c r="AJ78" s="2" t="s">
        <v>1212</v>
      </c>
      <c r="AK78" s="2" t="s">
        <v>232</v>
      </c>
      <c r="AL78" s="2" t="s">
        <v>951</v>
      </c>
      <c r="AM78" s="2" t="s">
        <v>203</v>
      </c>
      <c r="AN78" s="2" t="s">
        <v>880</v>
      </c>
      <c r="AO78" s="25">
        <v>0</v>
      </c>
      <c r="AP78" s="25">
        <v>-9.6666666666666661</v>
      </c>
      <c r="AQ78" s="21">
        <v>32</v>
      </c>
      <c r="AR78" s="13">
        <v>60</v>
      </c>
      <c r="AS78" s="21">
        <v>0</v>
      </c>
      <c r="AT78" s="27">
        <v>0</v>
      </c>
      <c r="AU78" s="15">
        <v>0</v>
      </c>
      <c r="AV78" s="19">
        <v>3</v>
      </c>
      <c r="AW78" s="2" t="s">
        <v>310</v>
      </c>
      <c r="AX78" s="2">
        <v>5</v>
      </c>
      <c r="AY78" s="2" t="s">
        <v>205</v>
      </c>
      <c r="AZ78" s="2" t="s">
        <v>205</v>
      </c>
      <c r="BA78" s="2">
        <v>0</v>
      </c>
      <c r="BB78" s="2" t="s">
        <v>880</v>
      </c>
      <c r="BC78" s="2" t="s">
        <v>880</v>
      </c>
      <c r="BD78" s="2" t="s">
        <v>273</v>
      </c>
      <c r="BE78" s="2" t="s">
        <v>209</v>
      </c>
      <c r="BF78" s="3" t="s">
        <v>210</v>
      </c>
    </row>
    <row r="79" spans="1:58" x14ac:dyDescent="0.25">
      <c r="A79" s="1" t="s">
        <v>706</v>
      </c>
      <c r="B79" s="11">
        <v>45711</v>
      </c>
      <c r="C79" s="11">
        <v>45714</v>
      </c>
      <c r="D79" s="2" t="s">
        <v>180</v>
      </c>
      <c r="E79" s="2" t="s">
        <v>212</v>
      </c>
      <c r="F79" s="2" t="s">
        <v>295</v>
      </c>
      <c r="G79" s="2" t="s">
        <v>214</v>
      </c>
      <c r="H79" s="2" t="s">
        <v>215</v>
      </c>
      <c r="I79" s="2" t="s">
        <v>216</v>
      </c>
      <c r="J79" s="2" t="s">
        <v>217</v>
      </c>
      <c r="K79" s="2" t="s">
        <v>215</v>
      </c>
      <c r="L79" s="2" t="s">
        <v>218</v>
      </c>
      <c r="M79" s="2" t="s">
        <v>219</v>
      </c>
      <c r="N79" s="2" t="s">
        <v>220</v>
      </c>
      <c r="O79" s="11">
        <v>44362</v>
      </c>
      <c r="P79" s="2" t="s">
        <v>707</v>
      </c>
      <c r="Q79" s="2" t="s">
        <v>708</v>
      </c>
      <c r="R79" s="2" t="s">
        <v>244</v>
      </c>
      <c r="S79" s="2" t="s">
        <v>519</v>
      </c>
      <c r="T79" s="2" t="s">
        <v>709</v>
      </c>
      <c r="U79" s="2" t="s">
        <v>247</v>
      </c>
      <c r="V79" s="13">
        <v>140</v>
      </c>
      <c r="W79" s="13">
        <v>79</v>
      </c>
      <c r="X79" s="2">
        <v>6.5</v>
      </c>
      <c r="Y79" s="2" t="s">
        <v>461</v>
      </c>
      <c r="Z79" s="2" t="s">
        <v>710</v>
      </c>
      <c r="AA79" s="2">
        <v>12</v>
      </c>
      <c r="AB79" s="2">
        <v>3</v>
      </c>
      <c r="AC79" s="2">
        <v>3</v>
      </c>
      <c r="AD79" s="2">
        <v>1</v>
      </c>
      <c r="AE79" s="17">
        <v>0</v>
      </c>
      <c r="AF79" s="17">
        <v>0.06</v>
      </c>
      <c r="AG79" s="23">
        <v>15</v>
      </c>
      <c r="AH79" s="2" t="s">
        <v>366</v>
      </c>
      <c r="AI79" s="2" t="s">
        <v>199</v>
      </c>
      <c r="AJ79" s="2" t="s">
        <v>1213</v>
      </c>
      <c r="AK79" s="2" t="s">
        <v>271</v>
      </c>
      <c r="AL79" s="2" t="s">
        <v>952</v>
      </c>
      <c r="AM79" s="2" t="s">
        <v>203</v>
      </c>
      <c r="AN79" s="2" t="s">
        <v>880</v>
      </c>
      <c r="AO79" s="25">
        <v>0</v>
      </c>
      <c r="AP79" s="25">
        <v>-4.2666666666666666</v>
      </c>
      <c r="AQ79" s="21">
        <v>79</v>
      </c>
      <c r="AR79" s="13">
        <v>140</v>
      </c>
      <c r="AS79" s="21">
        <v>0</v>
      </c>
      <c r="AT79" s="27">
        <v>0</v>
      </c>
      <c r="AU79" s="15">
        <v>0</v>
      </c>
      <c r="AV79" s="19">
        <v>15</v>
      </c>
      <c r="AW79" s="2" t="s">
        <v>180</v>
      </c>
      <c r="AX79" s="2">
        <v>3</v>
      </c>
      <c r="AY79" s="2" t="s">
        <v>205</v>
      </c>
      <c r="AZ79" s="2" t="s">
        <v>205</v>
      </c>
      <c r="BA79" s="2">
        <v>0</v>
      </c>
      <c r="BB79" s="2" t="s">
        <v>880</v>
      </c>
      <c r="BC79" s="2" t="s">
        <v>880</v>
      </c>
      <c r="BD79" s="2" t="s">
        <v>254</v>
      </c>
      <c r="BE79" s="2" t="s">
        <v>209</v>
      </c>
      <c r="BF79" s="3" t="s">
        <v>210</v>
      </c>
    </row>
    <row r="80" spans="1:58" x14ac:dyDescent="0.25">
      <c r="A80" s="1" t="s">
        <v>711</v>
      </c>
      <c r="B80" s="11">
        <v>45711</v>
      </c>
      <c r="C80" s="11">
        <v>45716</v>
      </c>
      <c r="D80" s="2" t="s">
        <v>180</v>
      </c>
      <c r="E80" s="2" t="s">
        <v>181</v>
      </c>
      <c r="F80" s="2" t="s">
        <v>1079</v>
      </c>
      <c r="G80" s="2" t="s">
        <v>258</v>
      </c>
      <c r="H80" s="2" t="s">
        <v>184</v>
      </c>
      <c r="I80" s="2" t="s">
        <v>259</v>
      </c>
      <c r="J80" s="2" t="s">
        <v>260</v>
      </c>
      <c r="K80" s="2" t="s">
        <v>184</v>
      </c>
      <c r="L80" s="2" t="s">
        <v>218</v>
      </c>
      <c r="M80" s="2" t="s">
        <v>261</v>
      </c>
      <c r="N80" s="2" t="s">
        <v>262</v>
      </c>
      <c r="O80" s="11">
        <v>44140</v>
      </c>
      <c r="P80" s="2" t="s">
        <v>712</v>
      </c>
      <c r="Q80" s="2" t="s">
        <v>713</v>
      </c>
      <c r="R80" s="2" t="s">
        <v>192</v>
      </c>
      <c r="S80" s="2" t="s">
        <v>193</v>
      </c>
      <c r="T80" s="2" t="s">
        <v>364</v>
      </c>
      <c r="U80" s="2" t="s">
        <v>365</v>
      </c>
      <c r="V80" s="13">
        <v>75</v>
      </c>
      <c r="W80" s="13">
        <v>41</v>
      </c>
      <c r="X80" s="2">
        <v>0.2</v>
      </c>
      <c r="Y80" s="2" t="s">
        <v>288</v>
      </c>
      <c r="Z80" s="2" t="s">
        <v>880</v>
      </c>
      <c r="AA80" s="2">
        <v>22</v>
      </c>
      <c r="AB80" s="2">
        <v>5</v>
      </c>
      <c r="AC80" s="2">
        <v>2</v>
      </c>
      <c r="AD80" s="2">
        <v>1</v>
      </c>
      <c r="AE80" s="17">
        <v>0</v>
      </c>
      <c r="AF80" s="17">
        <v>0.06</v>
      </c>
      <c r="AG80" s="23">
        <v>4</v>
      </c>
      <c r="AH80" s="2" t="s">
        <v>198</v>
      </c>
      <c r="AI80" s="2" t="s">
        <v>230</v>
      </c>
      <c r="AJ80" s="2" t="s">
        <v>1214</v>
      </c>
      <c r="AK80" s="2" t="s">
        <v>196</v>
      </c>
      <c r="AL80" s="2" t="s">
        <v>953</v>
      </c>
      <c r="AM80" s="2" t="s">
        <v>203</v>
      </c>
      <c r="AN80" s="2" t="s">
        <v>880</v>
      </c>
      <c r="AO80" s="25">
        <v>0</v>
      </c>
      <c r="AP80" s="25">
        <v>-9.25</v>
      </c>
      <c r="AQ80" s="21">
        <v>41</v>
      </c>
      <c r="AR80" s="13">
        <v>75</v>
      </c>
      <c r="AS80" s="21">
        <v>0</v>
      </c>
      <c r="AT80" s="27">
        <v>0</v>
      </c>
      <c r="AU80" s="15">
        <v>0</v>
      </c>
      <c r="AV80" s="19">
        <v>4</v>
      </c>
      <c r="AW80" s="2" t="s">
        <v>180</v>
      </c>
      <c r="AX80" s="2">
        <v>5</v>
      </c>
      <c r="AY80" s="2" t="s">
        <v>205</v>
      </c>
      <c r="AZ80" s="2" t="s">
        <v>205</v>
      </c>
      <c r="BA80" s="2">
        <v>0</v>
      </c>
      <c r="BB80" s="2" t="s">
        <v>206</v>
      </c>
      <c r="BC80" s="2" t="s">
        <v>207</v>
      </c>
      <c r="BD80" s="2" t="s">
        <v>208</v>
      </c>
      <c r="BE80" s="2" t="s">
        <v>209</v>
      </c>
      <c r="BF80" s="3" t="s">
        <v>210</v>
      </c>
    </row>
    <row r="81" spans="1:58" x14ac:dyDescent="0.25">
      <c r="A81" s="1" t="s">
        <v>714</v>
      </c>
      <c r="B81" s="11">
        <v>45712</v>
      </c>
      <c r="C81" s="11">
        <v>45715</v>
      </c>
      <c r="D81" s="2" t="s">
        <v>180</v>
      </c>
      <c r="E81" s="2" t="s">
        <v>212</v>
      </c>
      <c r="F81" s="2" t="s">
        <v>1080</v>
      </c>
      <c r="G81" s="2" t="s">
        <v>276</v>
      </c>
      <c r="H81" s="2" t="s">
        <v>277</v>
      </c>
      <c r="I81" s="2" t="s">
        <v>278</v>
      </c>
      <c r="J81" s="2" t="s">
        <v>279</v>
      </c>
      <c r="K81" s="2" t="s">
        <v>277</v>
      </c>
      <c r="L81" s="2" t="s">
        <v>187</v>
      </c>
      <c r="M81" s="2" t="s">
        <v>280</v>
      </c>
      <c r="N81" s="2" t="s">
        <v>281</v>
      </c>
      <c r="O81" s="11">
        <v>43508</v>
      </c>
      <c r="P81" s="2" t="s">
        <v>715</v>
      </c>
      <c r="Q81" s="2" t="s">
        <v>716</v>
      </c>
      <c r="R81" s="2" t="s">
        <v>284</v>
      </c>
      <c r="S81" s="2" t="s">
        <v>717</v>
      </c>
      <c r="T81" s="2" t="s">
        <v>430</v>
      </c>
      <c r="U81" s="2" t="s">
        <v>431</v>
      </c>
      <c r="V81" s="13">
        <v>200</v>
      </c>
      <c r="W81" s="13">
        <v>116</v>
      </c>
      <c r="X81" s="2">
        <v>15</v>
      </c>
      <c r="Y81" s="2" t="s">
        <v>432</v>
      </c>
      <c r="Z81" s="2" t="s">
        <v>880</v>
      </c>
      <c r="AA81" s="2">
        <v>10</v>
      </c>
      <c r="AB81" s="2">
        <v>2</v>
      </c>
      <c r="AC81" s="2">
        <v>4</v>
      </c>
      <c r="AD81" s="2">
        <v>1</v>
      </c>
      <c r="AE81" s="17">
        <v>0.1</v>
      </c>
      <c r="AF81" s="17">
        <v>7.0000000000000007E-2</v>
      </c>
      <c r="AG81" s="23">
        <v>20</v>
      </c>
      <c r="AH81" s="2" t="s">
        <v>289</v>
      </c>
      <c r="AI81" s="2" t="s">
        <v>199</v>
      </c>
      <c r="AJ81" s="2" t="s">
        <v>1215</v>
      </c>
      <c r="AK81" s="2" t="s">
        <v>201</v>
      </c>
      <c r="AL81" s="2" t="s">
        <v>954</v>
      </c>
      <c r="AM81" s="2" t="s">
        <v>203</v>
      </c>
      <c r="AN81" s="2" t="s">
        <v>880</v>
      </c>
      <c r="AO81" s="25">
        <v>0</v>
      </c>
      <c r="AP81" s="25">
        <v>-0.93243153195175588</v>
      </c>
      <c r="AQ81" s="21">
        <v>116</v>
      </c>
      <c r="AR81" s="13">
        <v>200</v>
      </c>
      <c r="AS81" s="21">
        <v>0.2</v>
      </c>
      <c r="AT81" s="27">
        <v>40</v>
      </c>
      <c r="AU81" s="15">
        <v>2.8000000000000004E-2</v>
      </c>
      <c r="AV81" s="19">
        <v>60.027999999999999</v>
      </c>
      <c r="AW81" s="2" t="s">
        <v>180</v>
      </c>
      <c r="AX81" s="2">
        <v>3</v>
      </c>
      <c r="AY81" s="2" t="s">
        <v>204</v>
      </c>
      <c r="AZ81" s="2" t="s">
        <v>205</v>
      </c>
      <c r="BA81" s="2">
        <v>0</v>
      </c>
      <c r="BB81" s="2" t="s">
        <v>291</v>
      </c>
      <c r="BC81" s="2" t="s">
        <v>292</v>
      </c>
      <c r="BD81" s="2" t="s">
        <v>293</v>
      </c>
      <c r="BE81" s="2" t="s">
        <v>209</v>
      </c>
      <c r="BF81" s="3" t="s">
        <v>210</v>
      </c>
    </row>
    <row r="82" spans="1:58" x14ac:dyDescent="0.25">
      <c r="A82" s="1" t="s">
        <v>718</v>
      </c>
      <c r="B82" s="11">
        <v>45712</v>
      </c>
      <c r="C82" s="11">
        <v>45717</v>
      </c>
      <c r="D82" s="2" t="s">
        <v>371</v>
      </c>
      <c r="E82" s="2" t="s">
        <v>181</v>
      </c>
      <c r="F82" s="2" t="s">
        <v>1081</v>
      </c>
      <c r="G82" s="2" t="s">
        <v>237</v>
      </c>
      <c r="H82" s="2" t="s">
        <v>215</v>
      </c>
      <c r="I82" s="2" t="s">
        <v>238</v>
      </c>
      <c r="J82" s="2" t="s">
        <v>239</v>
      </c>
      <c r="K82" s="2" t="s">
        <v>215</v>
      </c>
      <c r="L82" s="2" t="s">
        <v>218</v>
      </c>
      <c r="M82" s="2" t="s">
        <v>240</v>
      </c>
      <c r="N82" s="2" t="s">
        <v>241</v>
      </c>
      <c r="O82" s="11">
        <v>44814</v>
      </c>
      <c r="P82" s="2" t="s">
        <v>719</v>
      </c>
      <c r="Q82" s="2" t="s">
        <v>720</v>
      </c>
      <c r="R82" s="2" t="s">
        <v>586</v>
      </c>
      <c r="S82" s="2" t="s">
        <v>587</v>
      </c>
      <c r="T82" s="2" t="s">
        <v>588</v>
      </c>
      <c r="U82" s="2" t="s">
        <v>388</v>
      </c>
      <c r="V82" s="13">
        <v>55</v>
      </c>
      <c r="W82" s="13">
        <v>30</v>
      </c>
      <c r="X82" s="2">
        <v>0.05</v>
      </c>
      <c r="Y82" s="2" t="s">
        <v>196</v>
      </c>
      <c r="Z82" s="2" t="s">
        <v>880</v>
      </c>
      <c r="AA82" s="2">
        <v>35</v>
      </c>
      <c r="AB82" s="2">
        <v>8</v>
      </c>
      <c r="AC82" s="2">
        <v>1</v>
      </c>
      <c r="AD82" s="2">
        <v>2</v>
      </c>
      <c r="AE82" s="17">
        <v>0</v>
      </c>
      <c r="AF82" s="17">
        <v>0.06</v>
      </c>
      <c r="AG82" s="23">
        <v>2</v>
      </c>
      <c r="AH82" s="2" t="s">
        <v>229</v>
      </c>
      <c r="AI82" s="2" t="s">
        <v>230</v>
      </c>
      <c r="AJ82" s="2" t="s">
        <v>1216</v>
      </c>
      <c r="AK82" s="2" t="s">
        <v>196</v>
      </c>
      <c r="AL82" s="2" t="s">
        <v>955</v>
      </c>
      <c r="AM82" s="2" t="s">
        <v>203</v>
      </c>
      <c r="AN82" s="2" t="s">
        <v>880</v>
      </c>
      <c r="AO82" s="25">
        <v>0</v>
      </c>
      <c r="AP82" s="25">
        <v>-29</v>
      </c>
      <c r="AQ82" s="21">
        <v>60</v>
      </c>
      <c r="AR82" s="13">
        <v>110</v>
      </c>
      <c r="AS82" s="21">
        <v>0</v>
      </c>
      <c r="AT82" s="27">
        <v>0</v>
      </c>
      <c r="AU82" s="15">
        <v>0</v>
      </c>
      <c r="AV82" s="19">
        <v>2</v>
      </c>
      <c r="AW82" s="2" t="s">
        <v>371</v>
      </c>
      <c r="AX82" s="2">
        <v>5</v>
      </c>
      <c r="AY82" s="2" t="s">
        <v>205</v>
      </c>
      <c r="AZ82" s="2" t="s">
        <v>205</v>
      </c>
      <c r="BA82" s="2">
        <v>0</v>
      </c>
      <c r="BB82" s="2" t="s">
        <v>880</v>
      </c>
      <c r="BC82" s="2" t="s">
        <v>880</v>
      </c>
      <c r="BD82" s="2" t="s">
        <v>539</v>
      </c>
      <c r="BE82" s="2" t="s">
        <v>209</v>
      </c>
      <c r="BF82" s="3" t="s">
        <v>210</v>
      </c>
    </row>
    <row r="83" spans="1:58" x14ac:dyDescent="0.25">
      <c r="A83" s="1" t="s">
        <v>721</v>
      </c>
      <c r="B83" s="11">
        <v>45713</v>
      </c>
      <c r="C83" s="11">
        <v>45716</v>
      </c>
      <c r="D83" s="2" t="s">
        <v>180</v>
      </c>
      <c r="E83" s="2" t="s">
        <v>212</v>
      </c>
      <c r="F83" s="2" t="s">
        <v>1082</v>
      </c>
      <c r="G83" s="2" t="s">
        <v>183</v>
      </c>
      <c r="H83" s="2" t="s">
        <v>184</v>
      </c>
      <c r="I83" s="2" t="s">
        <v>185</v>
      </c>
      <c r="J83" s="2" t="s">
        <v>186</v>
      </c>
      <c r="K83" s="2" t="s">
        <v>184</v>
      </c>
      <c r="L83" s="2" t="s">
        <v>187</v>
      </c>
      <c r="M83" s="2" t="s">
        <v>188</v>
      </c>
      <c r="N83" s="2" t="s">
        <v>189</v>
      </c>
      <c r="O83" s="11">
        <v>43891</v>
      </c>
      <c r="P83" s="2" t="s">
        <v>722</v>
      </c>
      <c r="Q83" s="2" t="s">
        <v>723</v>
      </c>
      <c r="R83" s="2" t="s">
        <v>223</v>
      </c>
      <c r="S83" s="2" t="s">
        <v>345</v>
      </c>
      <c r="T83" s="2" t="s">
        <v>225</v>
      </c>
      <c r="U83" s="2" t="s">
        <v>346</v>
      </c>
      <c r="V83" s="13">
        <v>85</v>
      </c>
      <c r="W83" s="13">
        <v>46</v>
      </c>
      <c r="X83" s="2">
        <v>0.8</v>
      </c>
      <c r="Y83" s="2" t="s">
        <v>227</v>
      </c>
      <c r="Z83" s="2" t="s">
        <v>347</v>
      </c>
      <c r="AA83" s="2">
        <v>30</v>
      </c>
      <c r="AB83" s="2">
        <v>7</v>
      </c>
      <c r="AC83" s="2">
        <v>2</v>
      </c>
      <c r="AD83" s="2">
        <v>1</v>
      </c>
      <c r="AE83" s="17">
        <v>0.05</v>
      </c>
      <c r="AF83" s="17">
        <v>0.06</v>
      </c>
      <c r="AG83" s="23">
        <v>5</v>
      </c>
      <c r="AH83" s="2" t="s">
        <v>249</v>
      </c>
      <c r="AI83" s="2" t="s">
        <v>199</v>
      </c>
      <c r="AJ83" s="2" t="s">
        <v>1217</v>
      </c>
      <c r="AK83" s="2" t="s">
        <v>201</v>
      </c>
      <c r="AL83" s="2" t="s">
        <v>956</v>
      </c>
      <c r="AM83" s="2" t="s">
        <v>203</v>
      </c>
      <c r="AN83" s="2" t="s">
        <v>880</v>
      </c>
      <c r="AO83" s="25">
        <v>0</v>
      </c>
      <c r="AP83" s="25">
        <v>-4.3397301753085662</v>
      </c>
      <c r="AQ83" s="21">
        <v>46</v>
      </c>
      <c r="AR83" s="13">
        <v>85</v>
      </c>
      <c r="AS83" s="21">
        <v>4.2500000000000003E-2</v>
      </c>
      <c r="AT83" s="27">
        <v>3.6125000000000003</v>
      </c>
      <c r="AU83" s="15">
        <v>2.1675000000000002E-3</v>
      </c>
      <c r="AV83" s="19">
        <v>8.6146674999999995</v>
      </c>
      <c r="AW83" s="2" t="s">
        <v>180</v>
      </c>
      <c r="AX83" s="2">
        <v>3</v>
      </c>
      <c r="AY83" s="2" t="s">
        <v>204</v>
      </c>
      <c r="AZ83" s="2" t="s">
        <v>205</v>
      </c>
      <c r="BA83" s="2">
        <v>0</v>
      </c>
      <c r="BB83" s="2" t="s">
        <v>252</v>
      </c>
      <c r="BC83" s="2" t="s">
        <v>253</v>
      </c>
      <c r="BD83" s="2" t="s">
        <v>234</v>
      </c>
      <c r="BE83" s="2" t="s">
        <v>209</v>
      </c>
      <c r="BF83" s="3" t="s">
        <v>210</v>
      </c>
    </row>
    <row r="84" spans="1:58" x14ac:dyDescent="0.25">
      <c r="A84" s="1" t="s">
        <v>724</v>
      </c>
      <c r="B84" s="11">
        <v>45713</v>
      </c>
      <c r="C84" s="11">
        <v>45718</v>
      </c>
      <c r="D84" s="2" t="s">
        <v>180</v>
      </c>
      <c r="E84" s="2" t="s">
        <v>181</v>
      </c>
      <c r="F84" s="2" t="s">
        <v>1083</v>
      </c>
      <c r="G84" s="2" t="s">
        <v>296</v>
      </c>
      <c r="H84" s="2" t="s">
        <v>297</v>
      </c>
      <c r="I84" s="2" t="s">
        <v>298</v>
      </c>
      <c r="J84" s="2" t="s">
        <v>299</v>
      </c>
      <c r="K84" s="2" t="s">
        <v>297</v>
      </c>
      <c r="L84" s="2" t="s">
        <v>187</v>
      </c>
      <c r="M84" s="2" t="s">
        <v>300</v>
      </c>
      <c r="N84" s="2" t="s">
        <v>301</v>
      </c>
      <c r="O84" s="11">
        <v>43332</v>
      </c>
      <c r="P84" s="2" t="s">
        <v>725</v>
      </c>
      <c r="Q84" s="2" t="s">
        <v>726</v>
      </c>
      <c r="R84" s="2" t="s">
        <v>192</v>
      </c>
      <c r="S84" s="2" t="s">
        <v>727</v>
      </c>
      <c r="T84" s="2" t="s">
        <v>728</v>
      </c>
      <c r="U84" s="2" t="s">
        <v>365</v>
      </c>
      <c r="V84" s="13">
        <v>550</v>
      </c>
      <c r="W84" s="13">
        <v>330</v>
      </c>
      <c r="X84" s="2">
        <v>1.2</v>
      </c>
      <c r="Y84" s="2" t="s">
        <v>288</v>
      </c>
      <c r="Z84" s="2" t="s">
        <v>880</v>
      </c>
      <c r="AA84" s="2">
        <v>12</v>
      </c>
      <c r="AB84" s="2">
        <v>3</v>
      </c>
      <c r="AC84" s="2">
        <v>3</v>
      </c>
      <c r="AD84" s="2">
        <v>1</v>
      </c>
      <c r="AE84" s="17">
        <v>0</v>
      </c>
      <c r="AF84" s="17">
        <v>7.0000000000000007E-2</v>
      </c>
      <c r="AG84" s="23">
        <v>10</v>
      </c>
      <c r="AH84" s="2" t="s">
        <v>198</v>
      </c>
      <c r="AI84" s="2" t="s">
        <v>199</v>
      </c>
      <c r="AJ84" s="2" t="s">
        <v>1218</v>
      </c>
      <c r="AK84" s="2" t="s">
        <v>271</v>
      </c>
      <c r="AL84" s="2" t="s">
        <v>957</v>
      </c>
      <c r="AM84" s="2" t="s">
        <v>203</v>
      </c>
      <c r="AN84" s="2" t="s">
        <v>880</v>
      </c>
      <c r="AO84" s="25">
        <v>0</v>
      </c>
      <c r="AP84" s="25">
        <v>-32</v>
      </c>
      <c r="AQ84" s="21">
        <v>330</v>
      </c>
      <c r="AR84" s="13">
        <v>550</v>
      </c>
      <c r="AS84" s="21">
        <v>0</v>
      </c>
      <c r="AT84" s="27">
        <v>0</v>
      </c>
      <c r="AU84" s="15">
        <v>0</v>
      </c>
      <c r="AV84" s="19">
        <v>10</v>
      </c>
      <c r="AW84" s="2" t="s">
        <v>180</v>
      </c>
      <c r="AX84" s="2">
        <v>5</v>
      </c>
      <c r="AY84" s="2" t="s">
        <v>205</v>
      </c>
      <c r="AZ84" s="2" t="s">
        <v>205</v>
      </c>
      <c r="BA84" s="2">
        <v>0</v>
      </c>
      <c r="BB84" s="2" t="s">
        <v>352</v>
      </c>
      <c r="BC84" s="2" t="s">
        <v>353</v>
      </c>
      <c r="BD84" s="2" t="s">
        <v>208</v>
      </c>
      <c r="BE84" s="2" t="s">
        <v>209</v>
      </c>
      <c r="BF84" s="3" t="s">
        <v>210</v>
      </c>
    </row>
    <row r="85" spans="1:58" x14ac:dyDescent="0.25">
      <c r="A85" s="1" t="s">
        <v>729</v>
      </c>
      <c r="B85" s="11">
        <v>45714</v>
      </c>
      <c r="C85" s="11">
        <v>45717</v>
      </c>
      <c r="D85" s="2" t="s">
        <v>180</v>
      </c>
      <c r="E85" s="2" t="s">
        <v>212</v>
      </c>
      <c r="F85" s="2" t="s">
        <v>1084</v>
      </c>
      <c r="G85" s="2" t="s">
        <v>312</v>
      </c>
      <c r="H85" s="2" t="s">
        <v>184</v>
      </c>
      <c r="I85" s="2" t="s">
        <v>313</v>
      </c>
      <c r="J85" s="2" t="s">
        <v>314</v>
      </c>
      <c r="K85" s="2" t="s">
        <v>184</v>
      </c>
      <c r="L85" s="2" t="s">
        <v>218</v>
      </c>
      <c r="M85" s="2" t="s">
        <v>315</v>
      </c>
      <c r="N85" s="2" t="s">
        <v>316</v>
      </c>
      <c r="O85" s="11">
        <v>44745</v>
      </c>
      <c r="P85" s="2" t="s">
        <v>730</v>
      </c>
      <c r="Q85" s="2" t="s">
        <v>731</v>
      </c>
      <c r="R85" s="2" t="s">
        <v>244</v>
      </c>
      <c r="S85" s="2" t="s">
        <v>245</v>
      </c>
      <c r="T85" s="2" t="s">
        <v>732</v>
      </c>
      <c r="U85" s="2" t="s">
        <v>247</v>
      </c>
      <c r="V85" s="13">
        <v>45</v>
      </c>
      <c r="W85" s="13">
        <v>24</v>
      </c>
      <c r="X85" s="2">
        <v>2.5</v>
      </c>
      <c r="Y85" s="2" t="s">
        <v>288</v>
      </c>
      <c r="Z85" s="2" t="s">
        <v>880</v>
      </c>
      <c r="AA85" s="2">
        <v>18</v>
      </c>
      <c r="AB85" s="2">
        <v>4</v>
      </c>
      <c r="AC85" s="2">
        <v>2</v>
      </c>
      <c r="AD85" s="2">
        <v>2</v>
      </c>
      <c r="AE85" s="17">
        <v>0</v>
      </c>
      <c r="AF85" s="17">
        <v>0.06</v>
      </c>
      <c r="AG85" s="23">
        <v>6</v>
      </c>
      <c r="AH85" s="2" t="s">
        <v>366</v>
      </c>
      <c r="AI85" s="2" t="s">
        <v>230</v>
      </c>
      <c r="AJ85" s="2" t="s">
        <v>1219</v>
      </c>
      <c r="AK85" s="2" t="s">
        <v>232</v>
      </c>
      <c r="AL85" s="2" t="s">
        <v>958</v>
      </c>
      <c r="AM85" s="2" t="s">
        <v>203</v>
      </c>
      <c r="AN85" s="2" t="s">
        <v>880</v>
      </c>
      <c r="AO85" s="25">
        <v>0</v>
      </c>
      <c r="AP85" s="25">
        <v>-7</v>
      </c>
      <c r="AQ85" s="21">
        <v>48</v>
      </c>
      <c r="AR85" s="13">
        <v>90</v>
      </c>
      <c r="AS85" s="21">
        <v>0</v>
      </c>
      <c r="AT85" s="27">
        <v>0</v>
      </c>
      <c r="AU85" s="15">
        <v>0</v>
      </c>
      <c r="AV85" s="19">
        <v>6</v>
      </c>
      <c r="AW85" s="2" t="s">
        <v>180</v>
      </c>
      <c r="AX85" s="2">
        <v>3</v>
      </c>
      <c r="AY85" s="2" t="s">
        <v>205</v>
      </c>
      <c r="AZ85" s="2" t="s">
        <v>205</v>
      </c>
      <c r="BA85" s="2">
        <v>0</v>
      </c>
      <c r="BB85" s="2" t="s">
        <v>880</v>
      </c>
      <c r="BC85" s="2" t="s">
        <v>880</v>
      </c>
      <c r="BD85" s="2" t="s">
        <v>254</v>
      </c>
      <c r="BE85" s="2" t="s">
        <v>209</v>
      </c>
      <c r="BF85" s="3" t="s">
        <v>210</v>
      </c>
    </row>
    <row r="86" spans="1:58" x14ac:dyDescent="0.25">
      <c r="A86" s="1" t="s">
        <v>733</v>
      </c>
      <c r="B86" s="11">
        <v>45714</v>
      </c>
      <c r="C86" s="11">
        <v>45719</v>
      </c>
      <c r="D86" s="2" t="s">
        <v>310</v>
      </c>
      <c r="E86" s="2" t="s">
        <v>181</v>
      </c>
      <c r="F86" s="2" t="s">
        <v>1085</v>
      </c>
      <c r="G86" s="2" t="s">
        <v>326</v>
      </c>
      <c r="H86" s="2" t="s">
        <v>215</v>
      </c>
      <c r="I86" s="2" t="s">
        <v>327</v>
      </c>
      <c r="J86" s="2" t="s">
        <v>217</v>
      </c>
      <c r="K86" s="2" t="s">
        <v>215</v>
      </c>
      <c r="L86" s="2" t="s">
        <v>218</v>
      </c>
      <c r="M86" s="2" t="s">
        <v>328</v>
      </c>
      <c r="N86" s="2" t="s">
        <v>329</v>
      </c>
      <c r="O86" s="11">
        <v>44300</v>
      </c>
      <c r="P86" s="2" t="s">
        <v>734</v>
      </c>
      <c r="Q86" s="2" t="s">
        <v>735</v>
      </c>
      <c r="R86" s="2" t="s">
        <v>244</v>
      </c>
      <c r="S86" s="2" t="s">
        <v>667</v>
      </c>
      <c r="T86" s="2" t="s">
        <v>668</v>
      </c>
      <c r="U86" s="2" t="s">
        <v>247</v>
      </c>
      <c r="V86" s="13">
        <v>35</v>
      </c>
      <c r="W86" s="13">
        <v>19</v>
      </c>
      <c r="X86" s="2">
        <v>0.8</v>
      </c>
      <c r="Y86" s="2" t="s">
        <v>382</v>
      </c>
      <c r="Z86" s="2" t="s">
        <v>218</v>
      </c>
      <c r="AA86" s="2">
        <v>45</v>
      </c>
      <c r="AB86" s="2">
        <v>10</v>
      </c>
      <c r="AC86" s="2">
        <v>2</v>
      </c>
      <c r="AD86" s="2">
        <v>2</v>
      </c>
      <c r="AE86" s="17">
        <v>0</v>
      </c>
      <c r="AF86" s="17">
        <v>0.05</v>
      </c>
      <c r="AG86" s="23">
        <v>5</v>
      </c>
      <c r="AH86" s="2" t="s">
        <v>229</v>
      </c>
      <c r="AI86" s="2" t="s">
        <v>199</v>
      </c>
      <c r="AJ86" s="2" t="s">
        <v>1220</v>
      </c>
      <c r="AK86" s="2" t="s">
        <v>271</v>
      </c>
      <c r="AL86" s="2" t="s">
        <v>959</v>
      </c>
      <c r="AM86" s="2" t="s">
        <v>203</v>
      </c>
      <c r="AN86" s="2" t="s">
        <v>880</v>
      </c>
      <c r="AO86" s="25">
        <v>0</v>
      </c>
      <c r="AP86" s="25">
        <v>-6.6</v>
      </c>
      <c r="AQ86" s="21">
        <v>38</v>
      </c>
      <c r="AR86" s="13">
        <v>70</v>
      </c>
      <c r="AS86" s="21">
        <v>0</v>
      </c>
      <c r="AT86" s="27">
        <v>0</v>
      </c>
      <c r="AU86" s="15">
        <v>0</v>
      </c>
      <c r="AV86" s="19">
        <v>5</v>
      </c>
      <c r="AW86" s="2" t="s">
        <v>310</v>
      </c>
      <c r="AX86" s="2">
        <v>5</v>
      </c>
      <c r="AY86" s="2" t="s">
        <v>205</v>
      </c>
      <c r="AZ86" s="2" t="s">
        <v>205</v>
      </c>
      <c r="BA86" s="2">
        <v>0</v>
      </c>
      <c r="BB86" s="2" t="s">
        <v>880</v>
      </c>
      <c r="BC86" s="2" t="s">
        <v>880</v>
      </c>
      <c r="BD86" s="2" t="s">
        <v>254</v>
      </c>
      <c r="BE86" s="2" t="s">
        <v>209</v>
      </c>
      <c r="BF86" s="3" t="s">
        <v>210</v>
      </c>
    </row>
    <row r="87" spans="1:58" x14ac:dyDescent="0.25">
      <c r="A87" s="1" t="s">
        <v>736</v>
      </c>
      <c r="B87" s="11">
        <v>45715</v>
      </c>
      <c r="C87" s="11">
        <v>45718</v>
      </c>
      <c r="D87" s="2" t="s">
        <v>180</v>
      </c>
      <c r="E87" s="2" t="s">
        <v>212</v>
      </c>
      <c r="F87" s="2" t="s">
        <v>1086</v>
      </c>
      <c r="G87" s="2" t="s">
        <v>338</v>
      </c>
      <c r="H87" s="2" t="s">
        <v>184</v>
      </c>
      <c r="I87" s="2" t="s">
        <v>339</v>
      </c>
      <c r="J87" s="2" t="s">
        <v>340</v>
      </c>
      <c r="K87" s="2" t="s">
        <v>184</v>
      </c>
      <c r="L87" s="2" t="s">
        <v>218</v>
      </c>
      <c r="M87" s="2" t="s">
        <v>341</v>
      </c>
      <c r="N87" s="2" t="s">
        <v>342</v>
      </c>
      <c r="O87" s="11">
        <v>44982</v>
      </c>
      <c r="P87" s="2" t="s">
        <v>737</v>
      </c>
      <c r="Q87" s="2" t="s">
        <v>738</v>
      </c>
      <c r="R87" s="2" t="s">
        <v>192</v>
      </c>
      <c r="S87" s="2" t="s">
        <v>650</v>
      </c>
      <c r="T87" s="2" t="s">
        <v>739</v>
      </c>
      <c r="U87" s="2" t="s">
        <v>365</v>
      </c>
      <c r="V87" s="13">
        <v>65</v>
      </c>
      <c r="W87" s="13">
        <v>36</v>
      </c>
      <c r="X87" s="2">
        <v>0.1</v>
      </c>
      <c r="Y87" s="2" t="s">
        <v>288</v>
      </c>
      <c r="Z87" s="2" t="s">
        <v>880</v>
      </c>
      <c r="AA87" s="2">
        <v>20</v>
      </c>
      <c r="AB87" s="2">
        <v>5</v>
      </c>
      <c r="AC87" s="2">
        <v>2</v>
      </c>
      <c r="AD87" s="2">
        <v>1</v>
      </c>
      <c r="AE87" s="17">
        <v>0</v>
      </c>
      <c r="AF87" s="17">
        <v>0.06</v>
      </c>
      <c r="AG87" s="23">
        <v>4</v>
      </c>
      <c r="AH87" s="2" t="s">
        <v>249</v>
      </c>
      <c r="AI87" s="2" t="s">
        <v>230</v>
      </c>
      <c r="AJ87" s="2" t="s">
        <v>1221</v>
      </c>
      <c r="AK87" s="2" t="s">
        <v>196</v>
      </c>
      <c r="AL87" s="2" t="s">
        <v>960</v>
      </c>
      <c r="AM87" s="2" t="s">
        <v>203</v>
      </c>
      <c r="AN87" s="2" t="s">
        <v>880</v>
      </c>
      <c r="AO87" s="25">
        <v>0</v>
      </c>
      <c r="AP87" s="25">
        <v>-8</v>
      </c>
      <c r="AQ87" s="21">
        <v>36</v>
      </c>
      <c r="AR87" s="13">
        <v>65</v>
      </c>
      <c r="AS87" s="21">
        <v>0</v>
      </c>
      <c r="AT87" s="27">
        <v>0</v>
      </c>
      <c r="AU87" s="15">
        <v>0</v>
      </c>
      <c r="AV87" s="19">
        <v>4</v>
      </c>
      <c r="AW87" s="2" t="s">
        <v>180</v>
      </c>
      <c r="AX87" s="2">
        <v>3</v>
      </c>
      <c r="AY87" s="2" t="s">
        <v>205</v>
      </c>
      <c r="AZ87" s="2" t="s">
        <v>205</v>
      </c>
      <c r="BA87" s="2">
        <v>0</v>
      </c>
      <c r="BB87" s="2" t="s">
        <v>206</v>
      </c>
      <c r="BC87" s="2" t="s">
        <v>880</v>
      </c>
      <c r="BD87" s="2" t="s">
        <v>208</v>
      </c>
      <c r="BE87" s="2" t="s">
        <v>209</v>
      </c>
      <c r="BF87" s="3" t="s">
        <v>210</v>
      </c>
    </row>
    <row r="88" spans="1:58" x14ac:dyDescent="0.25">
      <c r="A88" s="1" t="s">
        <v>740</v>
      </c>
      <c r="B88" s="11">
        <v>45715</v>
      </c>
      <c r="C88" s="11">
        <v>45720</v>
      </c>
      <c r="D88" s="2" t="s">
        <v>180</v>
      </c>
      <c r="E88" s="2" t="s">
        <v>181</v>
      </c>
      <c r="F88" s="2" t="s">
        <v>1087</v>
      </c>
      <c r="G88" s="2" t="s">
        <v>356</v>
      </c>
      <c r="H88" s="2" t="s">
        <v>297</v>
      </c>
      <c r="I88" s="2" t="s">
        <v>357</v>
      </c>
      <c r="J88" s="2" t="s">
        <v>358</v>
      </c>
      <c r="K88" s="2" t="s">
        <v>297</v>
      </c>
      <c r="L88" s="2" t="s">
        <v>218</v>
      </c>
      <c r="M88" s="2" t="s">
        <v>359</v>
      </c>
      <c r="N88" s="2" t="s">
        <v>360</v>
      </c>
      <c r="O88" s="11">
        <v>44895</v>
      </c>
      <c r="P88" s="2" t="s">
        <v>741</v>
      </c>
      <c r="Q88" s="2" t="s">
        <v>742</v>
      </c>
      <c r="R88" s="2" t="s">
        <v>244</v>
      </c>
      <c r="S88" s="2" t="s">
        <v>534</v>
      </c>
      <c r="T88" s="2" t="s">
        <v>743</v>
      </c>
      <c r="U88" s="2" t="s">
        <v>247</v>
      </c>
      <c r="V88" s="13">
        <v>22</v>
      </c>
      <c r="W88" s="13">
        <v>12</v>
      </c>
      <c r="X88" s="2">
        <v>1.2</v>
      </c>
      <c r="Y88" s="2" t="s">
        <v>227</v>
      </c>
      <c r="Z88" s="2" t="s">
        <v>880</v>
      </c>
      <c r="AA88" s="2">
        <v>35</v>
      </c>
      <c r="AB88" s="2">
        <v>8</v>
      </c>
      <c r="AC88" s="2">
        <v>1</v>
      </c>
      <c r="AD88" s="2">
        <v>2</v>
      </c>
      <c r="AE88" s="17">
        <v>0</v>
      </c>
      <c r="AF88" s="17">
        <v>0.05</v>
      </c>
      <c r="AG88" s="23">
        <v>4</v>
      </c>
      <c r="AH88" s="2" t="s">
        <v>198</v>
      </c>
      <c r="AI88" s="2" t="s">
        <v>230</v>
      </c>
      <c r="AJ88" s="2" t="s">
        <v>1222</v>
      </c>
      <c r="AK88" s="2" t="s">
        <v>232</v>
      </c>
      <c r="AL88" s="2" t="s">
        <v>961</v>
      </c>
      <c r="AM88" s="2" t="s">
        <v>203</v>
      </c>
      <c r="AN88" s="2" t="s">
        <v>880</v>
      </c>
      <c r="AO88" s="25">
        <v>0</v>
      </c>
      <c r="AP88" s="25">
        <v>-5</v>
      </c>
      <c r="AQ88" s="21">
        <v>24</v>
      </c>
      <c r="AR88" s="13">
        <v>44</v>
      </c>
      <c r="AS88" s="21">
        <v>0</v>
      </c>
      <c r="AT88" s="27">
        <v>0</v>
      </c>
      <c r="AU88" s="15">
        <v>0</v>
      </c>
      <c r="AV88" s="19">
        <v>4</v>
      </c>
      <c r="AW88" s="2" t="s">
        <v>180</v>
      </c>
      <c r="AX88" s="2">
        <v>5</v>
      </c>
      <c r="AY88" s="2" t="s">
        <v>205</v>
      </c>
      <c r="AZ88" s="2" t="s">
        <v>205</v>
      </c>
      <c r="BA88" s="2">
        <v>0</v>
      </c>
      <c r="BB88" s="2" t="s">
        <v>880</v>
      </c>
      <c r="BC88" s="2" t="s">
        <v>880</v>
      </c>
      <c r="BD88" s="2" t="s">
        <v>254</v>
      </c>
      <c r="BE88" s="2" t="s">
        <v>209</v>
      </c>
      <c r="BF88" s="3" t="s">
        <v>210</v>
      </c>
    </row>
    <row r="89" spans="1:58" x14ac:dyDescent="0.25">
      <c r="A89" s="1" t="s">
        <v>744</v>
      </c>
      <c r="B89" s="11">
        <v>45716</v>
      </c>
      <c r="C89" s="11">
        <v>45719</v>
      </c>
      <c r="D89" s="2" t="s">
        <v>180</v>
      </c>
      <c r="E89" s="2" t="s">
        <v>212</v>
      </c>
      <c r="F89" s="2" t="s">
        <v>1088</v>
      </c>
      <c r="G89" s="2" t="s">
        <v>373</v>
      </c>
      <c r="H89" s="2" t="s">
        <v>297</v>
      </c>
      <c r="I89" s="2" t="s">
        <v>374</v>
      </c>
      <c r="J89" s="2" t="s">
        <v>375</v>
      </c>
      <c r="K89" s="2" t="s">
        <v>297</v>
      </c>
      <c r="L89" s="2" t="s">
        <v>218</v>
      </c>
      <c r="M89" s="2" t="s">
        <v>376</v>
      </c>
      <c r="N89" s="2" t="s">
        <v>377</v>
      </c>
      <c r="O89" s="11">
        <v>45033</v>
      </c>
      <c r="P89" s="2" t="s">
        <v>745</v>
      </c>
      <c r="Q89" s="2" t="s">
        <v>746</v>
      </c>
      <c r="R89" s="2" t="s">
        <v>265</v>
      </c>
      <c r="S89" s="2" t="s">
        <v>266</v>
      </c>
      <c r="T89" s="2" t="s">
        <v>413</v>
      </c>
      <c r="U89" s="2" t="s">
        <v>268</v>
      </c>
      <c r="V89" s="13">
        <v>12</v>
      </c>
      <c r="W89" s="13">
        <v>6</v>
      </c>
      <c r="X89" s="2">
        <v>0.2</v>
      </c>
      <c r="Y89" s="2" t="s">
        <v>288</v>
      </c>
      <c r="Z89" s="2" t="s">
        <v>880</v>
      </c>
      <c r="AA89" s="2">
        <v>80</v>
      </c>
      <c r="AB89" s="2">
        <v>20</v>
      </c>
      <c r="AC89" s="2">
        <v>1</v>
      </c>
      <c r="AD89" s="2">
        <v>5</v>
      </c>
      <c r="AE89" s="17">
        <v>0</v>
      </c>
      <c r="AF89" s="17">
        <v>0.05</v>
      </c>
      <c r="AG89" s="23">
        <v>2</v>
      </c>
      <c r="AH89" s="2" t="s">
        <v>289</v>
      </c>
      <c r="AI89" s="2" t="s">
        <v>230</v>
      </c>
      <c r="AJ89" s="2" t="s">
        <v>1223</v>
      </c>
      <c r="AK89" s="2" t="s">
        <v>196</v>
      </c>
      <c r="AL89" s="2" t="s">
        <v>962</v>
      </c>
      <c r="AM89" s="2" t="s">
        <v>203</v>
      </c>
      <c r="AN89" s="2" t="s">
        <v>880</v>
      </c>
      <c r="AO89" s="25">
        <v>0</v>
      </c>
      <c r="AP89" s="25">
        <v>-14</v>
      </c>
      <c r="AQ89" s="21">
        <v>30</v>
      </c>
      <c r="AR89" s="13">
        <v>60</v>
      </c>
      <c r="AS89" s="21">
        <v>0</v>
      </c>
      <c r="AT89" s="27">
        <v>0</v>
      </c>
      <c r="AU89" s="15">
        <v>0</v>
      </c>
      <c r="AV89" s="19">
        <v>2</v>
      </c>
      <c r="AW89" s="2" t="s">
        <v>180</v>
      </c>
      <c r="AX89" s="2">
        <v>3</v>
      </c>
      <c r="AY89" s="2" t="s">
        <v>205</v>
      </c>
      <c r="AZ89" s="2" t="s">
        <v>205</v>
      </c>
      <c r="BA89" s="2">
        <v>0</v>
      </c>
      <c r="BB89" s="2" t="s">
        <v>880</v>
      </c>
      <c r="BC89" s="2" t="s">
        <v>880</v>
      </c>
      <c r="BD89" s="2" t="s">
        <v>273</v>
      </c>
      <c r="BE89" s="2" t="s">
        <v>209</v>
      </c>
      <c r="BF89" s="3" t="s">
        <v>210</v>
      </c>
    </row>
    <row r="90" spans="1:58" x14ac:dyDescent="0.25">
      <c r="A90" s="1" t="s">
        <v>747</v>
      </c>
      <c r="B90" s="11">
        <v>45716</v>
      </c>
      <c r="C90" s="11">
        <v>45721</v>
      </c>
      <c r="D90" s="2" t="s">
        <v>371</v>
      </c>
      <c r="E90" s="2" t="s">
        <v>181</v>
      </c>
      <c r="F90" s="2" t="s">
        <v>236</v>
      </c>
      <c r="G90" s="2" t="s">
        <v>214</v>
      </c>
      <c r="H90" s="2" t="s">
        <v>215</v>
      </c>
      <c r="I90" s="2" t="s">
        <v>216</v>
      </c>
      <c r="J90" s="2" t="s">
        <v>217</v>
      </c>
      <c r="K90" s="2" t="s">
        <v>215</v>
      </c>
      <c r="L90" s="2" t="s">
        <v>218</v>
      </c>
      <c r="M90" s="2" t="s">
        <v>219</v>
      </c>
      <c r="N90" s="2" t="s">
        <v>220</v>
      </c>
      <c r="O90" s="11">
        <v>44362</v>
      </c>
      <c r="P90" s="2" t="s">
        <v>748</v>
      </c>
      <c r="Q90" s="2" t="s">
        <v>749</v>
      </c>
      <c r="R90" s="2" t="s">
        <v>244</v>
      </c>
      <c r="S90" s="2" t="s">
        <v>519</v>
      </c>
      <c r="T90" s="2" t="s">
        <v>750</v>
      </c>
      <c r="U90" s="2" t="s">
        <v>247</v>
      </c>
      <c r="V90" s="13">
        <v>18</v>
      </c>
      <c r="W90" s="13">
        <v>10</v>
      </c>
      <c r="X90" s="2">
        <v>0.5</v>
      </c>
      <c r="Y90" s="2" t="s">
        <v>432</v>
      </c>
      <c r="Z90" s="2" t="s">
        <v>751</v>
      </c>
      <c r="AA90" s="2">
        <v>50</v>
      </c>
      <c r="AB90" s="2">
        <v>12</v>
      </c>
      <c r="AC90" s="2">
        <v>1</v>
      </c>
      <c r="AD90" s="2">
        <v>3</v>
      </c>
      <c r="AE90" s="17">
        <v>0</v>
      </c>
      <c r="AF90" s="17">
        <v>0.05</v>
      </c>
      <c r="AG90" s="23">
        <v>3</v>
      </c>
      <c r="AH90" s="2" t="s">
        <v>198</v>
      </c>
      <c r="AI90" s="2" t="s">
        <v>199</v>
      </c>
      <c r="AJ90" s="2" t="s">
        <v>231</v>
      </c>
      <c r="AK90" s="2" t="s">
        <v>201</v>
      </c>
      <c r="AL90" s="2" t="s">
        <v>963</v>
      </c>
      <c r="AM90" s="2" t="s">
        <v>203</v>
      </c>
      <c r="AN90" s="2" t="s">
        <v>880</v>
      </c>
      <c r="AO90" s="25">
        <v>0</v>
      </c>
      <c r="AP90" s="25">
        <v>-9</v>
      </c>
      <c r="AQ90" s="21">
        <v>30</v>
      </c>
      <c r="AR90" s="13">
        <v>54</v>
      </c>
      <c r="AS90" s="21">
        <v>0</v>
      </c>
      <c r="AT90" s="27">
        <v>0</v>
      </c>
      <c r="AU90" s="15">
        <v>0</v>
      </c>
      <c r="AV90" s="19">
        <v>3</v>
      </c>
      <c r="AW90" s="2" t="s">
        <v>371</v>
      </c>
      <c r="AX90" s="2">
        <v>5</v>
      </c>
      <c r="AY90" s="2" t="s">
        <v>204</v>
      </c>
      <c r="AZ90" s="2" t="s">
        <v>205</v>
      </c>
      <c r="BA90" s="2">
        <v>0</v>
      </c>
      <c r="BB90" s="2" t="s">
        <v>880</v>
      </c>
      <c r="BC90" s="2" t="s">
        <v>880</v>
      </c>
      <c r="BD90" s="2" t="s">
        <v>254</v>
      </c>
      <c r="BE90" s="2" t="s">
        <v>209</v>
      </c>
      <c r="BF90" s="3" t="s">
        <v>210</v>
      </c>
    </row>
    <row r="91" spans="1:58" x14ac:dyDescent="0.25">
      <c r="A91" s="1" t="s">
        <v>752</v>
      </c>
      <c r="B91" s="11">
        <v>45717</v>
      </c>
      <c r="C91" s="11">
        <v>45720</v>
      </c>
      <c r="D91" s="2" t="s">
        <v>180</v>
      </c>
      <c r="E91" s="2" t="s">
        <v>212</v>
      </c>
      <c r="F91" s="2" t="s">
        <v>1089</v>
      </c>
      <c r="G91" s="2" t="s">
        <v>258</v>
      </c>
      <c r="H91" s="2" t="s">
        <v>184</v>
      </c>
      <c r="I91" s="2" t="s">
        <v>259</v>
      </c>
      <c r="J91" s="2" t="s">
        <v>260</v>
      </c>
      <c r="K91" s="2" t="s">
        <v>184</v>
      </c>
      <c r="L91" s="2" t="s">
        <v>218</v>
      </c>
      <c r="M91" s="2" t="s">
        <v>261</v>
      </c>
      <c r="N91" s="2" t="s">
        <v>262</v>
      </c>
      <c r="O91" s="11">
        <v>44140</v>
      </c>
      <c r="P91" s="2" t="s">
        <v>753</v>
      </c>
      <c r="Q91" s="2" t="s">
        <v>754</v>
      </c>
      <c r="R91" s="2" t="s">
        <v>192</v>
      </c>
      <c r="S91" s="2" t="s">
        <v>755</v>
      </c>
      <c r="T91" s="2" t="s">
        <v>756</v>
      </c>
      <c r="U91" s="2" t="s">
        <v>757</v>
      </c>
      <c r="V91" s="13">
        <v>180</v>
      </c>
      <c r="W91" s="13">
        <v>104</v>
      </c>
      <c r="X91" s="2">
        <v>8</v>
      </c>
      <c r="Y91" s="2" t="s">
        <v>288</v>
      </c>
      <c r="Z91" s="2" t="s">
        <v>758</v>
      </c>
      <c r="AA91" s="2">
        <v>8</v>
      </c>
      <c r="AB91" s="2">
        <v>2</v>
      </c>
      <c r="AC91" s="2">
        <v>4</v>
      </c>
      <c r="AD91" s="2">
        <v>1</v>
      </c>
      <c r="AE91" s="17">
        <v>0.05</v>
      </c>
      <c r="AF91" s="17">
        <v>0.06</v>
      </c>
      <c r="AG91" s="23">
        <v>15</v>
      </c>
      <c r="AH91" s="2" t="s">
        <v>366</v>
      </c>
      <c r="AI91" s="2" t="s">
        <v>230</v>
      </c>
      <c r="AJ91" s="2" t="s">
        <v>1224</v>
      </c>
      <c r="AK91" s="2" t="s">
        <v>232</v>
      </c>
      <c r="AL91" s="2" t="s">
        <v>964</v>
      </c>
      <c r="AM91" s="2" t="s">
        <v>203</v>
      </c>
      <c r="AN91" s="2" t="s">
        <v>880</v>
      </c>
      <c r="AO91" s="25">
        <v>0</v>
      </c>
      <c r="AP91" s="25">
        <v>-2.3322951952148241</v>
      </c>
      <c r="AQ91" s="21">
        <v>104</v>
      </c>
      <c r="AR91" s="13">
        <v>180</v>
      </c>
      <c r="AS91" s="21">
        <v>0.09</v>
      </c>
      <c r="AT91" s="27">
        <v>16.2</v>
      </c>
      <c r="AU91" s="15">
        <v>9.7199999999999995E-3</v>
      </c>
      <c r="AV91" s="19">
        <v>31.209720000000001</v>
      </c>
      <c r="AW91" s="2" t="s">
        <v>180</v>
      </c>
      <c r="AX91" s="2">
        <v>3</v>
      </c>
      <c r="AY91" s="2" t="s">
        <v>205</v>
      </c>
      <c r="AZ91" s="2" t="s">
        <v>205</v>
      </c>
      <c r="BA91" s="2">
        <v>0</v>
      </c>
      <c r="BB91" s="2" t="s">
        <v>291</v>
      </c>
      <c r="BC91" s="2" t="s">
        <v>292</v>
      </c>
      <c r="BD91" s="2" t="s">
        <v>759</v>
      </c>
      <c r="BE91" s="2" t="s">
        <v>209</v>
      </c>
      <c r="BF91" s="3" t="s">
        <v>210</v>
      </c>
    </row>
    <row r="92" spans="1:58" x14ac:dyDescent="0.25">
      <c r="A92" s="1" t="s">
        <v>760</v>
      </c>
      <c r="B92" s="11">
        <v>45717</v>
      </c>
      <c r="C92" s="11">
        <v>45722</v>
      </c>
      <c r="D92" s="2" t="s">
        <v>180</v>
      </c>
      <c r="E92" s="2" t="s">
        <v>181</v>
      </c>
      <c r="F92" s="2" t="s">
        <v>337</v>
      </c>
      <c r="G92" s="2" t="s">
        <v>276</v>
      </c>
      <c r="H92" s="2" t="s">
        <v>277</v>
      </c>
      <c r="I92" s="2" t="s">
        <v>278</v>
      </c>
      <c r="J92" s="2" t="s">
        <v>279</v>
      </c>
      <c r="K92" s="2" t="s">
        <v>277</v>
      </c>
      <c r="L92" s="2" t="s">
        <v>187</v>
      </c>
      <c r="M92" s="2" t="s">
        <v>280</v>
      </c>
      <c r="N92" s="2" t="s">
        <v>281</v>
      </c>
      <c r="O92" s="11">
        <v>43508</v>
      </c>
      <c r="P92" s="2" t="s">
        <v>761</v>
      </c>
      <c r="Q92" s="2" t="s">
        <v>762</v>
      </c>
      <c r="R92" s="2" t="s">
        <v>223</v>
      </c>
      <c r="S92" s="2" t="s">
        <v>363</v>
      </c>
      <c r="T92" s="2" t="s">
        <v>225</v>
      </c>
      <c r="U92" s="2" t="s">
        <v>226</v>
      </c>
      <c r="V92" s="13">
        <v>22</v>
      </c>
      <c r="W92" s="13">
        <v>12</v>
      </c>
      <c r="X92" s="2">
        <v>0.2</v>
      </c>
      <c r="Y92" s="2" t="s">
        <v>288</v>
      </c>
      <c r="Z92" s="2" t="s">
        <v>228</v>
      </c>
      <c r="AA92" s="2">
        <v>60</v>
      </c>
      <c r="AB92" s="2">
        <v>15</v>
      </c>
      <c r="AC92" s="2">
        <v>1</v>
      </c>
      <c r="AD92" s="2">
        <v>3</v>
      </c>
      <c r="AE92" s="17">
        <v>0</v>
      </c>
      <c r="AF92" s="17">
        <v>0.05</v>
      </c>
      <c r="AG92" s="23">
        <v>3</v>
      </c>
      <c r="AH92" s="2" t="s">
        <v>229</v>
      </c>
      <c r="AI92" s="2" t="s">
        <v>230</v>
      </c>
      <c r="AJ92" s="2" t="s">
        <v>1225</v>
      </c>
      <c r="AK92" s="2" t="s">
        <v>232</v>
      </c>
      <c r="AL92" s="2" t="s">
        <v>965</v>
      </c>
      <c r="AM92" s="2" t="s">
        <v>203</v>
      </c>
      <c r="AN92" s="2" t="s">
        <v>880</v>
      </c>
      <c r="AO92" s="25">
        <v>0</v>
      </c>
      <c r="AP92" s="25">
        <v>-11</v>
      </c>
      <c r="AQ92" s="21">
        <v>36</v>
      </c>
      <c r="AR92" s="13">
        <v>66</v>
      </c>
      <c r="AS92" s="21">
        <v>0</v>
      </c>
      <c r="AT92" s="27">
        <v>0</v>
      </c>
      <c r="AU92" s="15">
        <v>0</v>
      </c>
      <c r="AV92" s="19">
        <v>3</v>
      </c>
      <c r="AW92" s="2" t="s">
        <v>180</v>
      </c>
      <c r="AX92" s="2">
        <v>5</v>
      </c>
      <c r="AY92" s="2" t="s">
        <v>205</v>
      </c>
      <c r="AZ92" s="2" t="s">
        <v>205</v>
      </c>
      <c r="BA92" s="2">
        <v>0</v>
      </c>
      <c r="BB92" s="2" t="s">
        <v>206</v>
      </c>
      <c r="BC92" s="2" t="s">
        <v>207</v>
      </c>
      <c r="BD92" s="2" t="s">
        <v>234</v>
      </c>
      <c r="BE92" s="2" t="s">
        <v>209</v>
      </c>
      <c r="BF92" s="3" t="s">
        <v>210</v>
      </c>
    </row>
    <row r="93" spans="1:58" x14ac:dyDescent="0.25">
      <c r="A93" s="1" t="s">
        <v>763</v>
      </c>
      <c r="B93" s="11">
        <v>45718</v>
      </c>
      <c r="C93" s="11">
        <v>45721</v>
      </c>
      <c r="D93" s="2" t="s">
        <v>180</v>
      </c>
      <c r="E93" s="2" t="s">
        <v>212</v>
      </c>
      <c r="F93" s="2" t="s">
        <v>1090</v>
      </c>
      <c r="G93" s="2" t="s">
        <v>237</v>
      </c>
      <c r="H93" s="2" t="s">
        <v>215</v>
      </c>
      <c r="I93" s="2" t="s">
        <v>238</v>
      </c>
      <c r="J93" s="2" t="s">
        <v>239</v>
      </c>
      <c r="K93" s="2" t="s">
        <v>215</v>
      </c>
      <c r="L93" s="2" t="s">
        <v>218</v>
      </c>
      <c r="M93" s="2" t="s">
        <v>240</v>
      </c>
      <c r="N93" s="2" t="s">
        <v>241</v>
      </c>
      <c r="O93" s="11">
        <v>44814</v>
      </c>
      <c r="P93" s="2" t="s">
        <v>764</v>
      </c>
      <c r="Q93" s="2" t="s">
        <v>765</v>
      </c>
      <c r="R93" s="2" t="s">
        <v>192</v>
      </c>
      <c r="S93" s="2" t="s">
        <v>363</v>
      </c>
      <c r="T93" s="2" t="s">
        <v>766</v>
      </c>
      <c r="U93" s="2" t="s">
        <v>451</v>
      </c>
      <c r="V93" s="13">
        <v>15</v>
      </c>
      <c r="W93" s="13">
        <v>8</v>
      </c>
      <c r="X93" s="2">
        <v>0.3</v>
      </c>
      <c r="Y93" s="2" t="s">
        <v>382</v>
      </c>
      <c r="Z93" s="2" t="s">
        <v>767</v>
      </c>
      <c r="AA93" s="2">
        <v>100</v>
      </c>
      <c r="AB93" s="2">
        <v>20</v>
      </c>
      <c r="AC93" s="2">
        <v>1</v>
      </c>
      <c r="AD93" s="2">
        <v>6</v>
      </c>
      <c r="AE93" s="17">
        <v>0</v>
      </c>
      <c r="AF93" s="17">
        <v>0.05</v>
      </c>
      <c r="AG93" s="23">
        <v>2</v>
      </c>
      <c r="AH93" s="2" t="s">
        <v>249</v>
      </c>
      <c r="AI93" s="2" t="s">
        <v>199</v>
      </c>
      <c r="AJ93" s="2" t="s">
        <v>1226</v>
      </c>
      <c r="AK93" s="2" t="s">
        <v>201</v>
      </c>
      <c r="AL93" s="2" t="s">
        <v>966</v>
      </c>
      <c r="AM93" s="2" t="s">
        <v>203</v>
      </c>
      <c r="AN93" s="2" t="s">
        <v>880</v>
      </c>
      <c r="AO93" s="25">
        <v>0</v>
      </c>
      <c r="AP93" s="25">
        <v>-23</v>
      </c>
      <c r="AQ93" s="21">
        <v>48</v>
      </c>
      <c r="AR93" s="13">
        <v>90</v>
      </c>
      <c r="AS93" s="21">
        <v>0</v>
      </c>
      <c r="AT93" s="27">
        <v>0</v>
      </c>
      <c r="AU93" s="15">
        <v>0</v>
      </c>
      <c r="AV93" s="19">
        <v>2</v>
      </c>
      <c r="AW93" s="2" t="s">
        <v>180</v>
      </c>
      <c r="AX93" s="2">
        <v>3</v>
      </c>
      <c r="AY93" s="2" t="s">
        <v>204</v>
      </c>
      <c r="AZ93" s="2" t="s">
        <v>205</v>
      </c>
      <c r="BA93" s="2">
        <v>0</v>
      </c>
      <c r="BB93" s="2" t="s">
        <v>369</v>
      </c>
      <c r="BC93" s="2" t="s">
        <v>173</v>
      </c>
      <c r="BD93" s="2" t="s">
        <v>208</v>
      </c>
      <c r="BE93" s="2" t="s">
        <v>209</v>
      </c>
      <c r="BF93" s="3" t="s">
        <v>210</v>
      </c>
    </row>
    <row r="94" spans="1:58" x14ac:dyDescent="0.25">
      <c r="A94" s="1" t="s">
        <v>768</v>
      </c>
      <c r="B94" s="11">
        <v>45718</v>
      </c>
      <c r="C94" s="11">
        <v>45723</v>
      </c>
      <c r="D94" s="2" t="s">
        <v>310</v>
      </c>
      <c r="E94" s="2" t="s">
        <v>181</v>
      </c>
      <c r="F94" s="2" t="s">
        <v>1091</v>
      </c>
      <c r="G94" s="2" t="s">
        <v>183</v>
      </c>
      <c r="H94" s="2" t="s">
        <v>184</v>
      </c>
      <c r="I94" s="2" t="s">
        <v>185</v>
      </c>
      <c r="J94" s="2" t="s">
        <v>186</v>
      </c>
      <c r="K94" s="2" t="s">
        <v>184</v>
      </c>
      <c r="L94" s="2" t="s">
        <v>187</v>
      </c>
      <c r="M94" s="2" t="s">
        <v>188</v>
      </c>
      <c r="N94" s="2" t="s">
        <v>189</v>
      </c>
      <c r="O94" s="11">
        <v>43891</v>
      </c>
      <c r="P94" s="2" t="s">
        <v>769</v>
      </c>
      <c r="Q94" s="2" t="s">
        <v>770</v>
      </c>
      <c r="R94" s="2" t="s">
        <v>578</v>
      </c>
      <c r="S94" s="2" t="s">
        <v>771</v>
      </c>
      <c r="T94" s="2" t="s">
        <v>443</v>
      </c>
      <c r="U94" s="2" t="s">
        <v>581</v>
      </c>
      <c r="V94" s="13">
        <v>3</v>
      </c>
      <c r="W94" s="13">
        <v>1.5</v>
      </c>
      <c r="X94" s="2">
        <v>0.1</v>
      </c>
      <c r="Y94" s="2" t="s">
        <v>445</v>
      </c>
      <c r="Z94" s="2" t="s">
        <v>880</v>
      </c>
      <c r="AA94" s="2">
        <v>1000</v>
      </c>
      <c r="AB94" s="2">
        <v>200</v>
      </c>
      <c r="AC94" s="2">
        <v>1</v>
      </c>
      <c r="AD94" s="2">
        <v>40</v>
      </c>
      <c r="AE94" s="17">
        <v>0</v>
      </c>
      <c r="AF94" s="17">
        <v>0.04</v>
      </c>
      <c r="AG94" s="23">
        <v>4</v>
      </c>
      <c r="AH94" s="2" t="s">
        <v>198</v>
      </c>
      <c r="AI94" s="2" t="s">
        <v>230</v>
      </c>
      <c r="AJ94" s="2" t="s">
        <v>1227</v>
      </c>
      <c r="AK94" s="2" t="s">
        <v>196</v>
      </c>
      <c r="AL94" s="2" t="s">
        <v>967</v>
      </c>
      <c r="AM94" s="2" t="s">
        <v>203</v>
      </c>
      <c r="AN94" s="2" t="s">
        <v>880</v>
      </c>
      <c r="AO94" s="25">
        <v>0</v>
      </c>
      <c r="AP94" s="25">
        <v>-14</v>
      </c>
      <c r="AQ94" s="21">
        <v>60</v>
      </c>
      <c r="AR94" s="13">
        <v>120</v>
      </c>
      <c r="AS94" s="21">
        <v>0</v>
      </c>
      <c r="AT94" s="27">
        <v>0</v>
      </c>
      <c r="AU94" s="15">
        <v>0</v>
      </c>
      <c r="AV94" s="19">
        <v>4</v>
      </c>
      <c r="AW94" s="2" t="s">
        <v>310</v>
      </c>
      <c r="AX94" s="2">
        <v>5</v>
      </c>
      <c r="AY94" s="2" t="s">
        <v>205</v>
      </c>
      <c r="AZ94" s="2" t="s">
        <v>204</v>
      </c>
      <c r="BA94" s="2">
        <v>0.05</v>
      </c>
      <c r="BB94" s="2" t="s">
        <v>369</v>
      </c>
      <c r="BC94" s="2" t="s">
        <v>173</v>
      </c>
      <c r="BD94" s="2" t="s">
        <v>582</v>
      </c>
      <c r="BE94" s="2" t="s">
        <v>209</v>
      </c>
      <c r="BF94" s="3" t="s">
        <v>210</v>
      </c>
    </row>
    <row r="95" spans="1:58" x14ac:dyDescent="0.25">
      <c r="A95" s="1" t="s">
        <v>772</v>
      </c>
      <c r="B95" s="11">
        <v>45719</v>
      </c>
      <c r="C95" s="11">
        <v>45722</v>
      </c>
      <c r="D95" s="2" t="s">
        <v>180</v>
      </c>
      <c r="E95" s="2" t="s">
        <v>212</v>
      </c>
      <c r="F95" s="2" t="s">
        <v>1092</v>
      </c>
      <c r="G95" s="2" t="s">
        <v>296</v>
      </c>
      <c r="H95" s="2" t="s">
        <v>297</v>
      </c>
      <c r="I95" s="2" t="s">
        <v>298</v>
      </c>
      <c r="J95" s="2" t="s">
        <v>299</v>
      </c>
      <c r="K95" s="2" t="s">
        <v>297</v>
      </c>
      <c r="L95" s="2" t="s">
        <v>187</v>
      </c>
      <c r="M95" s="2" t="s">
        <v>300</v>
      </c>
      <c r="N95" s="2" t="s">
        <v>301</v>
      </c>
      <c r="O95" s="11">
        <v>43332</v>
      </c>
      <c r="P95" s="2" t="s">
        <v>773</v>
      </c>
      <c r="Q95" s="2" t="s">
        <v>774</v>
      </c>
      <c r="R95" s="2" t="s">
        <v>244</v>
      </c>
      <c r="S95" s="2" t="s">
        <v>563</v>
      </c>
      <c r="T95" s="2" t="s">
        <v>775</v>
      </c>
      <c r="U95" s="2" t="s">
        <v>247</v>
      </c>
      <c r="V95" s="13">
        <v>28</v>
      </c>
      <c r="W95" s="13">
        <v>15</v>
      </c>
      <c r="X95" s="2">
        <v>0.6</v>
      </c>
      <c r="Y95" s="2" t="s">
        <v>382</v>
      </c>
      <c r="Z95" s="2" t="s">
        <v>880</v>
      </c>
      <c r="AA95" s="2">
        <v>40</v>
      </c>
      <c r="AB95" s="2">
        <v>10</v>
      </c>
      <c r="AC95" s="2">
        <v>2</v>
      </c>
      <c r="AD95" s="2">
        <v>2</v>
      </c>
      <c r="AE95" s="17">
        <v>0</v>
      </c>
      <c r="AF95" s="17">
        <v>0.05</v>
      </c>
      <c r="AG95" s="23">
        <v>4</v>
      </c>
      <c r="AH95" s="2" t="s">
        <v>289</v>
      </c>
      <c r="AI95" s="2" t="s">
        <v>199</v>
      </c>
      <c r="AJ95" s="2" t="s">
        <v>1228</v>
      </c>
      <c r="AK95" s="2" t="s">
        <v>271</v>
      </c>
      <c r="AL95" s="2" t="s">
        <v>968</v>
      </c>
      <c r="AM95" s="2" t="s">
        <v>203</v>
      </c>
      <c r="AN95" s="2" t="s">
        <v>880</v>
      </c>
      <c r="AO95" s="25">
        <v>0</v>
      </c>
      <c r="AP95" s="25">
        <v>-6.5</v>
      </c>
      <c r="AQ95" s="21">
        <v>30</v>
      </c>
      <c r="AR95" s="13">
        <v>56</v>
      </c>
      <c r="AS95" s="21">
        <v>0</v>
      </c>
      <c r="AT95" s="27">
        <v>0</v>
      </c>
      <c r="AU95" s="15">
        <v>0</v>
      </c>
      <c r="AV95" s="19">
        <v>4</v>
      </c>
      <c r="AW95" s="2" t="s">
        <v>180</v>
      </c>
      <c r="AX95" s="2">
        <v>3</v>
      </c>
      <c r="AY95" s="2" t="s">
        <v>205</v>
      </c>
      <c r="AZ95" s="2" t="s">
        <v>205</v>
      </c>
      <c r="BA95" s="2">
        <v>0</v>
      </c>
      <c r="BB95" s="2" t="s">
        <v>880</v>
      </c>
      <c r="BC95" s="2" t="s">
        <v>880</v>
      </c>
      <c r="BD95" s="2" t="s">
        <v>254</v>
      </c>
      <c r="BE95" s="2" t="s">
        <v>209</v>
      </c>
      <c r="BF95" s="3" t="s">
        <v>210</v>
      </c>
    </row>
    <row r="96" spans="1:58" x14ac:dyDescent="0.25">
      <c r="A96" s="1" t="s">
        <v>776</v>
      </c>
      <c r="B96" s="11">
        <v>45719</v>
      </c>
      <c r="C96" s="11">
        <v>45724</v>
      </c>
      <c r="D96" s="2" t="s">
        <v>180</v>
      </c>
      <c r="E96" s="2" t="s">
        <v>181</v>
      </c>
      <c r="F96" s="2" t="s">
        <v>1093</v>
      </c>
      <c r="G96" s="2" t="s">
        <v>312</v>
      </c>
      <c r="H96" s="2" t="s">
        <v>184</v>
      </c>
      <c r="I96" s="2" t="s">
        <v>313</v>
      </c>
      <c r="J96" s="2" t="s">
        <v>314</v>
      </c>
      <c r="K96" s="2" t="s">
        <v>184</v>
      </c>
      <c r="L96" s="2" t="s">
        <v>218</v>
      </c>
      <c r="M96" s="2" t="s">
        <v>315</v>
      </c>
      <c r="N96" s="2" t="s">
        <v>316</v>
      </c>
      <c r="O96" s="11">
        <v>44745</v>
      </c>
      <c r="P96" s="2" t="s">
        <v>777</v>
      </c>
      <c r="Q96" s="2" t="s">
        <v>778</v>
      </c>
      <c r="R96" s="2" t="s">
        <v>192</v>
      </c>
      <c r="S96" s="2" t="s">
        <v>755</v>
      </c>
      <c r="T96" s="2" t="s">
        <v>779</v>
      </c>
      <c r="U96" s="2" t="s">
        <v>757</v>
      </c>
      <c r="V96" s="13">
        <v>400</v>
      </c>
      <c r="W96" s="13">
        <v>240</v>
      </c>
      <c r="X96" s="2">
        <v>7</v>
      </c>
      <c r="Y96" s="2" t="s">
        <v>248</v>
      </c>
      <c r="Z96" s="2" t="s">
        <v>880</v>
      </c>
      <c r="AA96" s="2">
        <v>6</v>
      </c>
      <c r="AB96" s="2">
        <v>1</v>
      </c>
      <c r="AC96" s="2">
        <v>5</v>
      </c>
      <c r="AD96" s="2">
        <v>1</v>
      </c>
      <c r="AE96" s="17">
        <v>0.05</v>
      </c>
      <c r="AF96" s="17">
        <v>7.0000000000000007E-2</v>
      </c>
      <c r="AG96" s="23">
        <v>25</v>
      </c>
      <c r="AH96" s="2" t="s">
        <v>229</v>
      </c>
      <c r="AI96" s="2" t="s">
        <v>199</v>
      </c>
      <c r="AJ96" s="2" t="s">
        <v>1229</v>
      </c>
      <c r="AK96" s="2" t="s">
        <v>271</v>
      </c>
      <c r="AL96" s="2" t="s">
        <v>969</v>
      </c>
      <c r="AM96" s="2" t="s">
        <v>203</v>
      </c>
      <c r="AN96" s="2" t="s">
        <v>880</v>
      </c>
      <c r="AO96" s="25">
        <v>0</v>
      </c>
      <c r="AP96" s="25">
        <v>-1.284495887907402</v>
      </c>
      <c r="AQ96" s="21">
        <v>240</v>
      </c>
      <c r="AR96" s="13">
        <v>400</v>
      </c>
      <c r="AS96" s="21">
        <v>0.2</v>
      </c>
      <c r="AT96" s="27">
        <v>80</v>
      </c>
      <c r="AU96" s="15">
        <v>5.6000000000000008E-2</v>
      </c>
      <c r="AV96" s="19">
        <v>105.056</v>
      </c>
      <c r="AW96" s="2" t="s">
        <v>180</v>
      </c>
      <c r="AX96" s="2">
        <v>5</v>
      </c>
      <c r="AY96" s="2" t="s">
        <v>205</v>
      </c>
      <c r="AZ96" s="2" t="s">
        <v>205</v>
      </c>
      <c r="BA96" s="2">
        <v>0</v>
      </c>
      <c r="BB96" s="2" t="s">
        <v>352</v>
      </c>
      <c r="BC96" s="2" t="s">
        <v>353</v>
      </c>
      <c r="BD96" s="2" t="s">
        <v>759</v>
      </c>
      <c r="BE96" s="2" t="s">
        <v>209</v>
      </c>
      <c r="BF96" s="3" t="s">
        <v>210</v>
      </c>
    </row>
    <row r="97" spans="1:58" x14ac:dyDescent="0.25">
      <c r="A97" s="1" t="s">
        <v>780</v>
      </c>
      <c r="B97" s="11">
        <v>45720</v>
      </c>
      <c r="C97" s="11">
        <v>45723</v>
      </c>
      <c r="D97" s="2" t="s">
        <v>180</v>
      </c>
      <c r="E97" s="2" t="s">
        <v>212</v>
      </c>
      <c r="F97" s="2" t="s">
        <v>1094</v>
      </c>
      <c r="G97" s="2" t="s">
        <v>326</v>
      </c>
      <c r="H97" s="2" t="s">
        <v>215</v>
      </c>
      <c r="I97" s="2" t="s">
        <v>327</v>
      </c>
      <c r="J97" s="2" t="s">
        <v>217</v>
      </c>
      <c r="K97" s="2" t="s">
        <v>215</v>
      </c>
      <c r="L97" s="2" t="s">
        <v>218</v>
      </c>
      <c r="M97" s="2" t="s">
        <v>328</v>
      </c>
      <c r="N97" s="2" t="s">
        <v>329</v>
      </c>
      <c r="O97" s="11">
        <v>44300</v>
      </c>
      <c r="P97" s="2" t="s">
        <v>781</v>
      </c>
      <c r="Q97" s="2" t="s">
        <v>782</v>
      </c>
      <c r="R97" s="2" t="s">
        <v>265</v>
      </c>
      <c r="S97" s="2" t="s">
        <v>363</v>
      </c>
      <c r="T97" s="2" t="s">
        <v>783</v>
      </c>
      <c r="U97" s="2" t="s">
        <v>268</v>
      </c>
      <c r="V97" s="13">
        <v>22</v>
      </c>
      <c r="W97" s="13">
        <v>12</v>
      </c>
      <c r="X97" s="2">
        <v>0.5</v>
      </c>
      <c r="Y97" s="2" t="s">
        <v>471</v>
      </c>
      <c r="Z97" s="2" t="s">
        <v>784</v>
      </c>
      <c r="AA97" s="2">
        <v>35</v>
      </c>
      <c r="AB97" s="2">
        <v>8</v>
      </c>
      <c r="AC97" s="2">
        <v>1</v>
      </c>
      <c r="AD97" s="2">
        <v>2</v>
      </c>
      <c r="AE97" s="17">
        <v>0</v>
      </c>
      <c r="AF97" s="17">
        <v>0.05</v>
      </c>
      <c r="AG97" s="23">
        <v>3</v>
      </c>
      <c r="AH97" s="2" t="s">
        <v>249</v>
      </c>
      <c r="AI97" s="2" t="s">
        <v>230</v>
      </c>
      <c r="AJ97" s="2" t="s">
        <v>1230</v>
      </c>
      <c r="AK97" s="2" t="s">
        <v>232</v>
      </c>
      <c r="AL97" s="2" t="s">
        <v>970</v>
      </c>
      <c r="AM97" s="2" t="s">
        <v>203</v>
      </c>
      <c r="AN97" s="2" t="s">
        <v>880</v>
      </c>
      <c r="AO97" s="25">
        <v>0</v>
      </c>
      <c r="AP97" s="25">
        <v>-7</v>
      </c>
      <c r="AQ97" s="21">
        <v>24</v>
      </c>
      <c r="AR97" s="13">
        <v>44</v>
      </c>
      <c r="AS97" s="21">
        <v>0</v>
      </c>
      <c r="AT97" s="27">
        <v>0</v>
      </c>
      <c r="AU97" s="15">
        <v>0</v>
      </c>
      <c r="AV97" s="19">
        <v>3</v>
      </c>
      <c r="AW97" s="2" t="s">
        <v>180</v>
      </c>
      <c r="AX97" s="2">
        <v>3</v>
      </c>
      <c r="AY97" s="2" t="s">
        <v>205</v>
      </c>
      <c r="AZ97" s="2" t="s">
        <v>205</v>
      </c>
      <c r="BA97" s="2">
        <v>0</v>
      </c>
      <c r="BB97" s="2" t="s">
        <v>880</v>
      </c>
      <c r="BC97" s="2" t="s">
        <v>880</v>
      </c>
      <c r="BD97" s="2" t="s">
        <v>273</v>
      </c>
      <c r="BE97" s="2" t="s">
        <v>255</v>
      </c>
      <c r="BF97" s="3" t="s">
        <v>210</v>
      </c>
    </row>
    <row r="98" spans="1:58" x14ac:dyDescent="0.25">
      <c r="A98" s="1" t="s">
        <v>785</v>
      </c>
      <c r="B98" s="11">
        <v>45720</v>
      </c>
      <c r="C98" s="11">
        <v>45725</v>
      </c>
      <c r="D98" s="2" t="s">
        <v>371</v>
      </c>
      <c r="E98" s="2" t="s">
        <v>181</v>
      </c>
      <c r="F98" s="2" t="s">
        <v>1095</v>
      </c>
      <c r="G98" s="2" t="s">
        <v>338</v>
      </c>
      <c r="H98" s="2" t="s">
        <v>184</v>
      </c>
      <c r="I98" s="2" t="s">
        <v>339</v>
      </c>
      <c r="J98" s="2" t="s">
        <v>340</v>
      </c>
      <c r="K98" s="2" t="s">
        <v>184</v>
      </c>
      <c r="L98" s="2" t="s">
        <v>218</v>
      </c>
      <c r="M98" s="2" t="s">
        <v>341</v>
      </c>
      <c r="N98" s="2" t="s">
        <v>342</v>
      </c>
      <c r="O98" s="11">
        <v>44982</v>
      </c>
      <c r="P98" s="2" t="s">
        <v>786</v>
      </c>
      <c r="Q98" s="2" t="s">
        <v>787</v>
      </c>
      <c r="R98" s="2" t="s">
        <v>284</v>
      </c>
      <c r="S98" s="2" t="s">
        <v>788</v>
      </c>
      <c r="T98" s="2" t="s">
        <v>430</v>
      </c>
      <c r="U98" s="2" t="s">
        <v>431</v>
      </c>
      <c r="V98" s="13">
        <v>130</v>
      </c>
      <c r="W98" s="13">
        <v>75</v>
      </c>
      <c r="X98" s="2">
        <v>12</v>
      </c>
      <c r="Y98" s="2" t="s">
        <v>382</v>
      </c>
      <c r="Z98" s="2" t="s">
        <v>880</v>
      </c>
      <c r="AA98" s="2">
        <v>12</v>
      </c>
      <c r="AB98" s="2">
        <v>3</v>
      </c>
      <c r="AC98" s="2">
        <v>3</v>
      </c>
      <c r="AD98" s="2">
        <v>1</v>
      </c>
      <c r="AE98" s="17">
        <v>0</v>
      </c>
      <c r="AF98" s="17">
        <v>0.06</v>
      </c>
      <c r="AG98" s="23">
        <v>15</v>
      </c>
      <c r="AH98" s="2" t="s">
        <v>198</v>
      </c>
      <c r="AI98" s="2" t="s">
        <v>199</v>
      </c>
      <c r="AJ98" s="2" t="s">
        <v>1231</v>
      </c>
      <c r="AK98" s="2" t="s">
        <v>201</v>
      </c>
      <c r="AL98" s="2" t="s">
        <v>971</v>
      </c>
      <c r="AM98" s="2" t="s">
        <v>203</v>
      </c>
      <c r="AN98" s="2" t="s">
        <v>880</v>
      </c>
      <c r="AO98" s="25">
        <v>0</v>
      </c>
      <c r="AP98" s="25">
        <v>-4</v>
      </c>
      <c r="AQ98" s="21">
        <v>75</v>
      </c>
      <c r="AR98" s="13">
        <v>130</v>
      </c>
      <c r="AS98" s="21">
        <v>0</v>
      </c>
      <c r="AT98" s="27">
        <v>0</v>
      </c>
      <c r="AU98" s="15">
        <v>0</v>
      </c>
      <c r="AV98" s="19">
        <v>15</v>
      </c>
      <c r="AW98" s="2" t="s">
        <v>371</v>
      </c>
      <c r="AX98" s="2">
        <v>5</v>
      </c>
      <c r="AY98" s="2" t="s">
        <v>204</v>
      </c>
      <c r="AZ98" s="2" t="s">
        <v>205</v>
      </c>
      <c r="BA98" s="2">
        <v>0</v>
      </c>
      <c r="BB98" s="2" t="s">
        <v>880</v>
      </c>
      <c r="BC98" s="2" t="s">
        <v>880</v>
      </c>
      <c r="BD98" s="2" t="s">
        <v>293</v>
      </c>
      <c r="BE98" s="2" t="s">
        <v>209</v>
      </c>
      <c r="BF98" s="3" t="s">
        <v>210</v>
      </c>
    </row>
    <row r="99" spans="1:58" x14ac:dyDescent="0.25">
      <c r="A99" s="1" t="s">
        <v>789</v>
      </c>
      <c r="B99" s="11">
        <v>45721</v>
      </c>
      <c r="C99" s="11">
        <v>45724</v>
      </c>
      <c r="D99" s="2" t="s">
        <v>180</v>
      </c>
      <c r="E99" s="2" t="s">
        <v>212</v>
      </c>
      <c r="F99" s="2" t="s">
        <v>1096</v>
      </c>
      <c r="G99" s="2" t="s">
        <v>356</v>
      </c>
      <c r="H99" s="2" t="s">
        <v>297</v>
      </c>
      <c r="I99" s="2" t="s">
        <v>357</v>
      </c>
      <c r="J99" s="2" t="s">
        <v>358</v>
      </c>
      <c r="K99" s="2" t="s">
        <v>297</v>
      </c>
      <c r="L99" s="2" t="s">
        <v>218</v>
      </c>
      <c r="M99" s="2" t="s">
        <v>359</v>
      </c>
      <c r="N99" s="2" t="s">
        <v>360</v>
      </c>
      <c r="O99" s="11">
        <v>44895</v>
      </c>
      <c r="P99" s="2" t="s">
        <v>790</v>
      </c>
      <c r="Q99" s="2" t="s">
        <v>791</v>
      </c>
      <c r="R99" s="2" t="s">
        <v>578</v>
      </c>
      <c r="S99" s="2" t="s">
        <v>792</v>
      </c>
      <c r="T99" s="2" t="s">
        <v>793</v>
      </c>
      <c r="U99" s="2" t="s">
        <v>581</v>
      </c>
      <c r="V99" s="13">
        <v>4</v>
      </c>
      <c r="W99" s="13">
        <v>2</v>
      </c>
      <c r="X99" s="2">
        <v>0.2</v>
      </c>
      <c r="Y99" s="2" t="s">
        <v>880</v>
      </c>
      <c r="Z99" s="2" t="s">
        <v>880</v>
      </c>
      <c r="AA99" s="2">
        <v>150</v>
      </c>
      <c r="AB99" s="2">
        <v>30</v>
      </c>
      <c r="AC99" s="2">
        <v>1</v>
      </c>
      <c r="AD99" s="2">
        <v>12</v>
      </c>
      <c r="AE99" s="17">
        <v>0</v>
      </c>
      <c r="AF99" s="17">
        <v>0.04</v>
      </c>
      <c r="AG99" s="23">
        <v>2</v>
      </c>
      <c r="AH99" s="2" t="s">
        <v>366</v>
      </c>
      <c r="AI99" s="2" t="s">
        <v>230</v>
      </c>
      <c r="AJ99" s="2" t="s">
        <v>1232</v>
      </c>
      <c r="AK99" s="2" t="s">
        <v>196</v>
      </c>
      <c r="AL99" s="2" t="s">
        <v>972</v>
      </c>
      <c r="AM99" s="2" t="s">
        <v>203</v>
      </c>
      <c r="AN99" s="2" t="s">
        <v>880</v>
      </c>
      <c r="AO99" s="25">
        <v>0</v>
      </c>
      <c r="AP99" s="25">
        <v>-11</v>
      </c>
      <c r="AQ99" s="21">
        <v>24</v>
      </c>
      <c r="AR99" s="13">
        <v>48</v>
      </c>
      <c r="AS99" s="21">
        <v>0</v>
      </c>
      <c r="AT99" s="27">
        <v>0</v>
      </c>
      <c r="AU99" s="15">
        <v>0</v>
      </c>
      <c r="AV99" s="19">
        <v>2</v>
      </c>
      <c r="AW99" s="2" t="s">
        <v>180</v>
      </c>
      <c r="AX99" s="2">
        <v>3</v>
      </c>
      <c r="AY99" s="2" t="s">
        <v>205</v>
      </c>
      <c r="AZ99" s="2" t="s">
        <v>204</v>
      </c>
      <c r="BA99" s="2">
        <v>0.05</v>
      </c>
      <c r="BB99" s="2" t="s">
        <v>369</v>
      </c>
      <c r="BC99" s="2" t="s">
        <v>173</v>
      </c>
      <c r="BD99" s="2" t="s">
        <v>582</v>
      </c>
      <c r="BE99" s="2" t="s">
        <v>209</v>
      </c>
      <c r="BF99" s="3" t="s">
        <v>210</v>
      </c>
    </row>
    <row r="100" spans="1:58" x14ac:dyDescent="0.25">
      <c r="A100" s="1" t="s">
        <v>794</v>
      </c>
      <c r="B100" s="11">
        <v>45721</v>
      </c>
      <c r="C100" s="11">
        <v>45726</v>
      </c>
      <c r="D100" s="2" t="s">
        <v>180</v>
      </c>
      <c r="E100" s="2" t="s">
        <v>181</v>
      </c>
      <c r="F100" s="2" t="s">
        <v>1097</v>
      </c>
      <c r="G100" s="2" t="s">
        <v>373</v>
      </c>
      <c r="H100" s="2" t="s">
        <v>297</v>
      </c>
      <c r="I100" s="2" t="s">
        <v>374</v>
      </c>
      <c r="J100" s="2" t="s">
        <v>375</v>
      </c>
      <c r="K100" s="2" t="s">
        <v>297</v>
      </c>
      <c r="L100" s="2" t="s">
        <v>218</v>
      </c>
      <c r="M100" s="2" t="s">
        <v>376</v>
      </c>
      <c r="N100" s="2" t="s">
        <v>377</v>
      </c>
      <c r="O100" s="11">
        <v>45033</v>
      </c>
      <c r="P100" s="2" t="s">
        <v>795</v>
      </c>
      <c r="Q100" s="2" t="s">
        <v>796</v>
      </c>
      <c r="R100" s="2" t="s">
        <v>244</v>
      </c>
      <c r="S100" s="2" t="s">
        <v>534</v>
      </c>
      <c r="T100" s="2" t="s">
        <v>797</v>
      </c>
      <c r="U100" s="2" t="s">
        <v>247</v>
      </c>
      <c r="V100" s="13">
        <v>45</v>
      </c>
      <c r="W100" s="13">
        <v>25</v>
      </c>
      <c r="X100" s="2">
        <v>3.5</v>
      </c>
      <c r="Y100" s="2" t="s">
        <v>288</v>
      </c>
      <c r="Z100" s="2" t="s">
        <v>880</v>
      </c>
      <c r="AA100" s="2">
        <v>18</v>
      </c>
      <c r="AB100" s="2">
        <v>4</v>
      </c>
      <c r="AC100" s="2">
        <v>2</v>
      </c>
      <c r="AD100" s="2">
        <v>1</v>
      </c>
      <c r="AE100" s="17">
        <v>0</v>
      </c>
      <c r="AF100" s="17">
        <v>0.06</v>
      </c>
      <c r="AG100" s="23">
        <v>6</v>
      </c>
      <c r="AH100" s="2" t="s">
        <v>229</v>
      </c>
      <c r="AI100" s="2" t="s">
        <v>199</v>
      </c>
      <c r="AJ100" s="2" t="s">
        <v>1233</v>
      </c>
      <c r="AK100" s="2" t="s">
        <v>201</v>
      </c>
      <c r="AL100" s="2" t="s">
        <v>973</v>
      </c>
      <c r="AM100" s="2" t="s">
        <v>203</v>
      </c>
      <c r="AN100" s="2" t="s">
        <v>880</v>
      </c>
      <c r="AO100" s="25">
        <v>0</v>
      </c>
      <c r="AP100" s="25">
        <v>-3.1666666666666665</v>
      </c>
      <c r="AQ100" s="21">
        <v>25</v>
      </c>
      <c r="AR100" s="13">
        <v>45</v>
      </c>
      <c r="AS100" s="21">
        <v>0</v>
      </c>
      <c r="AT100" s="27">
        <v>0</v>
      </c>
      <c r="AU100" s="15">
        <v>0</v>
      </c>
      <c r="AV100" s="19">
        <v>6</v>
      </c>
      <c r="AW100" s="2" t="s">
        <v>180</v>
      </c>
      <c r="AX100" s="2">
        <v>5</v>
      </c>
      <c r="AY100" s="2" t="s">
        <v>204</v>
      </c>
      <c r="AZ100" s="2" t="s">
        <v>205</v>
      </c>
      <c r="BA100" s="2">
        <v>0</v>
      </c>
      <c r="BB100" s="2" t="s">
        <v>206</v>
      </c>
      <c r="BC100" s="2" t="s">
        <v>207</v>
      </c>
      <c r="BD100" s="2" t="s">
        <v>254</v>
      </c>
      <c r="BE100" s="2" t="s">
        <v>209</v>
      </c>
      <c r="BF100" s="3" t="s">
        <v>210</v>
      </c>
    </row>
    <row r="101" spans="1:58" x14ac:dyDescent="0.25">
      <c r="A101" s="1" t="s">
        <v>798</v>
      </c>
      <c r="B101" s="11">
        <v>45722</v>
      </c>
      <c r="C101" s="11">
        <v>45725</v>
      </c>
      <c r="D101" s="2" t="s">
        <v>180</v>
      </c>
      <c r="E101" s="2" t="s">
        <v>212</v>
      </c>
      <c r="F101" s="2" t="s">
        <v>1098</v>
      </c>
      <c r="G101" s="2" t="s">
        <v>214</v>
      </c>
      <c r="H101" s="2" t="s">
        <v>215</v>
      </c>
      <c r="I101" s="2" t="s">
        <v>216</v>
      </c>
      <c r="J101" s="2" t="s">
        <v>217</v>
      </c>
      <c r="K101" s="2" t="s">
        <v>215</v>
      </c>
      <c r="L101" s="2" t="s">
        <v>218</v>
      </c>
      <c r="M101" s="2" t="s">
        <v>219</v>
      </c>
      <c r="N101" s="2" t="s">
        <v>220</v>
      </c>
      <c r="O101" s="11">
        <v>44362</v>
      </c>
      <c r="P101" s="2" t="s">
        <v>799</v>
      </c>
      <c r="Q101" s="2" t="s">
        <v>800</v>
      </c>
      <c r="R101" s="2" t="s">
        <v>244</v>
      </c>
      <c r="S101" s="2" t="s">
        <v>519</v>
      </c>
      <c r="T101" s="2" t="s">
        <v>801</v>
      </c>
      <c r="U101" s="2" t="s">
        <v>247</v>
      </c>
      <c r="V101" s="13">
        <v>35</v>
      </c>
      <c r="W101" s="13">
        <v>19</v>
      </c>
      <c r="X101" s="2">
        <v>0.5</v>
      </c>
      <c r="Y101" s="2" t="s">
        <v>196</v>
      </c>
      <c r="Z101" s="2" t="s">
        <v>880</v>
      </c>
      <c r="AA101" s="2">
        <v>25</v>
      </c>
      <c r="AB101" s="2">
        <v>5</v>
      </c>
      <c r="AC101" s="2">
        <v>1</v>
      </c>
      <c r="AD101" s="2">
        <v>1</v>
      </c>
      <c r="AE101" s="17">
        <v>0.05</v>
      </c>
      <c r="AF101" s="17">
        <v>0.06</v>
      </c>
      <c r="AG101" s="23">
        <v>3</v>
      </c>
      <c r="AH101" s="2" t="s">
        <v>249</v>
      </c>
      <c r="AI101" s="2" t="s">
        <v>230</v>
      </c>
      <c r="AJ101" s="2" t="s">
        <v>1234</v>
      </c>
      <c r="AK101" s="2" t="s">
        <v>232</v>
      </c>
      <c r="AL101" s="2" t="s">
        <v>974</v>
      </c>
      <c r="AM101" s="2" t="s">
        <v>203</v>
      </c>
      <c r="AN101" s="2" t="s">
        <v>880</v>
      </c>
      <c r="AO101" s="25">
        <v>0</v>
      </c>
      <c r="AP101" s="25">
        <v>-4.2589805742945179</v>
      </c>
      <c r="AQ101" s="21">
        <v>19</v>
      </c>
      <c r="AR101" s="13">
        <v>35</v>
      </c>
      <c r="AS101" s="21">
        <v>1.7500000000000002E-2</v>
      </c>
      <c r="AT101" s="27">
        <v>0.61250000000000004</v>
      </c>
      <c r="AU101" s="15">
        <v>3.6749999999999999E-4</v>
      </c>
      <c r="AV101" s="19">
        <v>3.6128675000000001</v>
      </c>
      <c r="AW101" s="2" t="s">
        <v>180</v>
      </c>
      <c r="AX101" s="2">
        <v>3</v>
      </c>
      <c r="AY101" s="2" t="s">
        <v>205</v>
      </c>
      <c r="AZ101" s="2" t="s">
        <v>205</v>
      </c>
      <c r="BA101" s="2">
        <v>0</v>
      </c>
      <c r="BB101" s="2" t="s">
        <v>252</v>
      </c>
      <c r="BC101" s="2" t="s">
        <v>253</v>
      </c>
      <c r="BD101" s="2" t="s">
        <v>254</v>
      </c>
      <c r="BE101" s="2" t="s">
        <v>209</v>
      </c>
      <c r="BF101" s="3" t="s">
        <v>210</v>
      </c>
    </row>
    <row r="102" spans="1:58" x14ac:dyDescent="0.25">
      <c r="A102" s="1" t="s">
        <v>802</v>
      </c>
      <c r="B102" s="11">
        <v>45722</v>
      </c>
      <c r="C102" s="11">
        <v>45727</v>
      </c>
      <c r="D102" s="2" t="s">
        <v>180</v>
      </c>
      <c r="E102" s="2" t="s">
        <v>181</v>
      </c>
      <c r="F102" s="2" t="s">
        <v>1099</v>
      </c>
      <c r="G102" s="2" t="s">
        <v>258</v>
      </c>
      <c r="H102" s="2" t="s">
        <v>184</v>
      </c>
      <c r="I102" s="2" t="s">
        <v>259</v>
      </c>
      <c r="J102" s="2" t="s">
        <v>260</v>
      </c>
      <c r="K102" s="2" t="s">
        <v>184</v>
      </c>
      <c r="L102" s="2" t="s">
        <v>218</v>
      </c>
      <c r="M102" s="2" t="s">
        <v>261</v>
      </c>
      <c r="N102" s="2" t="s">
        <v>262</v>
      </c>
      <c r="O102" s="11">
        <v>44140</v>
      </c>
      <c r="P102" s="2" t="s">
        <v>803</v>
      </c>
      <c r="Q102" s="2" t="s">
        <v>804</v>
      </c>
      <c r="R102" s="2" t="s">
        <v>285</v>
      </c>
      <c r="S102" s="2" t="s">
        <v>695</v>
      </c>
      <c r="T102" s="2" t="s">
        <v>805</v>
      </c>
      <c r="U102" s="2" t="s">
        <v>287</v>
      </c>
      <c r="V102" s="13">
        <v>18</v>
      </c>
      <c r="W102" s="13">
        <v>9</v>
      </c>
      <c r="X102" s="2">
        <v>0.3</v>
      </c>
      <c r="Y102" s="2" t="s">
        <v>484</v>
      </c>
      <c r="Z102" s="2" t="s">
        <v>806</v>
      </c>
      <c r="AA102" s="2">
        <v>45</v>
      </c>
      <c r="AB102" s="2">
        <v>10</v>
      </c>
      <c r="AC102" s="2">
        <v>2</v>
      </c>
      <c r="AD102" s="2">
        <v>2</v>
      </c>
      <c r="AE102" s="17">
        <v>0</v>
      </c>
      <c r="AF102" s="17">
        <v>0.05</v>
      </c>
      <c r="AG102" s="23">
        <v>3</v>
      </c>
      <c r="AH102" s="2" t="s">
        <v>198</v>
      </c>
      <c r="AI102" s="2" t="s">
        <v>230</v>
      </c>
      <c r="AJ102" s="2" t="s">
        <v>1235</v>
      </c>
      <c r="AK102" s="2" t="s">
        <v>196</v>
      </c>
      <c r="AL102" s="2" t="s">
        <v>975</v>
      </c>
      <c r="AM102" s="2" t="s">
        <v>203</v>
      </c>
      <c r="AN102" s="2" t="s">
        <v>880</v>
      </c>
      <c r="AO102" s="25">
        <v>0</v>
      </c>
      <c r="AP102" s="25">
        <v>-5</v>
      </c>
      <c r="AQ102" s="21">
        <v>18</v>
      </c>
      <c r="AR102" s="13">
        <v>36</v>
      </c>
      <c r="AS102" s="21">
        <v>0</v>
      </c>
      <c r="AT102" s="27">
        <v>0</v>
      </c>
      <c r="AU102" s="15">
        <v>0</v>
      </c>
      <c r="AV102" s="19">
        <v>3</v>
      </c>
      <c r="AW102" s="2" t="s">
        <v>180</v>
      </c>
      <c r="AX102" s="2">
        <v>5</v>
      </c>
      <c r="AY102" s="2" t="s">
        <v>205</v>
      </c>
      <c r="AZ102" s="2" t="s">
        <v>205</v>
      </c>
      <c r="BA102" s="2">
        <v>0</v>
      </c>
      <c r="BB102" s="2" t="s">
        <v>880</v>
      </c>
      <c r="BC102" s="2" t="s">
        <v>880</v>
      </c>
      <c r="BD102" s="2" t="s">
        <v>422</v>
      </c>
      <c r="BE102" s="2" t="s">
        <v>209</v>
      </c>
      <c r="BF102" s="3" t="s">
        <v>210</v>
      </c>
    </row>
    <row r="103" spans="1:58" x14ac:dyDescent="0.25">
      <c r="A103" s="1" t="s">
        <v>807</v>
      </c>
      <c r="B103" s="11">
        <v>45723</v>
      </c>
      <c r="C103" s="11">
        <v>45726</v>
      </c>
      <c r="D103" s="2" t="s">
        <v>180</v>
      </c>
      <c r="E103" s="2" t="s">
        <v>212</v>
      </c>
      <c r="F103" s="2" t="s">
        <v>372</v>
      </c>
      <c r="G103" s="2" t="s">
        <v>276</v>
      </c>
      <c r="H103" s="2" t="s">
        <v>277</v>
      </c>
      <c r="I103" s="2" t="s">
        <v>278</v>
      </c>
      <c r="J103" s="2" t="s">
        <v>279</v>
      </c>
      <c r="K103" s="2" t="s">
        <v>277</v>
      </c>
      <c r="L103" s="2" t="s">
        <v>187</v>
      </c>
      <c r="M103" s="2" t="s">
        <v>280</v>
      </c>
      <c r="N103" s="2" t="s">
        <v>281</v>
      </c>
      <c r="O103" s="11">
        <v>43508</v>
      </c>
      <c r="P103" s="2" t="s">
        <v>808</v>
      </c>
      <c r="Q103" s="2" t="s">
        <v>809</v>
      </c>
      <c r="R103" s="2" t="s">
        <v>810</v>
      </c>
      <c r="S103" s="2" t="s">
        <v>363</v>
      </c>
      <c r="T103" s="2" t="s">
        <v>811</v>
      </c>
      <c r="U103" s="2" t="s">
        <v>812</v>
      </c>
      <c r="V103" s="13">
        <v>65</v>
      </c>
      <c r="W103" s="13">
        <v>36</v>
      </c>
      <c r="X103" s="2">
        <v>2.5</v>
      </c>
      <c r="Y103" s="2" t="s">
        <v>461</v>
      </c>
      <c r="Z103" s="2" t="s">
        <v>347</v>
      </c>
      <c r="AA103" s="2">
        <v>15</v>
      </c>
      <c r="AB103" s="2">
        <v>4</v>
      </c>
      <c r="AC103" s="2">
        <v>2</v>
      </c>
      <c r="AD103" s="2">
        <v>1</v>
      </c>
      <c r="AE103" s="17">
        <v>0</v>
      </c>
      <c r="AF103" s="17">
        <v>0.06</v>
      </c>
      <c r="AG103" s="23">
        <v>8</v>
      </c>
      <c r="AH103" s="2" t="s">
        <v>289</v>
      </c>
      <c r="AI103" s="2" t="s">
        <v>199</v>
      </c>
      <c r="AJ103" s="2" t="s">
        <v>1236</v>
      </c>
      <c r="AK103" s="2" t="s">
        <v>271</v>
      </c>
      <c r="AL103" s="2" t="s">
        <v>976</v>
      </c>
      <c r="AM103" s="2" t="s">
        <v>203</v>
      </c>
      <c r="AN103" s="2" t="s">
        <v>880</v>
      </c>
      <c r="AO103" s="25">
        <v>0</v>
      </c>
      <c r="AP103" s="25">
        <v>-3.5</v>
      </c>
      <c r="AQ103" s="21">
        <v>36</v>
      </c>
      <c r="AR103" s="13">
        <v>65</v>
      </c>
      <c r="AS103" s="21">
        <v>0</v>
      </c>
      <c r="AT103" s="27">
        <v>0</v>
      </c>
      <c r="AU103" s="15">
        <v>0</v>
      </c>
      <c r="AV103" s="19">
        <v>8</v>
      </c>
      <c r="AW103" s="2" t="s">
        <v>180</v>
      </c>
      <c r="AX103" s="2">
        <v>3</v>
      </c>
      <c r="AY103" s="2" t="s">
        <v>205</v>
      </c>
      <c r="AZ103" s="2" t="s">
        <v>205</v>
      </c>
      <c r="BA103" s="2">
        <v>0</v>
      </c>
      <c r="BB103" s="2" t="s">
        <v>880</v>
      </c>
      <c r="BC103" s="2" t="s">
        <v>880</v>
      </c>
      <c r="BD103" s="2" t="s">
        <v>813</v>
      </c>
      <c r="BE103" s="2" t="s">
        <v>209</v>
      </c>
      <c r="BF103" s="3" t="s">
        <v>210</v>
      </c>
    </row>
    <row r="104" spans="1:58" x14ac:dyDescent="0.25">
      <c r="A104" s="1" t="s">
        <v>814</v>
      </c>
      <c r="B104" s="11">
        <v>45723</v>
      </c>
      <c r="C104" s="11">
        <v>45728</v>
      </c>
      <c r="D104" s="2" t="s">
        <v>310</v>
      </c>
      <c r="E104" s="2" t="s">
        <v>181</v>
      </c>
      <c r="F104" s="2" t="s">
        <v>1100</v>
      </c>
      <c r="G104" s="2" t="s">
        <v>237</v>
      </c>
      <c r="H104" s="2" t="s">
        <v>215</v>
      </c>
      <c r="I104" s="2" t="s">
        <v>238</v>
      </c>
      <c r="J104" s="2" t="s">
        <v>239</v>
      </c>
      <c r="K104" s="2" t="s">
        <v>215</v>
      </c>
      <c r="L104" s="2" t="s">
        <v>218</v>
      </c>
      <c r="M104" s="2" t="s">
        <v>240</v>
      </c>
      <c r="N104" s="2" t="s">
        <v>241</v>
      </c>
      <c r="O104" s="11">
        <v>44814</v>
      </c>
      <c r="P104" s="2" t="s">
        <v>815</v>
      </c>
      <c r="Q104" s="2" t="s">
        <v>816</v>
      </c>
      <c r="R104" s="2" t="s">
        <v>192</v>
      </c>
      <c r="S104" s="2" t="s">
        <v>193</v>
      </c>
      <c r="T104" s="2" t="s">
        <v>817</v>
      </c>
      <c r="U104" s="2" t="s">
        <v>365</v>
      </c>
      <c r="V104" s="13">
        <v>42</v>
      </c>
      <c r="W104" s="13">
        <v>23</v>
      </c>
      <c r="X104" s="2">
        <v>0.15</v>
      </c>
      <c r="Y104" s="2" t="s">
        <v>288</v>
      </c>
      <c r="Z104" s="2" t="s">
        <v>818</v>
      </c>
      <c r="AA104" s="2">
        <v>40</v>
      </c>
      <c r="AB104" s="2">
        <v>10</v>
      </c>
      <c r="AC104" s="2">
        <v>1</v>
      </c>
      <c r="AD104" s="2">
        <v>2</v>
      </c>
      <c r="AE104" s="17">
        <v>0</v>
      </c>
      <c r="AF104" s="17">
        <v>0.05</v>
      </c>
      <c r="AG104" s="23">
        <v>4</v>
      </c>
      <c r="AH104" s="2" t="s">
        <v>229</v>
      </c>
      <c r="AI104" s="2" t="s">
        <v>230</v>
      </c>
      <c r="AJ104" s="2" t="s">
        <v>1237</v>
      </c>
      <c r="AK104" s="2" t="s">
        <v>232</v>
      </c>
      <c r="AL104" s="2" t="s">
        <v>977</v>
      </c>
      <c r="AM104" s="2" t="s">
        <v>203</v>
      </c>
      <c r="AN104" s="2" t="s">
        <v>880</v>
      </c>
      <c r="AO104" s="25">
        <v>0</v>
      </c>
      <c r="AP104" s="25">
        <v>-10.5</v>
      </c>
      <c r="AQ104" s="21">
        <v>46</v>
      </c>
      <c r="AR104" s="13">
        <v>84</v>
      </c>
      <c r="AS104" s="21">
        <v>0</v>
      </c>
      <c r="AT104" s="27">
        <v>0</v>
      </c>
      <c r="AU104" s="15">
        <v>0</v>
      </c>
      <c r="AV104" s="19">
        <v>4</v>
      </c>
      <c r="AW104" s="2" t="s">
        <v>310</v>
      </c>
      <c r="AX104" s="2">
        <v>5</v>
      </c>
      <c r="AY104" s="2" t="s">
        <v>205</v>
      </c>
      <c r="AZ104" s="2" t="s">
        <v>205</v>
      </c>
      <c r="BA104" s="2">
        <v>0</v>
      </c>
      <c r="BB104" s="2" t="s">
        <v>206</v>
      </c>
      <c r="BC104" s="2" t="s">
        <v>880</v>
      </c>
      <c r="BD104" s="2" t="s">
        <v>208</v>
      </c>
      <c r="BE104" s="2" t="s">
        <v>209</v>
      </c>
      <c r="BF104" s="3" t="s">
        <v>210</v>
      </c>
    </row>
    <row r="105" spans="1:58" x14ac:dyDescent="0.25">
      <c r="A105" s="1" t="s">
        <v>819</v>
      </c>
      <c r="B105" s="11">
        <v>45724</v>
      </c>
      <c r="C105" s="11">
        <v>45727</v>
      </c>
      <c r="D105" s="2" t="s">
        <v>180</v>
      </c>
      <c r="E105" s="2" t="s">
        <v>212</v>
      </c>
      <c r="F105" s="2" t="s">
        <v>1101</v>
      </c>
      <c r="G105" s="2" t="s">
        <v>183</v>
      </c>
      <c r="H105" s="2" t="s">
        <v>184</v>
      </c>
      <c r="I105" s="2" t="s">
        <v>185</v>
      </c>
      <c r="J105" s="2" t="s">
        <v>186</v>
      </c>
      <c r="K105" s="2" t="s">
        <v>184</v>
      </c>
      <c r="L105" s="2" t="s">
        <v>187</v>
      </c>
      <c r="M105" s="2" t="s">
        <v>188</v>
      </c>
      <c r="N105" s="2" t="s">
        <v>189</v>
      </c>
      <c r="O105" s="11">
        <v>43891</v>
      </c>
      <c r="P105" s="2" t="s">
        <v>820</v>
      </c>
      <c r="Q105" s="2" t="s">
        <v>821</v>
      </c>
      <c r="R105" s="2" t="s">
        <v>244</v>
      </c>
      <c r="S105" s="2" t="s">
        <v>245</v>
      </c>
      <c r="T105" s="2" t="s">
        <v>621</v>
      </c>
      <c r="U105" s="2" t="s">
        <v>247</v>
      </c>
      <c r="V105" s="13">
        <v>55</v>
      </c>
      <c r="W105" s="13">
        <v>30</v>
      </c>
      <c r="X105" s="2">
        <v>2.2000000000000002</v>
      </c>
      <c r="Y105" s="2" t="s">
        <v>288</v>
      </c>
      <c r="Z105" s="2" t="s">
        <v>822</v>
      </c>
      <c r="AA105" s="2">
        <v>20</v>
      </c>
      <c r="AB105" s="2">
        <v>5</v>
      </c>
      <c r="AC105" s="2">
        <v>2</v>
      </c>
      <c r="AD105" s="2">
        <v>1</v>
      </c>
      <c r="AE105" s="17">
        <v>0.05</v>
      </c>
      <c r="AF105" s="17">
        <v>0.06</v>
      </c>
      <c r="AG105" s="23">
        <v>5</v>
      </c>
      <c r="AH105" s="2" t="s">
        <v>249</v>
      </c>
      <c r="AI105" s="2" t="s">
        <v>199</v>
      </c>
      <c r="AJ105" s="2" t="s">
        <v>1238</v>
      </c>
      <c r="AK105" s="2" t="s">
        <v>201</v>
      </c>
      <c r="AL105" s="2" t="s">
        <v>978</v>
      </c>
      <c r="AM105" s="2" t="s">
        <v>203</v>
      </c>
      <c r="AN105" s="2" t="s">
        <v>880</v>
      </c>
      <c r="AO105" s="25">
        <v>0</v>
      </c>
      <c r="AP105" s="25">
        <v>-3.6058840936944296</v>
      </c>
      <c r="AQ105" s="21">
        <v>30</v>
      </c>
      <c r="AR105" s="13">
        <v>55</v>
      </c>
      <c r="AS105" s="21">
        <v>2.75E-2</v>
      </c>
      <c r="AT105" s="27">
        <v>1.5125</v>
      </c>
      <c r="AU105" s="15">
        <v>9.0749999999999989E-4</v>
      </c>
      <c r="AV105" s="19">
        <v>6.5134074999999996</v>
      </c>
      <c r="AW105" s="2" t="s">
        <v>180</v>
      </c>
      <c r="AX105" s="2">
        <v>3</v>
      </c>
      <c r="AY105" s="2" t="s">
        <v>204</v>
      </c>
      <c r="AZ105" s="2" t="s">
        <v>205</v>
      </c>
      <c r="BA105" s="2">
        <v>0</v>
      </c>
      <c r="BB105" s="2" t="s">
        <v>252</v>
      </c>
      <c r="BC105" s="2" t="s">
        <v>253</v>
      </c>
      <c r="BD105" s="2" t="s">
        <v>254</v>
      </c>
      <c r="BE105" s="2" t="s">
        <v>209</v>
      </c>
      <c r="BF105" s="3" t="s">
        <v>210</v>
      </c>
    </row>
    <row r="106" spans="1:58" x14ac:dyDescent="0.25">
      <c r="A106" s="1" t="s">
        <v>823</v>
      </c>
      <c r="B106" s="11">
        <v>45724</v>
      </c>
      <c r="C106" s="11">
        <v>45729</v>
      </c>
      <c r="D106" s="2" t="s">
        <v>180</v>
      </c>
      <c r="E106" s="2" t="s">
        <v>181</v>
      </c>
      <c r="F106" s="2" t="s">
        <v>1102</v>
      </c>
      <c r="G106" s="2" t="s">
        <v>296</v>
      </c>
      <c r="H106" s="2" t="s">
        <v>297</v>
      </c>
      <c r="I106" s="2" t="s">
        <v>298</v>
      </c>
      <c r="J106" s="2" t="s">
        <v>299</v>
      </c>
      <c r="K106" s="2" t="s">
        <v>297</v>
      </c>
      <c r="L106" s="2" t="s">
        <v>187</v>
      </c>
      <c r="M106" s="2" t="s">
        <v>300</v>
      </c>
      <c r="N106" s="2" t="s">
        <v>301</v>
      </c>
      <c r="O106" s="11">
        <v>43332</v>
      </c>
      <c r="P106" s="2" t="s">
        <v>824</v>
      </c>
      <c r="Q106" s="2" t="s">
        <v>825</v>
      </c>
      <c r="R106" s="2" t="s">
        <v>223</v>
      </c>
      <c r="S106" s="2" t="s">
        <v>363</v>
      </c>
      <c r="T106" s="2" t="s">
        <v>225</v>
      </c>
      <c r="U106" s="2" t="s">
        <v>226</v>
      </c>
      <c r="V106" s="13">
        <v>28</v>
      </c>
      <c r="W106" s="13">
        <v>15</v>
      </c>
      <c r="X106" s="2">
        <v>0.1</v>
      </c>
      <c r="Y106" s="2" t="s">
        <v>227</v>
      </c>
      <c r="Z106" s="2" t="s">
        <v>646</v>
      </c>
      <c r="AA106" s="2">
        <v>45</v>
      </c>
      <c r="AB106" s="2">
        <v>10</v>
      </c>
      <c r="AC106" s="2">
        <v>1</v>
      </c>
      <c r="AD106" s="2">
        <v>2</v>
      </c>
      <c r="AE106" s="17">
        <v>0</v>
      </c>
      <c r="AF106" s="17">
        <v>0.05</v>
      </c>
      <c r="AG106" s="23">
        <v>3</v>
      </c>
      <c r="AH106" s="2" t="s">
        <v>198</v>
      </c>
      <c r="AI106" s="2" t="s">
        <v>199</v>
      </c>
      <c r="AJ106" s="2" t="s">
        <v>1239</v>
      </c>
      <c r="AK106" s="2" t="s">
        <v>271</v>
      </c>
      <c r="AL106" s="2" t="s">
        <v>979</v>
      </c>
      <c r="AM106" s="2" t="s">
        <v>203</v>
      </c>
      <c r="AN106" s="2" t="s">
        <v>880</v>
      </c>
      <c r="AO106" s="25">
        <v>0</v>
      </c>
      <c r="AP106" s="25">
        <v>-9</v>
      </c>
      <c r="AQ106" s="21">
        <v>30</v>
      </c>
      <c r="AR106" s="13">
        <v>56</v>
      </c>
      <c r="AS106" s="21">
        <v>0</v>
      </c>
      <c r="AT106" s="27">
        <v>0</v>
      </c>
      <c r="AU106" s="15">
        <v>0</v>
      </c>
      <c r="AV106" s="19">
        <v>3</v>
      </c>
      <c r="AW106" s="2" t="s">
        <v>180</v>
      </c>
      <c r="AX106" s="2">
        <v>5</v>
      </c>
      <c r="AY106" s="2" t="s">
        <v>205</v>
      </c>
      <c r="AZ106" s="2" t="s">
        <v>205</v>
      </c>
      <c r="BA106" s="2">
        <v>0</v>
      </c>
      <c r="BB106" s="2" t="s">
        <v>880</v>
      </c>
      <c r="BC106" s="2" t="s">
        <v>880</v>
      </c>
      <c r="BD106" s="2" t="s">
        <v>234</v>
      </c>
      <c r="BE106" s="2" t="s">
        <v>209</v>
      </c>
      <c r="BF106" s="3" t="s">
        <v>210</v>
      </c>
    </row>
    <row r="107" spans="1:58" x14ac:dyDescent="0.25">
      <c r="A107" s="1" t="s">
        <v>826</v>
      </c>
      <c r="B107" s="11">
        <v>45725</v>
      </c>
      <c r="C107" s="11">
        <v>45728</v>
      </c>
      <c r="D107" s="2" t="s">
        <v>180</v>
      </c>
      <c r="E107" s="2" t="s">
        <v>212</v>
      </c>
      <c r="F107" s="2" t="s">
        <v>1103</v>
      </c>
      <c r="G107" s="2" t="s">
        <v>312</v>
      </c>
      <c r="H107" s="2" t="s">
        <v>184</v>
      </c>
      <c r="I107" s="2" t="s">
        <v>313</v>
      </c>
      <c r="J107" s="2" t="s">
        <v>314</v>
      </c>
      <c r="K107" s="2" t="s">
        <v>184</v>
      </c>
      <c r="L107" s="2" t="s">
        <v>218</v>
      </c>
      <c r="M107" s="2" t="s">
        <v>315</v>
      </c>
      <c r="N107" s="2" t="s">
        <v>316</v>
      </c>
      <c r="O107" s="11">
        <v>44745</v>
      </c>
      <c r="P107" s="2" t="s">
        <v>827</v>
      </c>
      <c r="Q107" s="2" t="s">
        <v>828</v>
      </c>
      <c r="R107" s="2" t="s">
        <v>402</v>
      </c>
      <c r="S107" s="2" t="s">
        <v>403</v>
      </c>
      <c r="T107" s="2" t="s">
        <v>538</v>
      </c>
      <c r="U107" s="2" t="s">
        <v>405</v>
      </c>
      <c r="V107" s="13">
        <v>24</v>
      </c>
      <c r="W107" s="13">
        <v>13</v>
      </c>
      <c r="X107" s="2">
        <v>0.3</v>
      </c>
      <c r="Y107" s="2" t="s">
        <v>382</v>
      </c>
      <c r="Z107" s="2" t="s">
        <v>880</v>
      </c>
      <c r="AA107" s="2">
        <v>55</v>
      </c>
      <c r="AB107" s="2">
        <v>12</v>
      </c>
      <c r="AC107" s="2">
        <v>1</v>
      </c>
      <c r="AD107" s="2">
        <v>3</v>
      </c>
      <c r="AE107" s="17">
        <v>0</v>
      </c>
      <c r="AF107" s="17">
        <v>0.05</v>
      </c>
      <c r="AG107" s="23">
        <v>3</v>
      </c>
      <c r="AH107" s="2" t="s">
        <v>366</v>
      </c>
      <c r="AI107" s="2" t="s">
        <v>230</v>
      </c>
      <c r="AJ107" s="2" t="s">
        <v>1240</v>
      </c>
      <c r="AK107" s="2" t="s">
        <v>232</v>
      </c>
      <c r="AL107" s="2" t="s">
        <v>980</v>
      </c>
      <c r="AM107" s="2" t="s">
        <v>203</v>
      </c>
      <c r="AN107" s="2" t="s">
        <v>880</v>
      </c>
      <c r="AO107" s="25">
        <v>0</v>
      </c>
      <c r="AP107" s="25">
        <v>-12</v>
      </c>
      <c r="AQ107" s="21">
        <v>39</v>
      </c>
      <c r="AR107" s="13">
        <v>72</v>
      </c>
      <c r="AS107" s="21">
        <v>0</v>
      </c>
      <c r="AT107" s="27">
        <v>0</v>
      </c>
      <c r="AU107" s="15">
        <v>0</v>
      </c>
      <c r="AV107" s="19">
        <v>3</v>
      </c>
      <c r="AW107" s="2" t="s">
        <v>180</v>
      </c>
      <c r="AX107" s="2">
        <v>3</v>
      </c>
      <c r="AY107" s="2" t="s">
        <v>205</v>
      </c>
      <c r="AZ107" s="2" t="s">
        <v>205</v>
      </c>
      <c r="BA107" s="2">
        <v>0</v>
      </c>
      <c r="BB107" s="2" t="s">
        <v>880</v>
      </c>
      <c r="BC107" s="2" t="s">
        <v>880</v>
      </c>
      <c r="BD107" s="2" t="s">
        <v>539</v>
      </c>
      <c r="BE107" s="2" t="s">
        <v>209</v>
      </c>
      <c r="BF107" s="3" t="s">
        <v>210</v>
      </c>
    </row>
    <row r="108" spans="1:58" x14ac:dyDescent="0.25">
      <c r="A108" s="1" t="s">
        <v>829</v>
      </c>
      <c r="B108" s="11">
        <v>45725</v>
      </c>
      <c r="C108" s="11">
        <v>45730</v>
      </c>
      <c r="D108" s="2" t="s">
        <v>371</v>
      </c>
      <c r="E108" s="2" t="s">
        <v>181</v>
      </c>
      <c r="F108" s="2" t="s">
        <v>1104</v>
      </c>
      <c r="G108" s="2" t="s">
        <v>326</v>
      </c>
      <c r="H108" s="2" t="s">
        <v>215</v>
      </c>
      <c r="I108" s="2" t="s">
        <v>327</v>
      </c>
      <c r="J108" s="2" t="s">
        <v>217</v>
      </c>
      <c r="K108" s="2" t="s">
        <v>215</v>
      </c>
      <c r="L108" s="2" t="s">
        <v>218</v>
      </c>
      <c r="M108" s="2" t="s">
        <v>328</v>
      </c>
      <c r="N108" s="2" t="s">
        <v>329</v>
      </c>
      <c r="O108" s="11">
        <v>44300</v>
      </c>
      <c r="P108" s="2" t="s">
        <v>830</v>
      </c>
      <c r="Q108" s="2" t="s">
        <v>831</v>
      </c>
      <c r="R108" s="2" t="s">
        <v>244</v>
      </c>
      <c r="S108" s="2" t="s">
        <v>667</v>
      </c>
      <c r="T108" s="2" t="s">
        <v>668</v>
      </c>
      <c r="U108" s="2" t="s">
        <v>247</v>
      </c>
      <c r="V108" s="13">
        <v>48</v>
      </c>
      <c r="W108" s="13">
        <v>26</v>
      </c>
      <c r="X108" s="2">
        <v>1.2</v>
      </c>
      <c r="Y108" s="2" t="s">
        <v>382</v>
      </c>
      <c r="Z108" s="2" t="s">
        <v>218</v>
      </c>
      <c r="AA108" s="2">
        <v>25</v>
      </c>
      <c r="AB108" s="2">
        <v>6</v>
      </c>
      <c r="AC108" s="2">
        <v>2</v>
      </c>
      <c r="AD108" s="2">
        <v>2</v>
      </c>
      <c r="AE108" s="17">
        <v>0.05</v>
      </c>
      <c r="AF108" s="17">
        <v>0.06</v>
      </c>
      <c r="AG108" s="23">
        <v>5</v>
      </c>
      <c r="AH108" s="2" t="s">
        <v>229</v>
      </c>
      <c r="AI108" s="2" t="s">
        <v>230</v>
      </c>
      <c r="AJ108" s="2" t="s">
        <v>1241</v>
      </c>
      <c r="AK108" s="2" t="s">
        <v>196</v>
      </c>
      <c r="AL108" s="2" t="s">
        <v>981</v>
      </c>
      <c r="AM108" s="2" t="s">
        <v>203</v>
      </c>
      <c r="AN108" s="2" t="s">
        <v>880</v>
      </c>
      <c r="AO108" s="25">
        <v>0</v>
      </c>
      <c r="AP108" s="25">
        <v>-4.4105995810031686</v>
      </c>
      <c r="AQ108" s="21">
        <v>52</v>
      </c>
      <c r="AR108" s="13">
        <v>96</v>
      </c>
      <c r="AS108" s="21">
        <v>4.8000000000000001E-2</v>
      </c>
      <c r="AT108" s="27">
        <v>4.6080000000000005</v>
      </c>
      <c r="AU108" s="15">
        <v>2.7648E-3</v>
      </c>
      <c r="AV108" s="19">
        <v>9.6107648000000001</v>
      </c>
      <c r="AW108" s="2" t="s">
        <v>371</v>
      </c>
      <c r="AX108" s="2">
        <v>5</v>
      </c>
      <c r="AY108" s="2" t="s">
        <v>205</v>
      </c>
      <c r="AZ108" s="2" t="s">
        <v>205</v>
      </c>
      <c r="BA108" s="2">
        <v>0</v>
      </c>
      <c r="BB108" s="2" t="s">
        <v>291</v>
      </c>
      <c r="BC108" s="2" t="s">
        <v>292</v>
      </c>
      <c r="BD108" s="2" t="s">
        <v>254</v>
      </c>
      <c r="BE108" s="2" t="s">
        <v>255</v>
      </c>
      <c r="BF108" s="3" t="s">
        <v>210</v>
      </c>
    </row>
    <row r="109" spans="1:58" x14ac:dyDescent="0.25">
      <c r="A109" s="1" t="s">
        <v>832</v>
      </c>
      <c r="B109" s="11">
        <v>45726</v>
      </c>
      <c r="C109" s="11">
        <v>45729</v>
      </c>
      <c r="D109" s="2" t="s">
        <v>180</v>
      </c>
      <c r="E109" s="2" t="s">
        <v>212</v>
      </c>
      <c r="F109" s="2" t="s">
        <v>1105</v>
      </c>
      <c r="G109" s="2" t="s">
        <v>338</v>
      </c>
      <c r="H109" s="2" t="s">
        <v>184</v>
      </c>
      <c r="I109" s="2" t="s">
        <v>339</v>
      </c>
      <c r="J109" s="2" t="s">
        <v>340</v>
      </c>
      <c r="K109" s="2" t="s">
        <v>184</v>
      </c>
      <c r="L109" s="2" t="s">
        <v>218</v>
      </c>
      <c r="M109" s="2" t="s">
        <v>341</v>
      </c>
      <c r="N109" s="2" t="s">
        <v>342</v>
      </c>
      <c r="O109" s="11">
        <v>44982</v>
      </c>
      <c r="P109" s="2" t="s">
        <v>833</v>
      </c>
      <c r="Q109" s="2" t="s">
        <v>834</v>
      </c>
      <c r="R109" s="2" t="s">
        <v>810</v>
      </c>
      <c r="S109" s="2" t="s">
        <v>363</v>
      </c>
      <c r="T109" s="2" t="s">
        <v>835</v>
      </c>
      <c r="U109" s="2" t="s">
        <v>812</v>
      </c>
      <c r="V109" s="13">
        <v>8</v>
      </c>
      <c r="W109" s="13">
        <v>4</v>
      </c>
      <c r="X109" s="2">
        <v>0.1</v>
      </c>
      <c r="Y109" s="2" t="s">
        <v>836</v>
      </c>
      <c r="Z109" s="2" t="s">
        <v>880</v>
      </c>
      <c r="AA109" s="2">
        <v>150</v>
      </c>
      <c r="AB109" s="2">
        <v>30</v>
      </c>
      <c r="AC109" s="2">
        <v>1</v>
      </c>
      <c r="AD109" s="2">
        <v>6</v>
      </c>
      <c r="AE109" s="17">
        <v>0</v>
      </c>
      <c r="AF109" s="17">
        <v>0.05</v>
      </c>
      <c r="AG109" s="23">
        <v>2</v>
      </c>
      <c r="AH109" s="2" t="s">
        <v>249</v>
      </c>
      <c r="AI109" s="2" t="s">
        <v>199</v>
      </c>
      <c r="AJ109" s="2" t="s">
        <v>1242</v>
      </c>
      <c r="AK109" s="2" t="s">
        <v>201</v>
      </c>
      <c r="AL109" s="2" t="s">
        <v>982</v>
      </c>
      <c r="AM109" s="2" t="s">
        <v>203</v>
      </c>
      <c r="AN109" s="2" t="s">
        <v>880</v>
      </c>
      <c r="AO109" s="25">
        <v>0</v>
      </c>
      <c r="AP109" s="25">
        <v>-11</v>
      </c>
      <c r="AQ109" s="21">
        <v>24</v>
      </c>
      <c r="AR109" s="13">
        <v>48</v>
      </c>
      <c r="AS109" s="21">
        <v>0</v>
      </c>
      <c r="AT109" s="27">
        <v>0</v>
      </c>
      <c r="AU109" s="15">
        <v>0</v>
      </c>
      <c r="AV109" s="19">
        <v>2</v>
      </c>
      <c r="AW109" s="2" t="s">
        <v>180</v>
      </c>
      <c r="AX109" s="2">
        <v>3</v>
      </c>
      <c r="AY109" s="2" t="s">
        <v>204</v>
      </c>
      <c r="AZ109" s="2" t="s">
        <v>205</v>
      </c>
      <c r="BA109" s="2">
        <v>0</v>
      </c>
      <c r="BB109" s="2" t="s">
        <v>369</v>
      </c>
      <c r="BC109" s="2" t="s">
        <v>173</v>
      </c>
      <c r="BD109" s="2" t="s">
        <v>813</v>
      </c>
      <c r="BE109" s="2" t="s">
        <v>209</v>
      </c>
      <c r="BF109" s="3" t="s">
        <v>210</v>
      </c>
    </row>
    <row r="110" spans="1:58" x14ac:dyDescent="0.25">
      <c r="A110" s="1" t="s">
        <v>837</v>
      </c>
      <c r="B110" s="11">
        <v>45726</v>
      </c>
      <c r="C110" s="11">
        <v>45731</v>
      </c>
      <c r="D110" s="2" t="s">
        <v>180</v>
      </c>
      <c r="E110" s="2" t="s">
        <v>181</v>
      </c>
      <c r="F110" s="2" t="s">
        <v>1106</v>
      </c>
      <c r="G110" s="2" t="s">
        <v>356</v>
      </c>
      <c r="H110" s="2" t="s">
        <v>297</v>
      </c>
      <c r="I110" s="2" t="s">
        <v>357</v>
      </c>
      <c r="J110" s="2" t="s">
        <v>358</v>
      </c>
      <c r="K110" s="2" t="s">
        <v>297</v>
      </c>
      <c r="L110" s="2" t="s">
        <v>218</v>
      </c>
      <c r="M110" s="2" t="s">
        <v>359</v>
      </c>
      <c r="N110" s="2" t="s">
        <v>360</v>
      </c>
      <c r="O110" s="11">
        <v>44895</v>
      </c>
      <c r="P110" s="2" t="s">
        <v>838</v>
      </c>
      <c r="Q110" s="2" t="s">
        <v>839</v>
      </c>
      <c r="R110" s="2" t="s">
        <v>244</v>
      </c>
      <c r="S110" s="2" t="s">
        <v>380</v>
      </c>
      <c r="T110" s="2" t="s">
        <v>381</v>
      </c>
      <c r="U110" s="2" t="s">
        <v>247</v>
      </c>
      <c r="V110" s="13">
        <v>52</v>
      </c>
      <c r="W110" s="13">
        <v>29</v>
      </c>
      <c r="X110" s="2">
        <v>1.1000000000000001</v>
      </c>
      <c r="Y110" s="2" t="s">
        <v>288</v>
      </c>
      <c r="Z110" s="2" t="s">
        <v>880</v>
      </c>
      <c r="AA110" s="2">
        <v>18</v>
      </c>
      <c r="AB110" s="2">
        <v>4</v>
      </c>
      <c r="AC110" s="2">
        <v>2</v>
      </c>
      <c r="AD110" s="2">
        <v>1</v>
      </c>
      <c r="AE110" s="17">
        <v>0</v>
      </c>
      <c r="AF110" s="17">
        <v>0.06</v>
      </c>
      <c r="AG110" s="23">
        <v>5</v>
      </c>
      <c r="AH110" s="2" t="s">
        <v>198</v>
      </c>
      <c r="AI110" s="2" t="s">
        <v>199</v>
      </c>
      <c r="AJ110" s="2" t="s">
        <v>1243</v>
      </c>
      <c r="AK110" s="2" t="s">
        <v>201</v>
      </c>
      <c r="AL110" s="2" t="s">
        <v>983</v>
      </c>
      <c r="AM110" s="2" t="s">
        <v>203</v>
      </c>
      <c r="AN110" s="2" t="s">
        <v>880</v>
      </c>
      <c r="AO110" s="25">
        <v>0</v>
      </c>
      <c r="AP110" s="25">
        <v>-4.8</v>
      </c>
      <c r="AQ110" s="21">
        <v>29</v>
      </c>
      <c r="AR110" s="13">
        <v>52</v>
      </c>
      <c r="AS110" s="21">
        <v>0</v>
      </c>
      <c r="AT110" s="27">
        <v>0</v>
      </c>
      <c r="AU110" s="15">
        <v>0</v>
      </c>
      <c r="AV110" s="19">
        <v>5</v>
      </c>
      <c r="AW110" s="2" t="s">
        <v>180</v>
      </c>
      <c r="AX110" s="2">
        <v>5</v>
      </c>
      <c r="AY110" s="2" t="s">
        <v>204</v>
      </c>
      <c r="AZ110" s="2" t="s">
        <v>205</v>
      </c>
      <c r="BA110" s="2">
        <v>0</v>
      </c>
      <c r="BB110" s="2" t="s">
        <v>206</v>
      </c>
      <c r="BC110" s="2" t="s">
        <v>207</v>
      </c>
      <c r="BD110" s="2" t="s">
        <v>254</v>
      </c>
      <c r="BE110" s="2" t="s">
        <v>209</v>
      </c>
      <c r="BF110" s="3" t="s">
        <v>210</v>
      </c>
    </row>
    <row r="111" spans="1:58" x14ac:dyDescent="0.25">
      <c r="A111" s="1" t="s">
        <v>840</v>
      </c>
      <c r="B111" s="11">
        <v>45727</v>
      </c>
      <c r="C111" s="11">
        <v>45730</v>
      </c>
      <c r="D111" s="2" t="s">
        <v>180</v>
      </c>
      <c r="E111" s="2" t="s">
        <v>212</v>
      </c>
      <c r="F111" s="2" t="s">
        <v>1107</v>
      </c>
      <c r="G111" s="2" t="s">
        <v>373</v>
      </c>
      <c r="H111" s="2" t="s">
        <v>297</v>
      </c>
      <c r="I111" s="2" t="s">
        <v>374</v>
      </c>
      <c r="J111" s="2" t="s">
        <v>375</v>
      </c>
      <c r="K111" s="2" t="s">
        <v>297</v>
      </c>
      <c r="L111" s="2" t="s">
        <v>218</v>
      </c>
      <c r="M111" s="2" t="s">
        <v>376</v>
      </c>
      <c r="N111" s="2" t="s">
        <v>377</v>
      </c>
      <c r="O111" s="11">
        <v>45033</v>
      </c>
      <c r="P111" s="2" t="s">
        <v>841</v>
      </c>
      <c r="Q111" s="2" t="s">
        <v>842</v>
      </c>
      <c r="R111" s="2" t="s">
        <v>265</v>
      </c>
      <c r="S111" s="2" t="s">
        <v>499</v>
      </c>
      <c r="T111" s="2" t="s">
        <v>500</v>
      </c>
      <c r="U111" s="2" t="s">
        <v>268</v>
      </c>
      <c r="V111" s="13">
        <v>32</v>
      </c>
      <c r="W111" s="13">
        <v>17</v>
      </c>
      <c r="X111" s="2">
        <v>1.2</v>
      </c>
      <c r="Y111" s="2" t="s">
        <v>843</v>
      </c>
      <c r="Z111" s="2">
        <v>7</v>
      </c>
      <c r="AA111" s="2">
        <v>35</v>
      </c>
      <c r="AB111" s="2">
        <v>8</v>
      </c>
      <c r="AC111" s="2">
        <v>1</v>
      </c>
      <c r="AD111" s="2">
        <v>2</v>
      </c>
      <c r="AE111" s="17">
        <v>0</v>
      </c>
      <c r="AF111" s="17">
        <v>0.05</v>
      </c>
      <c r="AG111" s="23">
        <v>4</v>
      </c>
      <c r="AH111" s="2" t="s">
        <v>289</v>
      </c>
      <c r="AI111" s="2" t="s">
        <v>230</v>
      </c>
      <c r="AJ111" s="2" t="s">
        <v>1244</v>
      </c>
      <c r="AK111" s="2" t="s">
        <v>232</v>
      </c>
      <c r="AL111" s="2" t="s">
        <v>984</v>
      </c>
      <c r="AM111" s="2" t="s">
        <v>203</v>
      </c>
      <c r="AN111" s="2" t="s">
        <v>880</v>
      </c>
      <c r="AO111" s="25">
        <v>0</v>
      </c>
      <c r="AP111" s="25">
        <v>-7.5</v>
      </c>
      <c r="AQ111" s="21">
        <v>34</v>
      </c>
      <c r="AR111" s="13">
        <v>64</v>
      </c>
      <c r="AS111" s="21">
        <v>0</v>
      </c>
      <c r="AT111" s="27">
        <v>0</v>
      </c>
      <c r="AU111" s="15">
        <v>0</v>
      </c>
      <c r="AV111" s="19">
        <v>4</v>
      </c>
      <c r="AW111" s="2" t="s">
        <v>180</v>
      </c>
      <c r="AX111" s="2">
        <v>3</v>
      </c>
      <c r="AY111" s="2" t="s">
        <v>205</v>
      </c>
      <c r="AZ111" s="2" t="s">
        <v>205</v>
      </c>
      <c r="BA111" s="2">
        <v>0</v>
      </c>
      <c r="BB111" s="2" t="s">
        <v>880</v>
      </c>
      <c r="BC111" s="2" t="s">
        <v>880</v>
      </c>
      <c r="BD111" s="2" t="s">
        <v>273</v>
      </c>
      <c r="BE111" s="2" t="s">
        <v>209</v>
      </c>
      <c r="BF111" s="3" t="s">
        <v>210</v>
      </c>
    </row>
    <row r="112" spans="1:58" x14ac:dyDescent="0.25">
      <c r="A112" s="1" t="s">
        <v>844</v>
      </c>
      <c r="B112" s="11">
        <v>45727</v>
      </c>
      <c r="C112" s="11">
        <v>45732</v>
      </c>
      <c r="D112" s="2" t="s">
        <v>310</v>
      </c>
      <c r="E112" s="2" t="s">
        <v>181</v>
      </c>
      <c r="F112" s="2" t="s">
        <v>1108</v>
      </c>
      <c r="G112" s="2" t="s">
        <v>214</v>
      </c>
      <c r="H112" s="2" t="s">
        <v>215</v>
      </c>
      <c r="I112" s="2" t="s">
        <v>216</v>
      </c>
      <c r="J112" s="2" t="s">
        <v>217</v>
      </c>
      <c r="K112" s="2" t="s">
        <v>215</v>
      </c>
      <c r="L112" s="2" t="s">
        <v>218</v>
      </c>
      <c r="M112" s="2" t="s">
        <v>219</v>
      </c>
      <c r="N112" s="2" t="s">
        <v>220</v>
      </c>
      <c r="O112" s="11">
        <v>44362</v>
      </c>
      <c r="P112" s="2" t="s">
        <v>845</v>
      </c>
      <c r="Q112" s="2" t="s">
        <v>846</v>
      </c>
      <c r="R112" s="2" t="s">
        <v>244</v>
      </c>
      <c r="S112" s="2" t="s">
        <v>332</v>
      </c>
      <c r="T112" s="2" t="s">
        <v>847</v>
      </c>
      <c r="U112" s="2" t="s">
        <v>247</v>
      </c>
      <c r="V112" s="13">
        <v>38</v>
      </c>
      <c r="W112" s="13">
        <v>21</v>
      </c>
      <c r="X112" s="2">
        <v>1.8</v>
      </c>
      <c r="Y112" s="2" t="s">
        <v>288</v>
      </c>
      <c r="Z112" s="2" t="s">
        <v>880</v>
      </c>
      <c r="AA112" s="2">
        <v>22</v>
      </c>
      <c r="AB112" s="2">
        <v>5</v>
      </c>
      <c r="AC112" s="2">
        <v>2</v>
      </c>
      <c r="AD112" s="2">
        <v>1</v>
      </c>
      <c r="AE112" s="17">
        <v>0</v>
      </c>
      <c r="AF112" s="17">
        <v>0.06</v>
      </c>
      <c r="AG112" s="23">
        <v>5</v>
      </c>
      <c r="AH112" s="2" t="s">
        <v>198</v>
      </c>
      <c r="AI112" s="2" t="s">
        <v>230</v>
      </c>
      <c r="AJ112" s="2" t="s">
        <v>1245</v>
      </c>
      <c r="AK112" s="2" t="s">
        <v>196</v>
      </c>
      <c r="AL112" s="2" t="s">
        <v>985</v>
      </c>
      <c r="AM112" s="2" t="s">
        <v>203</v>
      </c>
      <c r="AN112" s="2" t="s">
        <v>880</v>
      </c>
      <c r="AO112" s="25">
        <v>0</v>
      </c>
      <c r="AP112" s="25">
        <v>-3.2</v>
      </c>
      <c r="AQ112" s="21">
        <v>21</v>
      </c>
      <c r="AR112" s="13">
        <v>38</v>
      </c>
      <c r="AS112" s="21">
        <v>0</v>
      </c>
      <c r="AT112" s="27">
        <v>0</v>
      </c>
      <c r="AU112" s="15">
        <v>0</v>
      </c>
      <c r="AV112" s="19">
        <v>5</v>
      </c>
      <c r="AW112" s="2" t="s">
        <v>310</v>
      </c>
      <c r="AX112" s="2">
        <v>5</v>
      </c>
      <c r="AY112" s="2" t="s">
        <v>205</v>
      </c>
      <c r="AZ112" s="2" t="s">
        <v>205</v>
      </c>
      <c r="BA112" s="2">
        <v>0</v>
      </c>
      <c r="BB112" s="2" t="s">
        <v>880</v>
      </c>
      <c r="BC112" s="2" t="s">
        <v>880</v>
      </c>
      <c r="BD112" s="2" t="s">
        <v>254</v>
      </c>
      <c r="BE112" s="2" t="s">
        <v>209</v>
      </c>
      <c r="BF112" s="3" t="s">
        <v>210</v>
      </c>
    </row>
    <row r="113" spans="1:58" x14ac:dyDescent="0.25">
      <c r="A113" s="1" t="s">
        <v>848</v>
      </c>
      <c r="B113" s="11">
        <v>45728</v>
      </c>
      <c r="C113" s="11">
        <v>45731</v>
      </c>
      <c r="D113" s="2" t="s">
        <v>180</v>
      </c>
      <c r="E113" s="2" t="s">
        <v>212</v>
      </c>
      <c r="F113" s="2" t="s">
        <v>257</v>
      </c>
      <c r="G113" s="2" t="s">
        <v>258</v>
      </c>
      <c r="H113" s="2" t="s">
        <v>184</v>
      </c>
      <c r="I113" s="2" t="s">
        <v>259</v>
      </c>
      <c r="J113" s="2" t="s">
        <v>260</v>
      </c>
      <c r="K113" s="2" t="s">
        <v>184</v>
      </c>
      <c r="L113" s="2" t="s">
        <v>218</v>
      </c>
      <c r="M113" s="2" t="s">
        <v>261</v>
      </c>
      <c r="N113" s="2" t="s">
        <v>262</v>
      </c>
      <c r="O113" s="11">
        <v>44140</v>
      </c>
      <c r="P113" s="2" t="s">
        <v>849</v>
      </c>
      <c r="Q113" s="2" t="s">
        <v>850</v>
      </c>
      <c r="R113" s="2" t="s">
        <v>810</v>
      </c>
      <c r="S113" s="2" t="s">
        <v>363</v>
      </c>
      <c r="T113" s="2" t="s">
        <v>851</v>
      </c>
      <c r="U113" s="2" t="s">
        <v>812</v>
      </c>
      <c r="V113" s="13">
        <v>18</v>
      </c>
      <c r="W113" s="13">
        <v>10</v>
      </c>
      <c r="X113" s="2">
        <v>0.3</v>
      </c>
      <c r="Y113" s="2" t="s">
        <v>288</v>
      </c>
      <c r="Z113" s="2" t="s">
        <v>852</v>
      </c>
      <c r="AA113" s="2">
        <v>60</v>
      </c>
      <c r="AB113" s="2">
        <v>15</v>
      </c>
      <c r="AC113" s="2">
        <v>1</v>
      </c>
      <c r="AD113" s="2">
        <v>3</v>
      </c>
      <c r="AE113" s="17">
        <v>0</v>
      </c>
      <c r="AF113" s="17">
        <v>0.05</v>
      </c>
      <c r="AG113" s="23">
        <v>3</v>
      </c>
      <c r="AH113" s="2" t="s">
        <v>249</v>
      </c>
      <c r="AI113" s="2" t="s">
        <v>199</v>
      </c>
      <c r="AJ113" s="2" t="s">
        <v>1246</v>
      </c>
      <c r="AK113" s="2" t="s">
        <v>271</v>
      </c>
      <c r="AL113" s="2" t="s">
        <v>986</v>
      </c>
      <c r="AM113" s="2" t="s">
        <v>203</v>
      </c>
      <c r="AN113" s="2" t="s">
        <v>880</v>
      </c>
      <c r="AO113" s="25">
        <v>0</v>
      </c>
      <c r="AP113" s="25">
        <v>-9</v>
      </c>
      <c r="AQ113" s="21">
        <v>30</v>
      </c>
      <c r="AR113" s="13">
        <v>54</v>
      </c>
      <c r="AS113" s="21">
        <v>0</v>
      </c>
      <c r="AT113" s="27">
        <v>0</v>
      </c>
      <c r="AU113" s="15">
        <v>0</v>
      </c>
      <c r="AV113" s="19">
        <v>3</v>
      </c>
      <c r="AW113" s="2" t="s">
        <v>180</v>
      </c>
      <c r="AX113" s="2">
        <v>3</v>
      </c>
      <c r="AY113" s="2" t="s">
        <v>205</v>
      </c>
      <c r="AZ113" s="2" t="s">
        <v>205</v>
      </c>
      <c r="BA113" s="2">
        <v>0</v>
      </c>
      <c r="BB113" s="2" t="s">
        <v>880</v>
      </c>
      <c r="BC113" s="2" t="s">
        <v>880</v>
      </c>
      <c r="BD113" s="2" t="s">
        <v>813</v>
      </c>
      <c r="BE113" s="2" t="s">
        <v>209</v>
      </c>
      <c r="BF113" s="3" t="s">
        <v>210</v>
      </c>
    </row>
    <row r="114" spans="1:58" x14ac:dyDescent="0.25">
      <c r="A114" s="1" t="s">
        <v>853</v>
      </c>
      <c r="B114" s="11">
        <v>45728</v>
      </c>
      <c r="C114" s="11">
        <v>45733</v>
      </c>
      <c r="D114" s="2" t="s">
        <v>180</v>
      </c>
      <c r="E114" s="2" t="s">
        <v>181</v>
      </c>
      <c r="F114" s="2" t="s">
        <v>1109</v>
      </c>
      <c r="G114" s="2" t="s">
        <v>276</v>
      </c>
      <c r="H114" s="2" t="s">
        <v>277</v>
      </c>
      <c r="I114" s="2" t="s">
        <v>278</v>
      </c>
      <c r="J114" s="2" t="s">
        <v>279</v>
      </c>
      <c r="K114" s="2" t="s">
        <v>277</v>
      </c>
      <c r="L114" s="2" t="s">
        <v>187</v>
      </c>
      <c r="M114" s="2" t="s">
        <v>280</v>
      </c>
      <c r="N114" s="2" t="s">
        <v>281</v>
      </c>
      <c r="O114" s="11">
        <v>43508</v>
      </c>
      <c r="P114" s="2" t="s">
        <v>854</v>
      </c>
      <c r="Q114" s="2" t="s">
        <v>855</v>
      </c>
      <c r="R114" s="2" t="s">
        <v>192</v>
      </c>
      <c r="S114" s="2" t="s">
        <v>363</v>
      </c>
      <c r="T114" s="2" t="s">
        <v>364</v>
      </c>
      <c r="U114" s="2" t="s">
        <v>365</v>
      </c>
      <c r="V114" s="13">
        <v>22</v>
      </c>
      <c r="W114" s="13">
        <v>12</v>
      </c>
      <c r="X114" s="2">
        <v>0.1</v>
      </c>
      <c r="Y114" s="2" t="s">
        <v>288</v>
      </c>
      <c r="Z114" s="2" t="s">
        <v>880</v>
      </c>
      <c r="AA114" s="2">
        <v>70</v>
      </c>
      <c r="AB114" s="2">
        <v>15</v>
      </c>
      <c r="AC114" s="2">
        <v>1</v>
      </c>
      <c r="AD114" s="2">
        <v>3</v>
      </c>
      <c r="AE114" s="17">
        <v>0</v>
      </c>
      <c r="AF114" s="17">
        <v>0.05</v>
      </c>
      <c r="AG114" s="23">
        <v>2</v>
      </c>
      <c r="AH114" s="2" t="s">
        <v>229</v>
      </c>
      <c r="AI114" s="2" t="s">
        <v>230</v>
      </c>
      <c r="AJ114" s="2" t="s">
        <v>1247</v>
      </c>
      <c r="AK114" s="2" t="s">
        <v>232</v>
      </c>
      <c r="AL114" s="2" t="s">
        <v>987</v>
      </c>
      <c r="AM114" s="2" t="s">
        <v>203</v>
      </c>
      <c r="AN114" s="2" t="s">
        <v>880</v>
      </c>
      <c r="AO114" s="25">
        <v>0</v>
      </c>
      <c r="AP114" s="25">
        <v>-17</v>
      </c>
      <c r="AQ114" s="21">
        <v>36</v>
      </c>
      <c r="AR114" s="13">
        <v>66</v>
      </c>
      <c r="AS114" s="21">
        <v>0</v>
      </c>
      <c r="AT114" s="27">
        <v>0</v>
      </c>
      <c r="AU114" s="15">
        <v>0</v>
      </c>
      <c r="AV114" s="19">
        <v>2</v>
      </c>
      <c r="AW114" s="2" t="s">
        <v>180</v>
      </c>
      <c r="AX114" s="2">
        <v>5</v>
      </c>
      <c r="AY114" s="2" t="s">
        <v>205</v>
      </c>
      <c r="AZ114" s="2" t="s">
        <v>205</v>
      </c>
      <c r="BA114" s="2">
        <v>0</v>
      </c>
      <c r="BB114" s="2" t="s">
        <v>206</v>
      </c>
      <c r="BC114" s="2" t="s">
        <v>880</v>
      </c>
      <c r="BD114" s="2" t="s">
        <v>208</v>
      </c>
      <c r="BE114" s="2" t="s">
        <v>209</v>
      </c>
      <c r="BF114" s="3" t="s">
        <v>210</v>
      </c>
    </row>
    <row r="115" spans="1:58" x14ac:dyDescent="0.25">
      <c r="A115" s="1" t="s">
        <v>856</v>
      </c>
      <c r="B115" s="11">
        <v>45729</v>
      </c>
      <c r="C115" s="11">
        <v>45732</v>
      </c>
      <c r="D115" s="2" t="s">
        <v>180</v>
      </c>
      <c r="E115" s="2" t="s">
        <v>212</v>
      </c>
      <c r="F115" s="2" t="s">
        <v>1110</v>
      </c>
      <c r="G115" s="2" t="s">
        <v>237</v>
      </c>
      <c r="H115" s="2" t="s">
        <v>215</v>
      </c>
      <c r="I115" s="2" t="s">
        <v>238</v>
      </c>
      <c r="J115" s="2" t="s">
        <v>239</v>
      </c>
      <c r="K115" s="2" t="s">
        <v>215</v>
      </c>
      <c r="L115" s="2" t="s">
        <v>218</v>
      </c>
      <c r="M115" s="2" t="s">
        <v>240</v>
      </c>
      <c r="N115" s="2" t="s">
        <v>241</v>
      </c>
      <c r="O115" s="11">
        <v>44814</v>
      </c>
      <c r="P115" s="2" t="s">
        <v>857</v>
      </c>
      <c r="Q115" s="2" t="s">
        <v>858</v>
      </c>
      <c r="R115" s="2" t="s">
        <v>244</v>
      </c>
      <c r="S115" s="2" t="s">
        <v>563</v>
      </c>
      <c r="T115" s="2" t="s">
        <v>564</v>
      </c>
      <c r="U115" s="2" t="s">
        <v>247</v>
      </c>
      <c r="V115" s="13">
        <v>22</v>
      </c>
      <c r="W115" s="13">
        <v>12</v>
      </c>
      <c r="X115" s="2">
        <v>0.6</v>
      </c>
      <c r="Y115" s="2" t="s">
        <v>461</v>
      </c>
      <c r="Z115" s="2" t="s">
        <v>880</v>
      </c>
      <c r="AA115" s="2">
        <v>45</v>
      </c>
      <c r="AB115" s="2">
        <v>10</v>
      </c>
      <c r="AC115" s="2">
        <v>1</v>
      </c>
      <c r="AD115" s="2">
        <v>2</v>
      </c>
      <c r="AE115" s="17">
        <v>0</v>
      </c>
      <c r="AF115" s="17">
        <v>0.05</v>
      </c>
      <c r="AG115" s="23">
        <v>3</v>
      </c>
      <c r="AH115" s="2" t="s">
        <v>366</v>
      </c>
      <c r="AI115" s="2" t="s">
        <v>230</v>
      </c>
      <c r="AJ115" s="2" t="s">
        <v>1248</v>
      </c>
      <c r="AK115" s="2" t="s">
        <v>196</v>
      </c>
      <c r="AL115" s="2" t="s">
        <v>988</v>
      </c>
      <c r="AM115" s="2" t="s">
        <v>203</v>
      </c>
      <c r="AN115" s="2" t="s">
        <v>880</v>
      </c>
      <c r="AO115" s="25">
        <v>0</v>
      </c>
      <c r="AP115" s="25">
        <v>-7</v>
      </c>
      <c r="AQ115" s="21">
        <v>24</v>
      </c>
      <c r="AR115" s="13">
        <v>44</v>
      </c>
      <c r="AS115" s="21">
        <v>0</v>
      </c>
      <c r="AT115" s="27">
        <v>0</v>
      </c>
      <c r="AU115" s="15">
        <v>0</v>
      </c>
      <c r="AV115" s="19">
        <v>3</v>
      </c>
      <c r="AW115" s="2" t="s">
        <v>180</v>
      </c>
      <c r="AX115" s="2">
        <v>3</v>
      </c>
      <c r="AY115" s="2" t="s">
        <v>205</v>
      </c>
      <c r="AZ115" s="2" t="s">
        <v>205</v>
      </c>
      <c r="BA115" s="2">
        <v>0</v>
      </c>
      <c r="BB115" s="2" t="s">
        <v>880</v>
      </c>
      <c r="BC115" s="2" t="s">
        <v>880</v>
      </c>
      <c r="BD115" s="2" t="s">
        <v>254</v>
      </c>
      <c r="BE115" s="2" t="s">
        <v>209</v>
      </c>
      <c r="BF115" s="3" t="s">
        <v>210</v>
      </c>
    </row>
    <row r="116" spans="1:58" x14ac:dyDescent="0.25">
      <c r="A116" s="1" t="s">
        <v>859</v>
      </c>
      <c r="B116" s="11">
        <v>45729</v>
      </c>
      <c r="C116" s="11">
        <v>45734</v>
      </c>
      <c r="D116" s="2" t="s">
        <v>371</v>
      </c>
      <c r="E116" s="2" t="s">
        <v>181</v>
      </c>
      <c r="F116" s="2" t="s">
        <v>1111</v>
      </c>
      <c r="G116" s="2" t="s">
        <v>183</v>
      </c>
      <c r="H116" s="2" t="s">
        <v>184</v>
      </c>
      <c r="I116" s="2" t="s">
        <v>185</v>
      </c>
      <c r="J116" s="2" t="s">
        <v>186</v>
      </c>
      <c r="K116" s="2" t="s">
        <v>184</v>
      </c>
      <c r="L116" s="2" t="s">
        <v>187</v>
      </c>
      <c r="M116" s="2" t="s">
        <v>188</v>
      </c>
      <c r="N116" s="2" t="s">
        <v>189</v>
      </c>
      <c r="O116" s="11">
        <v>43891</v>
      </c>
      <c r="P116" s="2" t="s">
        <v>860</v>
      </c>
      <c r="Q116" s="2" t="s">
        <v>861</v>
      </c>
      <c r="R116" s="2" t="s">
        <v>192</v>
      </c>
      <c r="S116" s="2" t="s">
        <v>456</v>
      </c>
      <c r="T116" s="2" t="s">
        <v>457</v>
      </c>
      <c r="U116" s="2" t="s">
        <v>365</v>
      </c>
      <c r="V116" s="13">
        <v>16</v>
      </c>
      <c r="W116" s="13">
        <v>9</v>
      </c>
      <c r="X116" s="2">
        <v>0.1</v>
      </c>
      <c r="Y116" s="2" t="s">
        <v>288</v>
      </c>
      <c r="Z116" s="2" t="s">
        <v>880</v>
      </c>
      <c r="AA116" s="2">
        <v>45</v>
      </c>
      <c r="AB116" s="2">
        <v>10</v>
      </c>
      <c r="AC116" s="2">
        <v>1</v>
      </c>
      <c r="AD116" s="2">
        <v>3</v>
      </c>
      <c r="AE116" s="17">
        <v>0</v>
      </c>
      <c r="AF116" s="17">
        <v>0.05</v>
      </c>
      <c r="AG116" s="23">
        <v>2</v>
      </c>
      <c r="AH116" s="2" t="s">
        <v>198</v>
      </c>
      <c r="AI116" s="2" t="s">
        <v>199</v>
      </c>
      <c r="AJ116" s="2" t="s">
        <v>1249</v>
      </c>
      <c r="AK116" s="2" t="s">
        <v>271</v>
      </c>
      <c r="AL116" s="2" t="s">
        <v>989</v>
      </c>
      <c r="AM116" s="2" t="s">
        <v>203</v>
      </c>
      <c r="AN116" s="2" t="s">
        <v>880</v>
      </c>
      <c r="AO116" s="25">
        <v>0</v>
      </c>
      <c r="AP116" s="25">
        <v>-12.5</v>
      </c>
      <c r="AQ116" s="21">
        <v>27</v>
      </c>
      <c r="AR116" s="13">
        <v>48</v>
      </c>
      <c r="AS116" s="21">
        <v>0</v>
      </c>
      <c r="AT116" s="27">
        <v>0</v>
      </c>
      <c r="AU116" s="15">
        <v>0</v>
      </c>
      <c r="AV116" s="19">
        <v>2</v>
      </c>
      <c r="AW116" s="2" t="s">
        <v>371</v>
      </c>
      <c r="AX116" s="2">
        <v>5</v>
      </c>
      <c r="AY116" s="2" t="s">
        <v>205</v>
      </c>
      <c r="AZ116" s="2" t="s">
        <v>205</v>
      </c>
      <c r="BA116" s="2">
        <v>0</v>
      </c>
      <c r="BB116" s="2" t="s">
        <v>880</v>
      </c>
      <c r="BC116" s="2" t="s">
        <v>880</v>
      </c>
      <c r="BD116" s="2" t="s">
        <v>208</v>
      </c>
      <c r="BE116" s="2" t="s">
        <v>209</v>
      </c>
      <c r="BF116" s="3" t="s">
        <v>210</v>
      </c>
    </row>
    <row r="117" spans="1:58" x14ac:dyDescent="0.25">
      <c r="A117" s="1" t="s">
        <v>862</v>
      </c>
      <c r="B117" s="11">
        <v>45730</v>
      </c>
      <c r="C117" s="11">
        <v>45733</v>
      </c>
      <c r="D117" s="2" t="s">
        <v>180</v>
      </c>
      <c r="E117" s="2" t="s">
        <v>212</v>
      </c>
      <c r="F117" s="2" t="s">
        <v>1112</v>
      </c>
      <c r="G117" s="2" t="s">
        <v>296</v>
      </c>
      <c r="H117" s="2" t="s">
        <v>297</v>
      </c>
      <c r="I117" s="2" t="s">
        <v>298</v>
      </c>
      <c r="J117" s="2" t="s">
        <v>299</v>
      </c>
      <c r="K117" s="2" t="s">
        <v>297</v>
      </c>
      <c r="L117" s="2" t="s">
        <v>187</v>
      </c>
      <c r="M117" s="2" t="s">
        <v>300</v>
      </c>
      <c r="N117" s="2" t="s">
        <v>301</v>
      </c>
      <c r="O117" s="11">
        <v>43332</v>
      </c>
      <c r="P117" s="2" t="s">
        <v>863</v>
      </c>
      <c r="Q117" s="2" t="s">
        <v>864</v>
      </c>
      <c r="R117" s="2" t="s">
        <v>244</v>
      </c>
      <c r="S117" s="2" t="s">
        <v>245</v>
      </c>
      <c r="T117" s="2" t="s">
        <v>621</v>
      </c>
      <c r="U117" s="2" t="s">
        <v>247</v>
      </c>
      <c r="V117" s="13">
        <v>48</v>
      </c>
      <c r="W117" s="13">
        <v>26</v>
      </c>
      <c r="X117" s="2">
        <v>2.2000000000000002</v>
      </c>
      <c r="Y117" s="2" t="s">
        <v>288</v>
      </c>
      <c r="Z117" s="2" t="s">
        <v>627</v>
      </c>
      <c r="AA117" s="2">
        <v>15</v>
      </c>
      <c r="AB117" s="2">
        <v>4</v>
      </c>
      <c r="AC117" s="2">
        <v>2</v>
      </c>
      <c r="AD117" s="2">
        <v>1</v>
      </c>
      <c r="AE117" s="17">
        <v>0</v>
      </c>
      <c r="AF117" s="17">
        <v>0.06</v>
      </c>
      <c r="AG117" s="23">
        <v>5</v>
      </c>
      <c r="AH117" s="2" t="s">
        <v>289</v>
      </c>
      <c r="AI117" s="2" t="s">
        <v>199</v>
      </c>
      <c r="AJ117" s="2" t="s">
        <v>1250</v>
      </c>
      <c r="AK117" s="2" t="s">
        <v>201</v>
      </c>
      <c r="AL117" s="2" t="s">
        <v>990</v>
      </c>
      <c r="AM117" s="2" t="s">
        <v>203</v>
      </c>
      <c r="AN117" s="2" t="s">
        <v>880</v>
      </c>
      <c r="AO117" s="25">
        <v>0</v>
      </c>
      <c r="AP117" s="25">
        <v>-4.2</v>
      </c>
      <c r="AQ117" s="21">
        <v>26</v>
      </c>
      <c r="AR117" s="13">
        <v>48</v>
      </c>
      <c r="AS117" s="21">
        <v>0</v>
      </c>
      <c r="AT117" s="27">
        <v>0</v>
      </c>
      <c r="AU117" s="15">
        <v>0</v>
      </c>
      <c r="AV117" s="19">
        <v>5</v>
      </c>
      <c r="AW117" s="2" t="s">
        <v>180</v>
      </c>
      <c r="AX117" s="2">
        <v>3</v>
      </c>
      <c r="AY117" s="2" t="s">
        <v>204</v>
      </c>
      <c r="AZ117" s="2" t="s">
        <v>205</v>
      </c>
      <c r="BA117" s="2">
        <v>0</v>
      </c>
      <c r="BB117" s="2" t="s">
        <v>252</v>
      </c>
      <c r="BC117" s="2" t="s">
        <v>253</v>
      </c>
      <c r="BD117" s="2" t="s">
        <v>254</v>
      </c>
      <c r="BE117" s="2" t="s">
        <v>209</v>
      </c>
      <c r="BF117" s="3" t="s">
        <v>210</v>
      </c>
    </row>
    <row r="118" spans="1:58" x14ac:dyDescent="0.25">
      <c r="A118" s="1" t="s">
        <v>865</v>
      </c>
      <c r="B118" s="11">
        <v>45730</v>
      </c>
      <c r="C118" s="11">
        <v>45735</v>
      </c>
      <c r="D118" s="2" t="s">
        <v>180</v>
      </c>
      <c r="E118" s="2" t="s">
        <v>181</v>
      </c>
      <c r="F118" s="2" t="s">
        <v>1113</v>
      </c>
      <c r="G118" s="2" t="s">
        <v>312</v>
      </c>
      <c r="H118" s="2" t="s">
        <v>184</v>
      </c>
      <c r="I118" s="2" t="s">
        <v>313</v>
      </c>
      <c r="J118" s="2" t="s">
        <v>314</v>
      </c>
      <c r="K118" s="2" t="s">
        <v>184</v>
      </c>
      <c r="L118" s="2" t="s">
        <v>218</v>
      </c>
      <c r="M118" s="2" t="s">
        <v>315</v>
      </c>
      <c r="N118" s="2" t="s">
        <v>316</v>
      </c>
      <c r="O118" s="11">
        <v>44745</v>
      </c>
      <c r="P118" s="2" t="s">
        <v>866</v>
      </c>
      <c r="Q118" s="2" t="s">
        <v>867</v>
      </c>
      <c r="R118" s="2" t="s">
        <v>265</v>
      </c>
      <c r="S118" s="2" t="s">
        <v>363</v>
      </c>
      <c r="T118" s="2" t="s">
        <v>267</v>
      </c>
      <c r="U118" s="2" t="s">
        <v>268</v>
      </c>
      <c r="V118" s="13">
        <v>15</v>
      </c>
      <c r="W118" s="13">
        <v>8</v>
      </c>
      <c r="X118" s="2">
        <v>0.2</v>
      </c>
      <c r="Y118" s="2" t="s">
        <v>227</v>
      </c>
      <c r="Z118" s="2" t="s">
        <v>868</v>
      </c>
      <c r="AA118" s="2">
        <v>55</v>
      </c>
      <c r="AB118" s="2">
        <v>12</v>
      </c>
      <c r="AC118" s="2">
        <v>1</v>
      </c>
      <c r="AD118" s="2">
        <v>4</v>
      </c>
      <c r="AE118" s="17">
        <v>0</v>
      </c>
      <c r="AF118" s="17">
        <v>0.05</v>
      </c>
      <c r="AG118" s="23">
        <v>2</v>
      </c>
      <c r="AH118" s="2" t="s">
        <v>229</v>
      </c>
      <c r="AI118" s="2" t="s">
        <v>230</v>
      </c>
      <c r="AJ118" s="2" t="s">
        <v>1251</v>
      </c>
      <c r="AK118" s="2" t="s">
        <v>232</v>
      </c>
      <c r="AL118" s="2" t="s">
        <v>991</v>
      </c>
      <c r="AM118" s="2" t="s">
        <v>203</v>
      </c>
      <c r="AN118" s="2" t="s">
        <v>880</v>
      </c>
      <c r="AO118" s="25">
        <v>0</v>
      </c>
      <c r="AP118" s="25">
        <v>-15</v>
      </c>
      <c r="AQ118" s="21">
        <v>32</v>
      </c>
      <c r="AR118" s="13">
        <v>60</v>
      </c>
      <c r="AS118" s="21">
        <v>0</v>
      </c>
      <c r="AT118" s="27">
        <v>0</v>
      </c>
      <c r="AU118" s="15">
        <v>0</v>
      </c>
      <c r="AV118" s="19">
        <v>2</v>
      </c>
      <c r="AW118" s="2" t="s">
        <v>180</v>
      </c>
      <c r="AX118" s="2">
        <v>5</v>
      </c>
      <c r="AY118" s="2" t="s">
        <v>205</v>
      </c>
      <c r="AZ118" s="2" t="s">
        <v>205</v>
      </c>
      <c r="BA118" s="2">
        <v>0</v>
      </c>
      <c r="BB118" s="2" t="s">
        <v>880</v>
      </c>
      <c r="BC118" s="2" t="s">
        <v>880</v>
      </c>
      <c r="BD118" s="2" t="s">
        <v>273</v>
      </c>
      <c r="BE118" s="2" t="s">
        <v>209</v>
      </c>
      <c r="BF118" s="3" t="s">
        <v>210</v>
      </c>
    </row>
    <row r="119" spans="1:58" x14ac:dyDescent="0.25">
      <c r="A119" s="1" t="s">
        <v>869</v>
      </c>
      <c r="B119" s="11">
        <v>45731</v>
      </c>
      <c r="C119" s="11">
        <v>45734</v>
      </c>
      <c r="D119" s="2" t="s">
        <v>180</v>
      </c>
      <c r="E119" s="2" t="s">
        <v>212</v>
      </c>
      <c r="F119" s="2" t="s">
        <v>1114</v>
      </c>
      <c r="G119" s="2" t="s">
        <v>326</v>
      </c>
      <c r="H119" s="2" t="s">
        <v>215</v>
      </c>
      <c r="I119" s="2" t="s">
        <v>327</v>
      </c>
      <c r="J119" s="2" t="s">
        <v>217</v>
      </c>
      <c r="K119" s="2" t="s">
        <v>215</v>
      </c>
      <c r="L119" s="2" t="s">
        <v>218</v>
      </c>
      <c r="M119" s="2" t="s">
        <v>328</v>
      </c>
      <c r="N119" s="2" t="s">
        <v>329</v>
      </c>
      <c r="O119" s="11">
        <v>44300</v>
      </c>
      <c r="P119" s="2" t="s">
        <v>870</v>
      </c>
      <c r="Q119" s="2" t="s">
        <v>871</v>
      </c>
      <c r="R119" s="2" t="s">
        <v>244</v>
      </c>
      <c r="S119" s="2" t="s">
        <v>245</v>
      </c>
      <c r="T119" s="2" t="s">
        <v>872</v>
      </c>
      <c r="U119" s="2" t="s">
        <v>247</v>
      </c>
      <c r="V119" s="13">
        <v>12</v>
      </c>
      <c r="W119" s="13">
        <v>6</v>
      </c>
      <c r="X119" s="2">
        <v>0.5</v>
      </c>
      <c r="Y119" s="2" t="s">
        <v>227</v>
      </c>
      <c r="Z119" s="2" t="s">
        <v>873</v>
      </c>
      <c r="AA119" s="2">
        <v>80</v>
      </c>
      <c r="AB119" s="2">
        <v>20</v>
      </c>
      <c r="AC119" s="2">
        <v>1</v>
      </c>
      <c r="AD119" s="2">
        <v>6</v>
      </c>
      <c r="AE119" s="17">
        <v>0</v>
      </c>
      <c r="AF119" s="17">
        <v>0.05</v>
      </c>
      <c r="AG119" s="23">
        <v>2</v>
      </c>
      <c r="AH119" s="2" t="s">
        <v>249</v>
      </c>
      <c r="AI119" s="2" t="s">
        <v>230</v>
      </c>
      <c r="AJ119" s="2" t="s">
        <v>1252</v>
      </c>
      <c r="AK119" s="2" t="s">
        <v>196</v>
      </c>
      <c r="AL119" s="2" t="s">
        <v>992</v>
      </c>
      <c r="AM119" s="2" t="s">
        <v>203</v>
      </c>
      <c r="AN119" s="2" t="s">
        <v>880</v>
      </c>
      <c r="AO119" s="25">
        <v>0</v>
      </c>
      <c r="AP119" s="25">
        <v>-17</v>
      </c>
      <c r="AQ119" s="21">
        <v>36</v>
      </c>
      <c r="AR119" s="13">
        <v>72</v>
      </c>
      <c r="AS119" s="21">
        <v>0</v>
      </c>
      <c r="AT119" s="27">
        <v>0</v>
      </c>
      <c r="AU119" s="15">
        <v>0</v>
      </c>
      <c r="AV119" s="19">
        <v>2</v>
      </c>
      <c r="AW119" s="2" t="s">
        <v>180</v>
      </c>
      <c r="AX119" s="2">
        <v>3</v>
      </c>
      <c r="AY119" s="2" t="s">
        <v>205</v>
      </c>
      <c r="AZ119" s="2" t="s">
        <v>205</v>
      </c>
      <c r="BA119" s="2">
        <v>0</v>
      </c>
      <c r="BB119" s="2" t="s">
        <v>369</v>
      </c>
      <c r="BC119" s="2" t="s">
        <v>173</v>
      </c>
      <c r="BD119" s="2" t="s">
        <v>254</v>
      </c>
      <c r="BE119" s="2" t="s">
        <v>209</v>
      </c>
      <c r="BF119" s="3" t="s">
        <v>210</v>
      </c>
    </row>
    <row r="120" spans="1:58" x14ac:dyDescent="0.25">
      <c r="A120" s="1" t="s">
        <v>874</v>
      </c>
      <c r="B120" s="11">
        <v>45731</v>
      </c>
      <c r="C120" s="11">
        <v>45736</v>
      </c>
      <c r="D120" s="2" t="s">
        <v>310</v>
      </c>
      <c r="E120" s="2" t="s">
        <v>181</v>
      </c>
      <c r="F120" s="2" t="s">
        <v>1115</v>
      </c>
      <c r="G120" s="2" t="s">
        <v>338</v>
      </c>
      <c r="H120" s="2" t="s">
        <v>184</v>
      </c>
      <c r="I120" s="2" t="s">
        <v>339</v>
      </c>
      <c r="J120" s="2" t="s">
        <v>340</v>
      </c>
      <c r="K120" s="2" t="s">
        <v>184</v>
      </c>
      <c r="L120" s="2" t="s">
        <v>218</v>
      </c>
      <c r="M120" s="2" t="s">
        <v>341</v>
      </c>
      <c r="N120" s="2" t="s">
        <v>342</v>
      </c>
      <c r="O120" s="11">
        <v>44982</v>
      </c>
      <c r="P120" s="2" t="s">
        <v>875</v>
      </c>
      <c r="Q120" s="2" t="s">
        <v>876</v>
      </c>
      <c r="R120" s="2" t="s">
        <v>192</v>
      </c>
      <c r="S120" s="2" t="s">
        <v>363</v>
      </c>
      <c r="T120" s="2" t="s">
        <v>766</v>
      </c>
      <c r="U120" s="2" t="s">
        <v>365</v>
      </c>
      <c r="V120" s="13">
        <v>35</v>
      </c>
      <c r="W120" s="13">
        <v>19</v>
      </c>
      <c r="X120" s="2">
        <v>0.1</v>
      </c>
      <c r="Y120" s="2" t="s">
        <v>382</v>
      </c>
      <c r="Z120" s="2" t="s">
        <v>880</v>
      </c>
      <c r="AA120" s="2">
        <v>30</v>
      </c>
      <c r="AB120" s="2">
        <v>8</v>
      </c>
      <c r="AC120" s="2">
        <v>1</v>
      </c>
      <c r="AD120" s="2">
        <v>2</v>
      </c>
      <c r="AE120" s="17">
        <v>0.05</v>
      </c>
      <c r="AF120" s="17">
        <v>0.05</v>
      </c>
      <c r="AG120" s="23">
        <v>3</v>
      </c>
      <c r="AH120" s="2" t="s">
        <v>198</v>
      </c>
      <c r="AI120" s="2" t="s">
        <v>230</v>
      </c>
      <c r="AJ120" s="2" t="s">
        <v>1253</v>
      </c>
      <c r="AK120" s="2" t="s">
        <v>232</v>
      </c>
      <c r="AL120" s="2" t="s">
        <v>993</v>
      </c>
      <c r="AM120" s="2" t="s">
        <v>203</v>
      </c>
      <c r="AN120" s="2" t="s">
        <v>880</v>
      </c>
      <c r="AO120" s="25">
        <v>0</v>
      </c>
      <c r="AP120" s="25">
        <v>-5.9709102082559422</v>
      </c>
      <c r="AQ120" s="21">
        <v>38</v>
      </c>
      <c r="AR120" s="13">
        <v>70</v>
      </c>
      <c r="AS120" s="21">
        <v>3.5000000000000003E-2</v>
      </c>
      <c r="AT120" s="27">
        <v>2.4500000000000002</v>
      </c>
      <c r="AU120" s="15">
        <v>1.2250000000000002E-3</v>
      </c>
      <c r="AV120" s="19">
        <v>5.451225</v>
      </c>
      <c r="AW120" s="2" t="s">
        <v>310</v>
      </c>
      <c r="AX120" s="2">
        <v>5</v>
      </c>
      <c r="AY120" s="2" t="s">
        <v>205</v>
      </c>
      <c r="AZ120" s="2" t="s">
        <v>205</v>
      </c>
      <c r="BA120" s="2">
        <v>0</v>
      </c>
      <c r="BB120" s="2" t="s">
        <v>291</v>
      </c>
      <c r="BC120" s="2" t="s">
        <v>353</v>
      </c>
      <c r="BD120" s="2" t="s">
        <v>208</v>
      </c>
      <c r="BE120" s="2" t="s">
        <v>255</v>
      </c>
      <c r="BF120" s="3" t="s">
        <v>210</v>
      </c>
    </row>
    <row r="121" spans="1:58" x14ac:dyDescent="0.25">
      <c r="A121" s="4" t="s">
        <v>877</v>
      </c>
      <c r="B121" s="12">
        <v>45732</v>
      </c>
      <c r="C121" s="12">
        <v>45735</v>
      </c>
      <c r="D121" s="5" t="s">
        <v>180</v>
      </c>
      <c r="E121" s="5" t="s">
        <v>212</v>
      </c>
      <c r="F121" s="2" t="s">
        <v>1116</v>
      </c>
      <c r="G121" s="5" t="s">
        <v>356</v>
      </c>
      <c r="H121" s="5" t="s">
        <v>297</v>
      </c>
      <c r="I121" s="5" t="s">
        <v>357</v>
      </c>
      <c r="J121" s="5" t="s">
        <v>358</v>
      </c>
      <c r="K121" s="5" t="s">
        <v>297</v>
      </c>
      <c r="L121" s="5" t="s">
        <v>218</v>
      </c>
      <c r="M121" s="5" t="s">
        <v>359</v>
      </c>
      <c r="N121" s="5" t="s">
        <v>360</v>
      </c>
      <c r="O121" s="12">
        <v>44895</v>
      </c>
      <c r="P121" s="5" t="s">
        <v>878</v>
      </c>
      <c r="Q121" s="5" t="s">
        <v>879</v>
      </c>
      <c r="R121" s="5" t="s">
        <v>223</v>
      </c>
      <c r="S121" s="5" t="s">
        <v>363</v>
      </c>
      <c r="T121" s="5" t="s">
        <v>225</v>
      </c>
      <c r="U121" s="5" t="s">
        <v>346</v>
      </c>
      <c r="V121" s="14">
        <v>28</v>
      </c>
      <c r="W121" s="14">
        <v>15</v>
      </c>
      <c r="X121" s="5">
        <v>0.2</v>
      </c>
      <c r="Y121" s="5" t="s">
        <v>461</v>
      </c>
      <c r="Z121" s="5" t="s">
        <v>646</v>
      </c>
      <c r="AA121" s="5">
        <v>35</v>
      </c>
      <c r="AB121" s="5">
        <v>8</v>
      </c>
      <c r="AC121" s="5">
        <v>1</v>
      </c>
      <c r="AD121" s="5">
        <v>2</v>
      </c>
      <c r="AE121" s="18">
        <v>0</v>
      </c>
      <c r="AF121" s="18">
        <v>0.05</v>
      </c>
      <c r="AG121" s="24">
        <v>3</v>
      </c>
      <c r="AH121" s="5" t="s">
        <v>366</v>
      </c>
      <c r="AI121" s="5" t="s">
        <v>199</v>
      </c>
      <c r="AJ121" s="2" t="s">
        <v>1254</v>
      </c>
      <c r="AK121" s="5" t="s">
        <v>201</v>
      </c>
      <c r="AL121" s="2" t="s">
        <v>994</v>
      </c>
      <c r="AM121" s="5" t="s">
        <v>203</v>
      </c>
      <c r="AN121" s="5" t="s">
        <v>880</v>
      </c>
      <c r="AO121" s="26">
        <v>0</v>
      </c>
      <c r="AP121" s="26">
        <v>-9</v>
      </c>
      <c r="AQ121" s="22">
        <v>30</v>
      </c>
      <c r="AR121" s="14">
        <v>56</v>
      </c>
      <c r="AS121" s="22">
        <v>0</v>
      </c>
      <c r="AT121" s="28">
        <v>0</v>
      </c>
      <c r="AU121" s="16">
        <v>0</v>
      </c>
      <c r="AV121" s="20">
        <v>3</v>
      </c>
      <c r="AW121" s="5" t="s">
        <v>180</v>
      </c>
      <c r="AX121" s="5">
        <v>3</v>
      </c>
      <c r="AY121" s="5" t="s">
        <v>204</v>
      </c>
      <c r="AZ121" s="5" t="s">
        <v>205</v>
      </c>
      <c r="BA121" s="5">
        <v>0</v>
      </c>
      <c r="BB121" s="5" t="s">
        <v>206</v>
      </c>
      <c r="BC121" s="5" t="s">
        <v>207</v>
      </c>
      <c r="BD121" s="5" t="s">
        <v>234</v>
      </c>
      <c r="BE121" s="5" t="s">
        <v>209</v>
      </c>
      <c r="BF121" s="6" t="s">
        <v>210</v>
      </c>
    </row>
    <row r="123" spans="1:58" x14ac:dyDescent="0.25">
      <c r="AV123" s="41"/>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F2417-B8DC-4519-A2D2-75C96185EB49}">
  <sheetPr codeName="Sheet5"/>
  <dimension ref="E3:L55"/>
  <sheetViews>
    <sheetView topLeftCell="A16" zoomScale="90" zoomScaleNormal="90" workbookViewId="0">
      <selection activeCell="G31" sqref="G31"/>
    </sheetView>
  </sheetViews>
  <sheetFormatPr defaultRowHeight="15" x14ac:dyDescent="0.25"/>
  <cols>
    <col min="5" max="5" width="19.7109375" bestFit="1" customWidth="1"/>
    <col min="6" max="6" width="18.140625" bestFit="1" customWidth="1"/>
    <col min="7" max="7" width="20.140625" bestFit="1" customWidth="1"/>
    <col min="8" max="8" width="14" bestFit="1" customWidth="1"/>
    <col min="9" max="9" width="20.140625" bestFit="1" customWidth="1"/>
    <col min="10" max="10" width="18" bestFit="1" customWidth="1"/>
    <col min="11" max="11" width="11.42578125" bestFit="1" customWidth="1"/>
    <col min="12" max="12" width="14.42578125" bestFit="1" customWidth="1"/>
    <col min="13" max="14" width="15" bestFit="1" customWidth="1"/>
    <col min="15" max="15" width="16.7109375" customWidth="1"/>
  </cols>
  <sheetData>
    <row r="3" spans="5:8" ht="15.75" thickBot="1" x14ac:dyDescent="0.3"/>
    <row r="4" spans="5:8" x14ac:dyDescent="0.25">
      <c r="E4" s="62" t="s">
        <v>1006</v>
      </c>
      <c r="F4" s="63"/>
      <c r="G4" s="63"/>
      <c r="H4" s="64"/>
    </row>
    <row r="5" spans="5:8" ht="15.75" thickBot="1" x14ac:dyDescent="0.3">
      <c r="E5" s="65"/>
      <c r="F5" s="66"/>
      <c r="G5" s="66"/>
      <c r="H5" s="67"/>
    </row>
    <row r="7" spans="5:8" x14ac:dyDescent="0.25">
      <c r="E7" s="35" t="s">
        <v>136</v>
      </c>
      <c r="F7" s="36" t="s">
        <v>137</v>
      </c>
      <c r="G7" s="36" t="s">
        <v>138</v>
      </c>
      <c r="H7" s="37" t="s">
        <v>142</v>
      </c>
    </row>
    <row r="8" spans="5:8" x14ac:dyDescent="0.25">
      <c r="E8" s="4" t="s">
        <v>544</v>
      </c>
      <c r="F8" s="5" t="str">
        <f>VLOOKUP(Table3[[#This Row],[ProductID]],Cleaned_data!P1:BF121,2,FALSE)</f>
        <v>Wall Art</v>
      </c>
      <c r="G8" s="5" t="str">
        <f>VLOOKUP(Table3[[#This Row],[ProductID]],Table13[[#All],[ProductID]:[DataQualityFlag]],3,FALSE)</f>
        <v>Home</v>
      </c>
      <c r="H8" s="16">
        <f>VLOOKUP(Table3[[#This Row],[ProductID]],Table13[[#All],[ProductID]:[DataQualityFlag]],7,FALSE)</f>
        <v>85</v>
      </c>
    </row>
    <row r="10" spans="5:8" ht="15.75" thickBot="1" x14ac:dyDescent="0.3"/>
    <row r="11" spans="5:8" x14ac:dyDescent="0.25">
      <c r="E11" s="62" t="s">
        <v>1007</v>
      </c>
      <c r="F11" s="63"/>
      <c r="G11" s="63"/>
      <c r="H11" s="64"/>
    </row>
    <row r="12" spans="5:8" ht="15.75" thickBot="1" x14ac:dyDescent="0.3">
      <c r="E12" s="65"/>
      <c r="F12" s="66"/>
      <c r="G12" s="66"/>
      <c r="H12" s="67"/>
    </row>
    <row r="14" spans="5:8" x14ac:dyDescent="0.25">
      <c r="E14" s="29" t="s">
        <v>126</v>
      </c>
      <c r="F14" s="30" t="s">
        <v>127</v>
      </c>
      <c r="G14" s="30" t="s">
        <v>128</v>
      </c>
      <c r="H14" s="31" t="s">
        <v>129</v>
      </c>
    </row>
    <row r="15" spans="5:8" x14ac:dyDescent="0.25">
      <c r="E15" s="32" t="s">
        <v>1014</v>
      </c>
      <c r="F15" s="33" t="str">
        <f>VLOOKUP(Table4[[#This Row],[StoreCode]],Table13[[#All],[StoreCode]:[DataQualityFlag]],2,FALSE)</f>
        <v>UrbanCart Houston</v>
      </c>
      <c r="G15" s="33" t="str">
        <f>VLOOKUP(Table4[[#This Row],[StoreCode]],Table13[[#All],[StoreCode]:[DataQualityFlag]],3,FALSE)</f>
        <v>South</v>
      </c>
      <c r="H15" s="34" t="str">
        <f>VLOOKUP(Table4[[#This Row],[StoreCode]],Table13[[#All],[StoreCode]:[DataQualityFlag]],4,FALSE)</f>
        <v>Houston</v>
      </c>
    </row>
    <row r="17" spans="5:12" ht="15.75" thickBot="1" x14ac:dyDescent="0.3"/>
    <row r="18" spans="5:12" x14ac:dyDescent="0.25">
      <c r="E18" s="62" t="s">
        <v>1117</v>
      </c>
      <c r="F18" s="63"/>
      <c r="G18" s="63"/>
      <c r="H18" s="64"/>
    </row>
    <row r="19" spans="5:12" ht="15.75" thickBot="1" x14ac:dyDescent="0.3">
      <c r="E19" s="65"/>
      <c r="F19" s="66"/>
      <c r="G19" s="66"/>
      <c r="H19" s="67"/>
    </row>
    <row r="21" spans="5:12" x14ac:dyDescent="0.25">
      <c r="E21" s="29" t="s">
        <v>128</v>
      </c>
      <c r="F21" s="31" t="s">
        <v>1118</v>
      </c>
    </row>
    <row r="22" spans="5:12" x14ac:dyDescent="0.25">
      <c r="E22" s="32" t="s">
        <v>277</v>
      </c>
      <c r="F22" s="38">
        <f>VLOOKUP(Table5[[#This Row],[Region]],Table13[[#All],[Region]:[DataQualityFlag]],25,FALSE)</f>
        <v>0.08</v>
      </c>
    </row>
    <row r="25" spans="5:12" x14ac:dyDescent="0.25">
      <c r="E25" s="48" t="s">
        <v>1130</v>
      </c>
      <c r="F25" s="48" t="s">
        <v>1131</v>
      </c>
      <c r="G25" s="48" t="s">
        <v>1133</v>
      </c>
      <c r="H25" s="48" t="s">
        <v>1132</v>
      </c>
      <c r="I25" s="48" t="s">
        <v>1134</v>
      </c>
      <c r="J25" s="48" t="s">
        <v>1135</v>
      </c>
      <c r="K25" s="48" t="s">
        <v>1136</v>
      </c>
      <c r="L25" s="48" t="s">
        <v>1137</v>
      </c>
    </row>
    <row r="26" spans="5:12" x14ac:dyDescent="0.25">
      <c r="E26" s="50">
        <f>SUM(Table13[TotalRevenue])</f>
        <v>8332.0580535499994</v>
      </c>
      <c r="F26" s="49">
        <f>ROWS(Table13[OrderID])</f>
        <v>120</v>
      </c>
      <c r="G26" s="51">
        <f>Table7[[#This Row],[Total Revenue]]/COUNTA(Table13[OrderID])</f>
        <v>69.433817112916657</v>
      </c>
      <c r="H26" s="52">
        <f>COUNTIF(Table13[ReturnStatus],"Returned")/COUNTA(Table13[OrderID])</f>
        <v>2.5000000000000001E-2</v>
      </c>
      <c r="I26" s="49">
        <f>SUM(Table13[Quantity])</f>
        <v>350</v>
      </c>
      <c r="J26" s="49">
        <f>COUNTA(Table13[CustomerID])</f>
        <v>120</v>
      </c>
      <c r="K26" s="49" t="str">
        <f>IF(MAX(F31:F34),"East","")</f>
        <v>East</v>
      </c>
      <c r="L26" s="49" t="str">
        <f>IF(MIN(F31:F34),"Central","")</f>
        <v>Central</v>
      </c>
    </row>
    <row r="28" spans="5:12" ht="15.75" thickBot="1" x14ac:dyDescent="0.3"/>
    <row r="29" spans="5:12" ht="15" customHeight="1" x14ac:dyDescent="0.25">
      <c r="E29" s="58" t="s">
        <v>1255</v>
      </c>
      <c r="F29" s="59"/>
    </row>
    <row r="30" spans="5:12" ht="15" customHeight="1" thickBot="1" x14ac:dyDescent="0.3">
      <c r="E30" s="60"/>
      <c r="F30" s="61"/>
    </row>
    <row r="31" spans="5:12" x14ac:dyDescent="0.25">
      <c r="E31" s="54" t="s">
        <v>297</v>
      </c>
      <c r="F31">
        <f>SUM(Cleaned_data!AV7:AV121)</f>
        <v>5263.6997185499986</v>
      </c>
    </row>
    <row r="32" spans="5:12" x14ac:dyDescent="0.25">
      <c r="E32" s="53" t="s">
        <v>215</v>
      </c>
      <c r="F32">
        <f>SUM(Cleaned_data!AV3:AV119)</f>
        <v>5416.3028285499977</v>
      </c>
    </row>
    <row r="33" spans="5:9" x14ac:dyDescent="0.25">
      <c r="E33" s="53" t="s">
        <v>184</v>
      </c>
      <c r="F33">
        <f>SUM(Cleaned_data!AV6:AV114)</f>
        <v>5365.0734935499977</v>
      </c>
    </row>
    <row r="34" spans="5:9" x14ac:dyDescent="0.25">
      <c r="E34" s="53" t="s">
        <v>277</v>
      </c>
      <c r="F34">
        <f>SUM(Cleaned_data!AV2:AV120)</f>
        <v>8329.0580535499994</v>
      </c>
    </row>
    <row r="36" spans="5:9" ht="15.75" thickBot="1" x14ac:dyDescent="0.3"/>
    <row r="37" spans="5:9" x14ac:dyDescent="0.25">
      <c r="E37" s="58" t="s">
        <v>1256</v>
      </c>
      <c r="F37" s="59"/>
      <c r="H37" s="58" t="s">
        <v>1257</v>
      </c>
      <c r="I37" s="59"/>
    </row>
    <row r="38" spans="5:9" ht="15.75" thickBot="1" x14ac:dyDescent="0.3">
      <c r="E38" s="60"/>
      <c r="F38" s="61"/>
      <c r="H38" s="60"/>
      <c r="I38" s="61"/>
    </row>
    <row r="40" spans="5:9" x14ac:dyDescent="0.25">
      <c r="E40" s="55" t="s">
        <v>191</v>
      </c>
      <c r="F40" s="56">
        <v>2907.3040000000001</v>
      </c>
      <c r="H40" s="55" t="s">
        <v>834</v>
      </c>
      <c r="I40" s="57">
        <v>2</v>
      </c>
    </row>
    <row r="41" spans="5:9" x14ac:dyDescent="0.25">
      <c r="E41" s="55" t="s">
        <v>448</v>
      </c>
      <c r="F41" s="56">
        <v>1330.896</v>
      </c>
      <c r="H41" s="55" t="s">
        <v>577</v>
      </c>
      <c r="I41" s="57">
        <v>2</v>
      </c>
    </row>
    <row r="42" spans="5:9" x14ac:dyDescent="0.25">
      <c r="E42" s="55" t="s">
        <v>303</v>
      </c>
      <c r="F42" s="56">
        <v>260.14700000000005</v>
      </c>
      <c r="H42" s="55" t="s">
        <v>871</v>
      </c>
      <c r="I42" s="57">
        <v>2</v>
      </c>
    </row>
    <row r="43" spans="5:9" x14ac:dyDescent="0.25">
      <c r="E43" s="55" t="s">
        <v>557</v>
      </c>
      <c r="F43" s="56">
        <v>415.32400000000001</v>
      </c>
      <c r="H43" s="55" t="s">
        <v>791</v>
      </c>
      <c r="I43" s="57">
        <v>2</v>
      </c>
    </row>
    <row r="44" spans="5:9" x14ac:dyDescent="0.25">
      <c r="E44" s="55" t="s">
        <v>412</v>
      </c>
      <c r="F44" s="56">
        <v>2011.3720000000003</v>
      </c>
      <c r="H44" s="55" t="s">
        <v>720</v>
      </c>
      <c r="I44" s="57">
        <v>2</v>
      </c>
    </row>
    <row r="47" spans="5:9" ht="15.75" thickBot="1" x14ac:dyDescent="0.3"/>
    <row r="48" spans="5:9" x14ac:dyDescent="0.25">
      <c r="E48" s="58" t="s">
        <v>1258</v>
      </c>
      <c r="F48" s="59"/>
    </row>
    <row r="49" spans="5:6" ht="15.75" thickBot="1" x14ac:dyDescent="0.3">
      <c r="E49" s="60"/>
      <c r="F49" s="61"/>
    </row>
    <row r="51" spans="5:6" x14ac:dyDescent="0.25">
      <c r="E51" s="55" t="s">
        <v>276</v>
      </c>
      <c r="F51" s="56">
        <v>660.17700000000002</v>
      </c>
    </row>
    <row r="52" spans="5:6" x14ac:dyDescent="0.25">
      <c r="E52" s="55" t="s">
        <v>296</v>
      </c>
      <c r="F52" s="56">
        <v>359.46674500000006</v>
      </c>
    </row>
    <row r="53" spans="5:6" x14ac:dyDescent="0.25">
      <c r="E53" s="55" t="s">
        <v>373</v>
      </c>
      <c r="F53" s="56">
        <v>1378.0095562500001</v>
      </c>
    </row>
    <row r="54" spans="5:6" x14ac:dyDescent="0.25">
      <c r="E54" s="55" t="s">
        <v>326</v>
      </c>
      <c r="F54" s="56">
        <v>287.1779798</v>
      </c>
    </row>
    <row r="55" spans="5:6" x14ac:dyDescent="0.25">
      <c r="E55" s="55" t="s">
        <v>183</v>
      </c>
      <c r="F55" s="56">
        <v>4970.3192824999996</v>
      </c>
    </row>
  </sheetData>
  <mergeCells count="7">
    <mergeCell ref="E48:F49"/>
    <mergeCell ref="E4:H5"/>
    <mergeCell ref="E11:H12"/>
    <mergeCell ref="E18:H19"/>
    <mergeCell ref="E29:F30"/>
    <mergeCell ref="E37:F38"/>
    <mergeCell ref="H37:I38"/>
  </mergeCells>
  <pageMargins left="0.7" right="0.7" top="0.75" bottom="0.75" header="0.3" footer="0.3"/>
  <ignoredErrors>
    <ignoredError sqref="F31:F34" formulaRange="1"/>
  </ignoredErrors>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61293EEE-33F8-479C-95C6-E7AF4A164BE5}">
          <x14:formula1>
            <xm:f>Cleaned_data!$P$2:$P$61</xm:f>
          </x14:formula1>
          <xm:sqref>E8</xm:sqref>
        </x14:dataValidation>
        <x14:dataValidation type="list" allowBlank="1" showInputMessage="1" showErrorMessage="1" xr:uid="{0ECF449E-9805-4F91-A782-FA240B713342}">
          <x14:formula1>
            <xm:f>Cleaned_data!$F$2:$F$121</xm:f>
          </x14:formula1>
          <xm:sqref>E15</xm:sqref>
        </x14:dataValidation>
        <x14:dataValidation type="list" allowBlank="1" showInputMessage="1" showErrorMessage="1" xr:uid="{933C2997-3C79-4A62-B8D8-AA890D31E693}">
          <x14:formula1>
            <xm:f>Cleaned_data!$H$100:$H$103</xm:f>
          </x14:formula1>
          <xm:sqref>E22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CAF50-B6EF-4DE7-A419-B0D57F1E28E6}">
  <sheetPr codeName="Sheet6"/>
  <dimension ref="A1:E177"/>
  <sheetViews>
    <sheetView workbookViewId="0"/>
  </sheetViews>
  <sheetFormatPr defaultRowHeight="15" x14ac:dyDescent="0.25"/>
  <cols>
    <col min="1" max="1" width="20" bestFit="1" customWidth="1"/>
    <col min="2" max="2" width="20.140625" bestFit="1" customWidth="1"/>
    <col min="3" max="3" width="15.42578125" bestFit="1" customWidth="1"/>
    <col min="4" max="4" width="15.28515625" bestFit="1" customWidth="1"/>
    <col min="5" max="6" width="11.5703125" bestFit="1" customWidth="1"/>
  </cols>
  <sheetData>
    <row r="1" spans="1:5" x14ac:dyDescent="0.25">
      <c r="B1" s="68" t="s">
        <v>1126</v>
      </c>
      <c r="C1" s="68"/>
      <c r="D1" s="68"/>
    </row>
    <row r="2" spans="1:5" x14ac:dyDescent="0.25">
      <c r="B2" s="69"/>
      <c r="C2" s="69"/>
      <c r="D2" s="69"/>
    </row>
    <row r="3" spans="1:5" x14ac:dyDescent="0.25">
      <c r="A3" s="42" t="s">
        <v>1121</v>
      </c>
      <c r="B3" s="42" t="s">
        <v>128</v>
      </c>
      <c r="C3" s="2"/>
      <c r="D3" s="2"/>
      <c r="E3" s="2"/>
    </row>
    <row r="4" spans="1:5" x14ac:dyDescent="0.25">
      <c r="A4" s="42" t="s">
        <v>138</v>
      </c>
      <c r="B4" s="2" t="s">
        <v>297</v>
      </c>
      <c r="C4" s="2" t="s">
        <v>277</v>
      </c>
      <c r="D4" s="2" t="s">
        <v>215</v>
      </c>
      <c r="E4" s="2" t="s">
        <v>184</v>
      </c>
    </row>
    <row r="5" spans="1:5" x14ac:dyDescent="0.25">
      <c r="A5" s="2" t="s">
        <v>363</v>
      </c>
      <c r="B5" s="25"/>
      <c r="C5" s="25"/>
      <c r="D5" s="25">
        <v>8</v>
      </c>
      <c r="E5" s="15">
        <v>19.515207499999999</v>
      </c>
    </row>
    <row r="6" spans="1:5" x14ac:dyDescent="0.25">
      <c r="A6" s="2" t="s">
        <v>223</v>
      </c>
      <c r="B6" s="47">
        <v>8</v>
      </c>
      <c r="C6" s="25">
        <v>3</v>
      </c>
      <c r="D6" s="25">
        <v>8</v>
      </c>
      <c r="E6" s="15">
        <v>126.37400375</v>
      </c>
    </row>
    <row r="7" spans="1:5" x14ac:dyDescent="0.25">
      <c r="A7" s="2" t="s">
        <v>650</v>
      </c>
      <c r="B7" s="47">
        <v>6</v>
      </c>
      <c r="C7" s="25"/>
      <c r="D7" s="25"/>
      <c r="E7" s="15"/>
    </row>
    <row r="8" spans="1:5" x14ac:dyDescent="0.25">
      <c r="A8" s="2" t="s">
        <v>418</v>
      </c>
      <c r="B8" s="47">
        <v>14.116145000000001</v>
      </c>
      <c r="C8" s="25"/>
      <c r="D8" s="25"/>
      <c r="E8" s="15"/>
    </row>
    <row r="9" spans="1:5" x14ac:dyDescent="0.25">
      <c r="A9" s="2" t="s">
        <v>192</v>
      </c>
      <c r="B9" s="47">
        <v>1609.0430000000001</v>
      </c>
      <c r="C9" s="25">
        <v>429.32400000000001</v>
      </c>
      <c r="D9" s="25">
        <v>93.212099999999992</v>
      </c>
      <c r="E9" s="15">
        <v>3064.0209449999998</v>
      </c>
    </row>
    <row r="10" spans="1:5" x14ac:dyDescent="0.25">
      <c r="A10" s="2" t="s">
        <v>265</v>
      </c>
      <c r="B10" s="47">
        <v>58.037615000000002</v>
      </c>
      <c r="C10" s="25">
        <v>19</v>
      </c>
      <c r="D10" s="25">
        <v>3</v>
      </c>
      <c r="E10" s="15">
        <v>2065.6280300000003</v>
      </c>
    </row>
    <row r="11" spans="1:5" x14ac:dyDescent="0.25">
      <c r="A11" s="2" t="s">
        <v>578</v>
      </c>
      <c r="B11" s="47">
        <v>2</v>
      </c>
      <c r="C11" s="25"/>
      <c r="D11" s="25"/>
      <c r="E11" s="15">
        <v>6</v>
      </c>
    </row>
    <row r="12" spans="1:5" x14ac:dyDescent="0.25">
      <c r="A12" s="2" t="s">
        <v>284</v>
      </c>
      <c r="B12" s="47"/>
      <c r="C12" s="25">
        <v>183.85300000000001</v>
      </c>
      <c r="D12" s="25">
        <v>232.567215</v>
      </c>
      <c r="E12" s="15">
        <v>15</v>
      </c>
    </row>
    <row r="13" spans="1:5" x14ac:dyDescent="0.25">
      <c r="A13" s="2" t="s">
        <v>244</v>
      </c>
      <c r="B13" s="47">
        <v>97.6388125</v>
      </c>
      <c r="C13" s="25">
        <v>17</v>
      </c>
      <c r="D13" s="25">
        <v>106.70971729999999</v>
      </c>
      <c r="E13" s="15">
        <v>55.018262499999999</v>
      </c>
    </row>
    <row r="14" spans="1:5" x14ac:dyDescent="0.25">
      <c r="A14" s="2" t="s">
        <v>586</v>
      </c>
      <c r="B14" s="47"/>
      <c r="C14" s="25"/>
      <c r="D14" s="25">
        <v>5</v>
      </c>
      <c r="E14" s="15"/>
    </row>
    <row r="15" spans="1:5" x14ac:dyDescent="0.25">
      <c r="A15" s="2" t="s">
        <v>285</v>
      </c>
      <c r="B15" s="47">
        <v>33</v>
      </c>
      <c r="C15" s="25"/>
      <c r="D15" s="25"/>
      <c r="E15" s="15">
        <v>9</v>
      </c>
    </row>
    <row r="16" spans="1:5" x14ac:dyDescent="0.25">
      <c r="A16" s="2" t="s">
        <v>402</v>
      </c>
      <c r="B16" s="47">
        <v>3</v>
      </c>
      <c r="C16" s="25"/>
      <c r="D16" s="25">
        <v>13</v>
      </c>
      <c r="E16" s="15">
        <v>6</v>
      </c>
    </row>
    <row r="17" spans="1:5" x14ac:dyDescent="0.25">
      <c r="A17" s="2" t="s">
        <v>810</v>
      </c>
      <c r="B17" s="47"/>
      <c r="C17" s="25">
        <v>8</v>
      </c>
      <c r="D17" s="25"/>
      <c r="E17" s="15">
        <v>5</v>
      </c>
    </row>
    <row r="23" spans="1:5" ht="15" customHeight="1" x14ac:dyDescent="0.25">
      <c r="A23" s="68" t="s">
        <v>1127</v>
      </c>
      <c r="B23" s="68"/>
      <c r="C23" s="68"/>
    </row>
    <row r="24" spans="1:5" x14ac:dyDescent="0.25">
      <c r="A24" s="69"/>
      <c r="B24" s="69"/>
      <c r="C24" s="69"/>
    </row>
    <row r="27" spans="1:5" x14ac:dyDescent="0.25">
      <c r="A27" s="43" t="s">
        <v>1260</v>
      </c>
      <c r="B27" s="44" t="s">
        <v>1121</v>
      </c>
      <c r="C27" s="44" t="s">
        <v>1125</v>
      </c>
    </row>
    <row r="28" spans="1:5" x14ac:dyDescent="0.25">
      <c r="A28" s="44" t="s">
        <v>1122</v>
      </c>
      <c r="B28" s="46">
        <v>7180.0773412499984</v>
      </c>
      <c r="C28" s="71">
        <v>33</v>
      </c>
    </row>
    <row r="29" spans="1:5" x14ac:dyDescent="0.25">
      <c r="A29" s="44" t="s">
        <v>1123</v>
      </c>
      <c r="B29" s="46">
        <v>892.52672749999999</v>
      </c>
      <c r="C29" s="71">
        <v>56</v>
      </c>
    </row>
    <row r="30" spans="1:5" x14ac:dyDescent="0.25">
      <c r="A30" s="44" t="s">
        <v>1124</v>
      </c>
      <c r="B30" s="46">
        <v>259.4539848</v>
      </c>
      <c r="C30" s="71">
        <v>31</v>
      </c>
    </row>
    <row r="31" spans="1:5" x14ac:dyDescent="0.25">
      <c r="A31" s="44" t="s">
        <v>1120</v>
      </c>
      <c r="B31" s="46">
        <v>8332.0580535499994</v>
      </c>
      <c r="C31" s="71">
        <v>120</v>
      </c>
    </row>
    <row r="35" spans="1:3" x14ac:dyDescent="0.25">
      <c r="A35" s="68" t="s">
        <v>1128</v>
      </c>
      <c r="B35" s="68"/>
      <c r="C35" s="68"/>
    </row>
    <row r="36" spans="1:3" x14ac:dyDescent="0.25">
      <c r="A36" s="69"/>
      <c r="B36" s="69"/>
      <c r="C36" s="69"/>
    </row>
    <row r="39" spans="1:3" x14ac:dyDescent="0.25">
      <c r="A39" s="43" t="s">
        <v>1261</v>
      </c>
      <c r="B39" s="44" t="s">
        <v>1259</v>
      </c>
      <c r="C39" s="44" t="s">
        <v>1129</v>
      </c>
    </row>
    <row r="40" spans="1:3" x14ac:dyDescent="0.25">
      <c r="A40" s="44" t="s">
        <v>214</v>
      </c>
      <c r="B40" s="71">
        <v>11</v>
      </c>
      <c r="C40" s="45">
        <v>-80.397097752511186</v>
      </c>
    </row>
    <row r="41" spans="1:3" x14ac:dyDescent="0.25">
      <c r="A41" s="44" t="s">
        <v>276</v>
      </c>
      <c r="B41" s="71">
        <v>11</v>
      </c>
      <c r="C41" s="45">
        <v>-95.603628733562246</v>
      </c>
    </row>
    <row r="42" spans="1:3" x14ac:dyDescent="0.25">
      <c r="A42" s="44" t="s">
        <v>296</v>
      </c>
      <c r="B42" s="71">
        <v>12</v>
      </c>
      <c r="C42" s="45">
        <v>-90.051939155630279</v>
      </c>
    </row>
    <row r="43" spans="1:3" x14ac:dyDescent="0.25">
      <c r="A43" s="44" t="s">
        <v>373</v>
      </c>
      <c r="B43" s="71">
        <v>10</v>
      </c>
      <c r="C43" s="45">
        <v>-71.705817001497522</v>
      </c>
    </row>
    <row r="44" spans="1:3" x14ac:dyDescent="0.25">
      <c r="A44" s="44" t="s">
        <v>312</v>
      </c>
      <c r="B44" s="71">
        <v>10</v>
      </c>
      <c r="C44" s="45">
        <v>-81.034495887907411</v>
      </c>
    </row>
    <row r="45" spans="1:3" x14ac:dyDescent="0.25">
      <c r="A45" s="44" t="s">
        <v>356</v>
      </c>
      <c r="B45" s="71">
        <v>11</v>
      </c>
      <c r="C45" s="45">
        <v>-99.808499857451608</v>
      </c>
    </row>
    <row r="46" spans="1:3" x14ac:dyDescent="0.25">
      <c r="A46" s="44" t="s">
        <v>326</v>
      </c>
      <c r="B46" s="71">
        <v>11</v>
      </c>
      <c r="C46" s="45">
        <v>-96.158712331642874</v>
      </c>
    </row>
    <row r="47" spans="1:3" x14ac:dyDescent="0.25">
      <c r="A47" s="44" t="s">
        <v>237</v>
      </c>
      <c r="B47" s="71">
        <v>11</v>
      </c>
      <c r="C47" s="45">
        <v>-120.24004251909599</v>
      </c>
    </row>
    <row r="48" spans="1:3" x14ac:dyDescent="0.25">
      <c r="A48" s="44" t="s">
        <v>183</v>
      </c>
      <c r="B48" s="71">
        <v>11</v>
      </c>
      <c r="C48" s="45">
        <v>-87.152455871119642</v>
      </c>
    </row>
    <row r="49" spans="1:3" x14ac:dyDescent="0.25">
      <c r="A49" s="44" t="s">
        <v>338</v>
      </c>
      <c r="B49" s="71">
        <v>11</v>
      </c>
      <c r="C49" s="45">
        <v>-93.978051750501507</v>
      </c>
    </row>
    <row r="50" spans="1:3" x14ac:dyDescent="0.25">
      <c r="A50" s="44" t="s">
        <v>258</v>
      </c>
      <c r="B50" s="71">
        <v>11</v>
      </c>
      <c r="C50" s="45">
        <v>-76.457347253201675</v>
      </c>
    </row>
    <row r="53" spans="1:3" x14ac:dyDescent="0.25">
      <c r="A53" s="68" t="s">
        <v>1262</v>
      </c>
      <c r="B53" s="68"/>
      <c r="C53" s="68"/>
    </row>
    <row r="54" spans="1:3" x14ac:dyDescent="0.25">
      <c r="A54" s="69"/>
      <c r="B54" s="69"/>
      <c r="C54" s="69"/>
    </row>
    <row r="56" spans="1:3" x14ac:dyDescent="0.25">
      <c r="A56" s="39" t="s">
        <v>1119</v>
      </c>
      <c r="B56" t="s">
        <v>1121</v>
      </c>
      <c r="C56" t="s">
        <v>1263</v>
      </c>
    </row>
    <row r="57" spans="1:3" x14ac:dyDescent="0.25">
      <c r="A57" s="40" t="s">
        <v>494</v>
      </c>
      <c r="B57" s="41">
        <v>35.012</v>
      </c>
      <c r="C57" s="70">
        <v>1</v>
      </c>
    </row>
    <row r="58" spans="1:3" x14ac:dyDescent="0.25">
      <c r="A58" s="40" t="s">
        <v>708</v>
      </c>
      <c r="B58" s="41">
        <v>15</v>
      </c>
      <c r="C58" s="70">
        <v>1</v>
      </c>
    </row>
    <row r="59" spans="1:3" x14ac:dyDescent="0.25">
      <c r="A59" s="40" t="s">
        <v>385</v>
      </c>
      <c r="B59" s="41">
        <v>5</v>
      </c>
      <c r="C59" s="70">
        <v>2</v>
      </c>
    </row>
    <row r="60" spans="1:3" x14ac:dyDescent="0.25">
      <c r="A60" s="40" t="s">
        <v>842</v>
      </c>
      <c r="B60" s="41">
        <v>4</v>
      </c>
      <c r="C60" s="70">
        <v>2</v>
      </c>
    </row>
    <row r="61" spans="1:3" x14ac:dyDescent="0.25">
      <c r="A61" s="40" t="s">
        <v>858</v>
      </c>
      <c r="B61" s="41">
        <v>3</v>
      </c>
      <c r="C61" s="70">
        <v>2</v>
      </c>
    </row>
    <row r="62" spans="1:3" x14ac:dyDescent="0.25">
      <c r="A62" s="40" t="s">
        <v>562</v>
      </c>
      <c r="B62" s="41">
        <v>4</v>
      </c>
      <c r="C62" s="70">
        <v>6</v>
      </c>
    </row>
    <row r="63" spans="1:3" x14ac:dyDescent="0.25">
      <c r="A63" s="40" t="s">
        <v>666</v>
      </c>
      <c r="B63" s="41">
        <v>5</v>
      </c>
      <c r="C63" s="70">
        <v>2</v>
      </c>
    </row>
    <row r="64" spans="1:3" x14ac:dyDescent="0.25">
      <c r="A64" s="40" t="s">
        <v>616</v>
      </c>
      <c r="B64" s="41">
        <v>3</v>
      </c>
      <c r="C64" s="70">
        <v>2</v>
      </c>
    </row>
    <row r="65" spans="1:3" x14ac:dyDescent="0.25">
      <c r="A65" s="40" t="s">
        <v>703</v>
      </c>
      <c r="B65" s="41">
        <v>3</v>
      </c>
      <c r="C65" s="70">
        <v>4</v>
      </c>
    </row>
    <row r="66" spans="1:3" x14ac:dyDescent="0.25">
      <c r="A66" s="40" t="s">
        <v>243</v>
      </c>
      <c r="B66" s="41">
        <v>19.229334999999999</v>
      </c>
      <c r="C66" s="70">
        <v>1</v>
      </c>
    </row>
    <row r="67" spans="1:3" x14ac:dyDescent="0.25">
      <c r="A67" s="40" t="s">
        <v>455</v>
      </c>
      <c r="B67" s="41">
        <v>8</v>
      </c>
      <c r="C67" s="70">
        <v>1</v>
      </c>
    </row>
    <row r="68" spans="1:3" x14ac:dyDescent="0.25">
      <c r="A68" s="40" t="s">
        <v>533</v>
      </c>
      <c r="B68" s="41">
        <v>41.21134</v>
      </c>
      <c r="C68" s="70">
        <v>1</v>
      </c>
    </row>
    <row r="69" spans="1:3" x14ac:dyDescent="0.25">
      <c r="A69" s="40" t="s">
        <v>726</v>
      </c>
      <c r="B69" s="41">
        <v>10</v>
      </c>
      <c r="C69" s="70">
        <v>1</v>
      </c>
    </row>
    <row r="70" spans="1:3" x14ac:dyDescent="0.25">
      <c r="A70" s="40" t="s">
        <v>657</v>
      </c>
      <c r="B70" s="41">
        <v>4</v>
      </c>
      <c r="C70" s="70">
        <v>2</v>
      </c>
    </row>
    <row r="71" spans="1:3" x14ac:dyDescent="0.25">
      <c r="A71" s="40" t="s">
        <v>649</v>
      </c>
      <c r="B71" s="41">
        <v>6</v>
      </c>
      <c r="C71" s="70">
        <v>1</v>
      </c>
    </row>
    <row r="72" spans="1:3" x14ac:dyDescent="0.25">
      <c r="A72" s="40" t="s">
        <v>834</v>
      </c>
      <c r="B72" s="41">
        <v>2</v>
      </c>
      <c r="C72" s="70">
        <v>6</v>
      </c>
    </row>
    <row r="73" spans="1:3" x14ac:dyDescent="0.25">
      <c r="A73" s="40" t="s">
        <v>577</v>
      </c>
      <c r="B73" s="41">
        <v>2</v>
      </c>
      <c r="C73" s="70">
        <v>12</v>
      </c>
    </row>
    <row r="74" spans="1:3" x14ac:dyDescent="0.25">
      <c r="A74" s="40" t="s">
        <v>331</v>
      </c>
      <c r="B74" s="41">
        <v>10</v>
      </c>
      <c r="C74" s="70">
        <v>2</v>
      </c>
    </row>
    <row r="75" spans="1:3" x14ac:dyDescent="0.25">
      <c r="A75" s="40" t="s">
        <v>871</v>
      </c>
      <c r="B75" s="41">
        <v>2</v>
      </c>
      <c r="C75" s="70">
        <v>6</v>
      </c>
    </row>
    <row r="76" spans="1:3" x14ac:dyDescent="0.25">
      <c r="A76" s="40" t="s">
        <v>716</v>
      </c>
      <c r="B76" s="41">
        <v>60.027999999999999</v>
      </c>
      <c r="C76" s="70">
        <v>1</v>
      </c>
    </row>
    <row r="77" spans="1:3" x14ac:dyDescent="0.25">
      <c r="A77" s="40" t="s">
        <v>469</v>
      </c>
      <c r="B77" s="41">
        <v>23.25675</v>
      </c>
      <c r="C77" s="70">
        <v>1</v>
      </c>
    </row>
    <row r="78" spans="1:3" x14ac:dyDescent="0.25">
      <c r="A78" s="40" t="s">
        <v>222</v>
      </c>
      <c r="B78" s="41">
        <v>8</v>
      </c>
      <c r="C78" s="70">
        <v>5</v>
      </c>
    </row>
    <row r="79" spans="1:3" x14ac:dyDescent="0.25">
      <c r="A79" s="40" t="s">
        <v>791</v>
      </c>
      <c r="B79" s="41">
        <v>2</v>
      </c>
      <c r="C79" s="70">
        <v>12</v>
      </c>
    </row>
    <row r="80" spans="1:3" x14ac:dyDescent="0.25">
      <c r="A80" s="40" t="s">
        <v>592</v>
      </c>
      <c r="B80" s="41">
        <v>7.451225</v>
      </c>
      <c r="C80" s="70">
        <v>2</v>
      </c>
    </row>
    <row r="81" spans="1:3" x14ac:dyDescent="0.25">
      <c r="A81" s="40" t="s">
        <v>804</v>
      </c>
      <c r="B81" s="41">
        <v>3</v>
      </c>
      <c r="C81" s="70">
        <v>2</v>
      </c>
    </row>
    <row r="82" spans="1:3" x14ac:dyDescent="0.25">
      <c r="A82" s="40" t="s">
        <v>683</v>
      </c>
      <c r="B82" s="41">
        <v>25</v>
      </c>
      <c r="C82" s="70">
        <v>1</v>
      </c>
    </row>
    <row r="83" spans="1:3" x14ac:dyDescent="0.25">
      <c r="A83" s="40" t="s">
        <v>283</v>
      </c>
      <c r="B83" s="41">
        <v>123.825</v>
      </c>
      <c r="C83" s="70">
        <v>1</v>
      </c>
    </row>
    <row r="84" spans="1:3" x14ac:dyDescent="0.25">
      <c r="A84" s="40" t="s">
        <v>379</v>
      </c>
      <c r="B84" s="41">
        <v>10.11355625</v>
      </c>
      <c r="C84" s="70">
        <v>1</v>
      </c>
    </row>
    <row r="85" spans="1:3" x14ac:dyDescent="0.25">
      <c r="A85" s="40" t="s">
        <v>839</v>
      </c>
      <c r="B85" s="41">
        <v>5</v>
      </c>
      <c r="C85" s="70">
        <v>1</v>
      </c>
    </row>
    <row r="86" spans="1:3" x14ac:dyDescent="0.25">
      <c r="A86" s="40" t="s">
        <v>475</v>
      </c>
      <c r="B86" s="41">
        <v>4</v>
      </c>
      <c r="C86" s="70">
        <v>5</v>
      </c>
    </row>
    <row r="87" spans="1:3" x14ac:dyDescent="0.25">
      <c r="A87" s="40" t="s">
        <v>428</v>
      </c>
      <c r="B87" s="41">
        <v>191.355875</v>
      </c>
      <c r="C87" s="70">
        <v>1</v>
      </c>
    </row>
    <row r="88" spans="1:3" x14ac:dyDescent="0.25">
      <c r="A88" s="40" t="s">
        <v>850</v>
      </c>
      <c r="B88" s="41">
        <v>3</v>
      </c>
      <c r="C88" s="70">
        <v>3</v>
      </c>
    </row>
    <row r="89" spans="1:3" x14ac:dyDescent="0.25">
      <c r="A89" s="40" t="s">
        <v>464</v>
      </c>
      <c r="B89" s="41">
        <v>15</v>
      </c>
      <c r="C89" s="70">
        <v>1</v>
      </c>
    </row>
    <row r="90" spans="1:3" x14ac:dyDescent="0.25">
      <c r="A90" s="40" t="s">
        <v>662</v>
      </c>
      <c r="B90" s="41">
        <v>12.052430000000001</v>
      </c>
      <c r="C90" s="70">
        <v>1</v>
      </c>
    </row>
    <row r="91" spans="1:3" x14ac:dyDescent="0.25">
      <c r="A91" s="40" t="s">
        <v>720</v>
      </c>
      <c r="B91" s="41">
        <v>2</v>
      </c>
      <c r="C91" s="70">
        <v>2</v>
      </c>
    </row>
    <row r="92" spans="1:3" x14ac:dyDescent="0.25">
      <c r="A92" s="40" t="s">
        <v>778</v>
      </c>
      <c r="B92" s="41">
        <v>105.056</v>
      </c>
      <c r="C92" s="70">
        <v>1</v>
      </c>
    </row>
    <row r="93" spans="1:3" x14ac:dyDescent="0.25">
      <c r="A93" s="40" t="s">
        <v>479</v>
      </c>
      <c r="B93" s="41">
        <v>6</v>
      </c>
      <c r="C93" s="70">
        <v>2</v>
      </c>
    </row>
    <row r="94" spans="1:3" x14ac:dyDescent="0.25">
      <c r="A94" s="40" t="s">
        <v>765</v>
      </c>
      <c r="B94" s="41">
        <v>2</v>
      </c>
      <c r="C94" s="70">
        <v>6</v>
      </c>
    </row>
    <row r="95" spans="1:3" x14ac:dyDescent="0.25">
      <c r="A95" s="40" t="s">
        <v>861</v>
      </c>
      <c r="B95" s="41">
        <v>2</v>
      </c>
      <c r="C95" s="70">
        <v>3</v>
      </c>
    </row>
    <row r="96" spans="1:3" x14ac:dyDescent="0.25">
      <c r="A96" s="40" t="s">
        <v>549</v>
      </c>
      <c r="B96" s="41">
        <v>30.2121</v>
      </c>
      <c r="C96" s="70">
        <v>2</v>
      </c>
    </row>
    <row r="97" spans="1:3" x14ac:dyDescent="0.25">
      <c r="A97" s="40" t="s">
        <v>537</v>
      </c>
      <c r="B97" s="41">
        <v>3</v>
      </c>
      <c r="C97" s="70">
        <v>3</v>
      </c>
    </row>
    <row r="98" spans="1:3" x14ac:dyDescent="0.25">
      <c r="A98" s="40" t="s">
        <v>828</v>
      </c>
      <c r="B98" s="41">
        <v>3</v>
      </c>
      <c r="C98" s="70">
        <v>3</v>
      </c>
    </row>
    <row r="99" spans="1:3" x14ac:dyDescent="0.25">
      <c r="A99" s="40" t="s">
        <v>511</v>
      </c>
      <c r="B99" s="41">
        <v>12</v>
      </c>
      <c r="C99" s="70">
        <v>1</v>
      </c>
    </row>
    <row r="100" spans="1:3" x14ac:dyDescent="0.25">
      <c r="A100" s="40" t="s">
        <v>613</v>
      </c>
      <c r="B100" s="41">
        <v>4</v>
      </c>
      <c r="C100" s="70">
        <v>3</v>
      </c>
    </row>
    <row r="101" spans="1:3" x14ac:dyDescent="0.25">
      <c r="A101" s="40" t="s">
        <v>620</v>
      </c>
      <c r="B101" s="41">
        <v>4</v>
      </c>
      <c r="C101" s="70">
        <v>2</v>
      </c>
    </row>
    <row r="102" spans="1:3" x14ac:dyDescent="0.25">
      <c r="A102" s="40" t="s">
        <v>435</v>
      </c>
      <c r="B102" s="41">
        <v>5</v>
      </c>
      <c r="C102" s="70">
        <v>2</v>
      </c>
    </row>
    <row r="103" spans="1:3" x14ac:dyDescent="0.25">
      <c r="A103" s="40" t="s">
        <v>738</v>
      </c>
      <c r="B103" s="41">
        <v>4</v>
      </c>
      <c r="C103" s="70">
        <v>1</v>
      </c>
    </row>
    <row r="104" spans="1:3" x14ac:dyDescent="0.25">
      <c r="A104" s="40" t="s">
        <v>864</v>
      </c>
      <c r="B104" s="41">
        <v>5</v>
      </c>
      <c r="C104" s="70">
        <v>1</v>
      </c>
    </row>
    <row r="105" spans="1:3" x14ac:dyDescent="0.25">
      <c r="A105" s="40" t="s">
        <v>401</v>
      </c>
      <c r="B105" s="41">
        <v>8</v>
      </c>
      <c r="C105" s="70">
        <v>1</v>
      </c>
    </row>
    <row r="106" spans="1:3" x14ac:dyDescent="0.25">
      <c r="A106" s="40" t="s">
        <v>691</v>
      </c>
      <c r="B106" s="41">
        <v>5</v>
      </c>
      <c r="C106" s="70">
        <v>1</v>
      </c>
    </row>
    <row r="107" spans="1:3" x14ac:dyDescent="0.25">
      <c r="A107" s="40" t="s">
        <v>699</v>
      </c>
      <c r="B107" s="41">
        <v>6.5132562499999995</v>
      </c>
      <c r="C107" s="70">
        <v>1</v>
      </c>
    </row>
    <row r="108" spans="1:3" x14ac:dyDescent="0.25">
      <c r="A108" s="40" t="s">
        <v>542</v>
      </c>
      <c r="B108" s="41">
        <v>33.037615000000002</v>
      </c>
      <c r="C108" s="70">
        <v>1</v>
      </c>
    </row>
    <row r="109" spans="1:3" x14ac:dyDescent="0.25">
      <c r="A109" s="40" t="s">
        <v>460</v>
      </c>
      <c r="B109" s="41">
        <v>5</v>
      </c>
      <c r="C109" s="70">
        <v>3</v>
      </c>
    </row>
    <row r="110" spans="1:3" x14ac:dyDescent="0.25">
      <c r="A110" s="40" t="s">
        <v>491</v>
      </c>
      <c r="B110" s="41">
        <v>21.407199999999996</v>
      </c>
      <c r="C110" s="70">
        <v>2</v>
      </c>
    </row>
    <row r="111" spans="1:3" x14ac:dyDescent="0.25">
      <c r="A111" s="40" t="s">
        <v>746</v>
      </c>
      <c r="B111" s="41">
        <v>2</v>
      </c>
      <c r="C111" s="70">
        <v>5</v>
      </c>
    </row>
    <row r="112" spans="1:3" x14ac:dyDescent="0.25">
      <c r="A112" s="40" t="s">
        <v>754</v>
      </c>
      <c r="B112" s="41">
        <v>31.209720000000001</v>
      </c>
      <c r="C112" s="70">
        <v>1</v>
      </c>
    </row>
    <row r="113" spans="1:3" x14ac:dyDescent="0.25">
      <c r="A113" s="40" t="s">
        <v>191</v>
      </c>
      <c r="B113" s="41">
        <v>2907.3040000000001</v>
      </c>
      <c r="C113" s="70">
        <v>2</v>
      </c>
    </row>
    <row r="114" spans="1:3" x14ac:dyDescent="0.25">
      <c r="A114" s="40" t="s">
        <v>742</v>
      </c>
      <c r="B114" s="41">
        <v>4</v>
      </c>
      <c r="C114" s="70">
        <v>2</v>
      </c>
    </row>
    <row r="115" spans="1:3" x14ac:dyDescent="0.25">
      <c r="A115" s="40" t="s">
        <v>448</v>
      </c>
      <c r="B115" s="41">
        <v>1330.896</v>
      </c>
      <c r="C115" s="70">
        <v>1</v>
      </c>
    </row>
    <row r="116" spans="1:3" x14ac:dyDescent="0.25">
      <c r="A116" s="40" t="s">
        <v>831</v>
      </c>
      <c r="B116" s="41">
        <v>9.6107648000000001</v>
      </c>
      <c r="C116" s="70">
        <v>2</v>
      </c>
    </row>
    <row r="117" spans="1:3" x14ac:dyDescent="0.25">
      <c r="A117" s="40" t="s">
        <v>641</v>
      </c>
      <c r="B117" s="41">
        <v>18.053629999999998</v>
      </c>
      <c r="C117" s="70">
        <v>1</v>
      </c>
    </row>
    <row r="118" spans="1:3" x14ac:dyDescent="0.25">
      <c r="A118" s="40" t="s">
        <v>503</v>
      </c>
      <c r="B118" s="41">
        <v>15</v>
      </c>
      <c r="C118" s="70">
        <v>1</v>
      </c>
    </row>
    <row r="119" spans="1:3" x14ac:dyDescent="0.25">
      <c r="A119" s="40" t="s">
        <v>585</v>
      </c>
      <c r="B119" s="41">
        <v>3</v>
      </c>
      <c r="C119" s="70">
        <v>1</v>
      </c>
    </row>
    <row r="120" spans="1:3" x14ac:dyDescent="0.25">
      <c r="A120" s="40" t="s">
        <v>787</v>
      </c>
      <c r="B120" s="41">
        <v>15</v>
      </c>
      <c r="C120" s="70">
        <v>1</v>
      </c>
    </row>
    <row r="121" spans="1:3" x14ac:dyDescent="0.25">
      <c r="A121" s="40" t="s">
        <v>694</v>
      </c>
      <c r="B121" s="41">
        <v>2</v>
      </c>
      <c r="C121" s="70">
        <v>25</v>
      </c>
    </row>
    <row r="122" spans="1:3" x14ac:dyDescent="0.25">
      <c r="A122" s="40" t="s">
        <v>417</v>
      </c>
      <c r="B122" s="41">
        <v>14.116145000000001</v>
      </c>
      <c r="C122" s="70">
        <v>3</v>
      </c>
    </row>
    <row r="123" spans="1:3" x14ac:dyDescent="0.25">
      <c r="A123" s="40" t="s">
        <v>573</v>
      </c>
      <c r="B123" s="41">
        <v>8</v>
      </c>
      <c r="C123" s="70">
        <v>1</v>
      </c>
    </row>
    <row r="124" spans="1:3" x14ac:dyDescent="0.25">
      <c r="A124" s="40" t="s">
        <v>809</v>
      </c>
      <c r="B124" s="41">
        <v>8</v>
      </c>
      <c r="C124" s="70">
        <v>1</v>
      </c>
    </row>
    <row r="125" spans="1:3" x14ac:dyDescent="0.25">
      <c r="A125" s="40" t="s">
        <v>855</v>
      </c>
      <c r="B125" s="41">
        <v>2</v>
      </c>
      <c r="C125" s="70">
        <v>3</v>
      </c>
    </row>
    <row r="126" spans="1:3" x14ac:dyDescent="0.25">
      <c r="A126" s="40" t="s">
        <v>749</v>
      </c>
      <c r="B126" s="41">
        <v>3</v>
      </c>
      <c r="C126" s="70">
        <v>3</v>
      </c>
    </row>
    <row r="127" spans="1:3" x14ac:dyDescent="0.25">
      <c r="A127" s="40" t="s">
        <v>735</v>
      </c>
      <c r="B127" s="41">
        <v>5</v>
      </c>
      <c r="C127" s="70">
        <v>2</v>
      </c>
    </row>
    <row r="128" spans="1:3" x14ac:dyDescent="0.25">
      <c r="A128" s="40" t="s">
        <v>630</v>
      </c>
      <c r="B128" s="41">
        <v>4</v>
      </c>
      <c r="C128" s="70">
        <v>3</v>
      </c>
    </row>
    <row r="129" spans="1:3" x14ac:dyDescent="0.25">
      <c r="A129" s="40" t="s">
        <v>487</v>
      </c>
      <c r="B129" s="41">
        <v>15</v>
      </c>
      <c r="C129" s="70">
        <v>1</v>
      </c>
    </row>
    <row r="130" spans="1:3" x14ac:dyDescent="0.25">
      <c r="A130" s="40" t="s">
        <v>770</v>
      </c>
      <c r="B130" s="41">
        <v>4</v>
      </c>
      <c r="C130" s="70">
        <v>40</v>
      </c>
    </row>
    <row r="131" spans="1:3" x14ac:dyDescent="0.25">
      <c r="A131" s="40" t="s">
        <v>441</v>
      </c>
      <c r="B131" s="41">
        <v>5</v>
      </c>
      <c r="C131" s="70">
        <v>2</v>
      </c>
    </row>
    <row r="132" spans="1:3" x14ac:dyDescent="0.25">
      <c r="A132" s="40" t="s">
        <v>723</v>
      </c>
      <c r="B132" s="41">
        <v>8.6146674999999995</v>
      </c>
      <c r="C132" s="70">
        <v>1</v>
      </c>
    </row>
    <row r="133" spans="1:3" x14ac:dyDescent="0.25">
      <c r="A133" s="40" t="s">
        <v>483</v>
      </c>
      <c r="B133" s="41">
        <v>3</v>
      </c>
      <c r="C133" s="70">
        <v>3</v>
      </c>
    </row>
    <row r="134" spans="1:3" x14ac:dyDescent="0.25">
      <c r="A134" s="40" t="s">
        <v>596</v>
      </c>
      <c r="B134" s="41">
        <v>8</v>
      </c>
      <c r="C134" s="70">
        <v>1</v>
      </c>
    </row>
    <row r="135" spans="1:3" x14ac:dyDescent="0.25">
      <c r="A135" s="40" t="s">
        <v>672</v>
      </c>
      <c r="B135" s="41">
        <v>8</v>
      </c>
      <c r="C135" s="70">
        <v>1</v>
      </c>
    </row>
    <row r="136" spans="1:3" x14ac:dyDescent="0.25">
      <c r="A136" s="40" t="s">
        <v>318</v>
      </c>
      <c r="B136" s="41">
        <v>15.203599999999998</v>
      </c>
      <c r="C136" s="70">
        <v>1</v>
      </c>
    </row>
    <row r="137" spans="1:3" x14ac:dyDescent="0.25">
      <c r="A137" s="40" t="s">
        <v>528</v>
      </c>
      <c r="B137" s="41">
        <v>4</v>
      </c>
      <c r="C137" s="70">
        <v>2</v>
      </c>
    </row>
    <row r="138" spans="1:3" x14ac:dyDescent="0.25">
      <c r="A138" s="40" t="s">
        <v>846</v>
      </c>
      <c r="B138" s="41">
        <v>5</v>
      </c>
      <c r="C138" s="70">
        <v>1</v>
      </c>
    </row>
    <row r="139" spans="1:3" x14ac:dyDescent="0.25">
      <c r="A139" s="40" t="s">
        <v>600</v>
      </c>
      <c r="B139" s="41">
        <v>3</v>
      </c>
      <c r="C139" s="70">
        <v>8</v>
      </c>
    </row>
    <row r="140" spans="1:3" x14ac:dyDescent="0.25">
      <c r="A140" s="40" t="s">
        <v>796</v>
      </c>
      <c r="B140" s="41">
        <v>6</v>
      </c>
      <c r="C140" s="70">
        <v>1</v>
      </c>
    </row>
    <row r="141" spans="1:3" x14ac:dyDescent="0.25">
      <c r="A141" s="40" t="s">
        <v>774</v>
      </c>
      <c r="B141" s="41">
        <v>4</v>
      </c>
      <c r="C141" s="70">
        <v>2</v>
      </c>
    </row>
    <row r="142" spans="1:3" x14ac:dyDescent="0.25">
      <c r="A142" s="40" t="s">
        <v>303</v>
      </c>
      <c r="B142" s="41">
        <v>260.14700000000005</v>
      </c>
      <c r="C142" s="70">
        <v>2</v>
      </c>
    </row>
    <row r="143" spans="1:3" x14ac:dyDescent="0.25">
      <c r="A143" s="40" t="s">
        <v>557</v>
      </c>
      <c r="B143" s="41">
        <v>415.32400000000001</v>
      </c>
      <c r="C143" s="70">
        <v>1</v>
      </c>
    </row>
    <row r="144" spans="1:3" x14ac:dyDescent="0.25">
      <c r="A144" s="40" t="s">
        <v>498</v>
      </c>
      <c r="B144" s="41">
        <v>5</v>
      </c>
      <c r="C144" s="70">
        <v>2</v>
      </c>
    </row>
    <row r="145" spans="1:3" x14ac:dyDescent="0.25">
      <c r="A145" s="40" t="s">
        <v>645</v>
      </c>
      <c r="B145" s="41">
        <v>2</v>
      </c>
      <c r="C145" s="70">
        <v>15</v>
      </c>
    </row>
    <row r="146" spans="1:3" x14ac:dyDescent="0.25">
      <c r="A146" s="40" t="s">
        <v>567</v>
      </c>
      <c r="B146" s="41">
        <v>12</v>
      </c>
      <c r="C146" s="70">
        <v>1</v>
      </c>
    </row>
    <row r="147" spans="1:3" x14ac:dyDescent="0.25">
      <c r="A147" s="40" t="s">
        <v>677</v>
      </c>
      <c r="B147" s="41">
        <v>7.5152074999999998</v>
      </c>
      <c r="C147" s="70">
        <v>1</v>
      </c>
    </row>
    <row r="148" spans="1:3" x14ac:dyDescent="0.25">
      <c r="A148" s="40" t="s">
        <v>508</v>
      </c>
      <c r="B148" s="41">
        <v>7.5132562499999995</v>
      </c>
      <c r="C148" s="70">
        <v>1</v>
      </c>
    </row>
    <row r="149" spans="1:3" x14ac:dyDescent="0.25">
      <c r="A149" s="40" t="s">
        <v>800</v>
      </c>
      <c r="B149" s="41">
        <v>3.6128675000000001</v>
      </c>
      <c r="C149" s="70">
        <v>1</v>
      </c>
    </row>
    <row r="150" spans="1:3" x14ac:dyDescent="0.25">
      <c r="A150" s="40" t="s">
        <v>625</v>
      </c>
      <c r="B150" s="41">
        <v>3</v>
      </c>
      <c r="C150" s="70">
        <v>2</v>
      </c>
    </row>
    <row r="151" spans="1:3" x14ac:dyDescent="0.25">
      <c r="A151" s="40" t="s">
        <v>395</v>
      </c>
      <c r="B151" s="41">
        <v>12</v>
      </c>
      <c r="C151" s="70">
        <v>1</v>
      </c>
    </row>
    <row r="152" spans="1:3" x14ac:dyDescent="0.25">
      <c r="A152" s="40" t="s">
        <v>782</v>
      </c>
      <c r="B152" s="41">
        <v>3</v>
      </c>
      <c r="C152" s="70">
        <v>2</v>
      </c>
    </row>
    <row r="153" spans="1:3" x14ac:dyDescent="0.25">
      <c r="A153" s="40" t="s">
        <v>518</v>
      </c>
      <c r="B153" s="41">
        <v>3</v>
      </c>
      <c r="C153" s="70">
        <v>4</v>
      </c>
    </row>
    <row r="154" spans="1:3" x14ac:dyDescent="0.25">
      <c r="A154" s="40" t="s">
        <v>825</v>
      </c>
      <c r="B154" s="41">
        <v>3</v>
      </c>
      <c r="C154" s="70">
        <v>2</v>
      </c>
    </row>
    <row r="155" spans="1:3" x14ac:dyDescent="0.25">
      <c r="A155" s="40" t="s">
        <v>686</v>
      </c>
      <c r="B155" s="41">
        <v>0</v>
      </c>
      <c r="C155" s="70">
        <v>0</v>
      </c>
    </row>
    <row r="156" spans="1:3" x14ac:dyDescent="0.25">
      <c r="A156" s="40" t="s">
        <v>412</v>
      </c>
      <c r="B156" s="41">
        <v>2011.3720000000003</v>
      </c>
      <c r="C156" s="70">
        <v>1</v>
      </c>
    </row>
    <row r="157" spans="1:3" x14ac:dyDescent="0.25">
      <c r="A157" s="40" t="s">
        <v>637</v>
      </c>
      <c r="B157" s="41">
        <v>2</v>
      </c>
      <c r="C157" s="70">
        <v>5</v>
      </c>
    </row>
    <row r="158" spans="1:3" x14ac:dyDescent="0.25">
      <c r="A158" s="40" t="s">
        <v>816</v>
      </c>
      <c r="B158" s="41">
        <v>4</v>
      </c>
      <c r="C158" s="70">
        <v>2</v>
      </c>
    </row>
    <row r="159" spans="1:3" x14ac:dyDescent="0.25">
      <c r="A159" s="40" t="s">
        <v>545</v>
      </c>
      <c r="B159" s="41">
        <v>8</v>
      </c>
      <c r="C159" s="70">
        <v>2</v>
      </c>
    </row>
    <row r="160" spans="1:3" x14ac:dyDescent="0.25">
      <c r="A160" s="40" t="s">
        <v>391</v>
      </c>
      <c r="B160" s="41">
        <v>8</v>
      </c>
      <c r="C160" s="70">
        <v>6</v>
      </c>
    </row>
    <row r="161" spans="1:3" x14ac:dyDescent="0.25">
      <c r="A161" s="40" t="s">
        <v>713</v>
      </c>
      <c r="B161" s="41">
        <v>4</v>
      </c>
      <c r="C161" s="70">
        <v>1</v>
      </c>
    </row>
    <row r="162" spans="1:3" x14ac:dyDescent="0.25">
      <c r="A162" s="40" t="s">
        <v>524</v>
      </c>
      <c r="B162" s="41">
        <v>6</v>
      </c>
      <c r="C162" s="70">
        <v>1</v>
      </c>
    </row>
    <row r="163" spans="1:3" x14ac:dyDescent="0.25">
      <c r="A163" s="40" t="s">
        <v>608</v>
      </c>
      <c r="B163" s="41">
        <v>6</v>
      </c>
      <c r="C163" s="70">
        <v>4</v>
      </c>
    </row>
    <row r="164" spans="1:3" x14ac:dyDescent="0.25">
      <c r="A164" s="40" t="s">
        <v>731</v>
      </c>
      <c r="B164" s="41">
        <v>6</v>
      </c>
      <c r="C164" s="70">
        <v>2</v>
      </c>
    </row>
    <row r="165" spans="1:3" x14ac:dyDescent="0.25">
      <c r="A165" s="40" t="s">
        <v>762</v>
      </c>
      <c r="B165" s="41">
        <v>3</v>
      </c>
      <c r="C165" s="70">
        <v>3</v>
      </c>
    </row>
    <row r="166" spans="1:3" x14ac:dyDescent="0.25">
      <c r="A166" s="40" t="s">
        <v>344</v>
      </c>
      <c r="B166" s="41">
        <v>79.838880000000003</v>
      </c>
      <c r="C166" s="70">
        <v>1</v>
      </c>
    </row>
    <row r="167" spans="1:3" x14ac:dyDescent="0.25">
      <c r="A167" s="40" t="s">
        <v>879</v>
      </c>
      <c r="B167" s="41">
        <v>3</v>
      </c>
      <c r="C167" s="70">
        <v>2</v>
      </c>
    </row>
    <row r="168" spans="1:3" x14ac:dyDescent="0.25">
      <c r="A168" s="40" t="s">
        <v>876</v>
      </c>
      <c r="B168" s="41">
        <v>5.451225</v>
      </c>
      <c r="C168" s="70">
        <v>2</v>
      </c>
    </row>
    <row r="169" spans="1:3" x14ac:dyDescent="0.25">
      <c r="A169" s="40" t="s">
        <v>514</v>
      </c>
      <c r="B169" s="41">
        <v>5</v>
      </c>
      <c r="C169" s="70">
        <v>1</v>
      </c>
    </row>
    <row r="170" spans="1:3" x14ac:dyDescent="0.25">
      <c r="A170" s="40" t="s">
        <v>605</v>
      </c>
      <c r="B170" s="41">
        <v>4</v>
      </c>
      <c r="C170" s="70">
        <v>2</v>
      </c>
    </row>
    <row r="171" spans="1:3" x14ac:dyDescent="0.25">
      <c r="A171" s="40" t="s">
        <v>362</v>
      </c>
      <c r="B171" s="41">
        <v>5</v>
      </c>
      <c r="C171" s="70">
        <v>4</v>
      </c>
    </row>
    <row r="172" spans="1:3" x14ac:dyDescent="0.25">
      <c r="A172" s="40" t="s">
        <v>821</v>
      </c>
      <c r="B172" s="41">
        <v>6.5134074999999996</v>
      </c>
      <c r="C172" s="70">
        <v>1</v>
      </c>
    </row>
    <row r="173" spans="1:3" x14ac:dyDescent="0.25">
      <c r="A173" s="40" t="s">
        <v>425</v>
      </c>
      <c r="B173" s="41">
        <v>0</v>
      </c>
      <c r="C173" s="70">
        <v>10</v>
      </c>
    </row>
    <row r="174" spans="1:3" x14ac:dyDescent="0.25">
      <c r="A174" s="40" t="s">
        <v>264</v>
      </c>
      <c r="B174" s="41">
        <v>10</v>
      </c>
      <c r="C174" s="70">
        <v>3</v>
      </c>
    </row>
    <row r="175" spans="1:3" x14ac:dyDescent="0.25">
      <c r="A175" s="40" t="s">
        <v>554</v>
      </c>
      <c r="B175" s="41">
        <v>4</v>
      </c>
      <c r="C175" s="70">
        <v>2</v>
      </c>
    </row>
    <row r="176" spans="1:3" x14ac:dyDescent="0.25">
      <c r="A176" s="40" t="s">
        <v>867</v>
      </c>
      <c r="B176" s="41">
        <v>2</v>
      </c>
      <c r="C176" s="70">
        <v>4</v>
      </c>
    </row>
    <row r="177" spans="1:3" x14ac:dyDescent="0.25">
      <c r="A177" s="40" t="s">
        <v>1120</v>
      </c>
      <c r="B177" s="41">
        <v>8332.0580535499994</v>
      </c>
      <c r="C177" s="70">
        <v>350</v>
      </c>
    </row>
  </sheetData>
  <mergeCells count="4">
    <mergeCell ref="B1:D2"/>
    <mergeCell ref="A23:C24"/>
    <mergeCell ref="A35:C36"/>
    <mergeCell ref="A53:C54"/>
  </mergeCells>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79575-5BE0-48F8-B1F5-60EB2B12023C}">
  <sheetPr codeName="Sheet1"/>
  <dimension ref="A1"/>
  <sheetViews>
    <sheetView showGridLines="0" showRowColHeaders="0" tabSelected="1" zoomScaleNormal="100"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Raw-data</vt:lpstr>
      <vt:lpstr>Staging</vt:lpstr>
      <vt:lpstr>Cleaned_data</vt:lpstr>
      <vt:lpstr>Filter_Master</vt:lpstr>
      <vt:lpstr>Pivot_Layer</vt:lpstr>
      <vt:lpstr>Command_Center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 COM</dc:creator>
  <cp:lastModifiedBy>Digital Boy</cp:lastModifiedBy>
  <dcterms:created xsi:type="dcterms:W3CDTF">2015-06-05T18:17:20Z</dcterms:created>
  <dcterms:modified xsi:type="dcterms:W3CDTF">2026-02-28T14:24:47Z</dcterms:modified>
</cp:coreProperties>
</file>