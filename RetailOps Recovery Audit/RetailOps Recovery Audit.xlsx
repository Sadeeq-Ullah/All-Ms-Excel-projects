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 COMPUTER\Downloads\Documents\Excel space\"/>
    </mc:Choice>
  </mc:AlternateContent>
  <xr:revisionPtr revIDLastSave="0" documentId="13_ncr:1_{430CD93C-A741-4B74-971E-37307F2D30E8}" xr6:coauthVersionLast="47" xr6:coauthVersionMax="47" xr10:uidLastSave="{00000000-0000-0000-0000-000000000000}"/>
  <bookViews>
    <workbookView xWindow="-120" yWindow="-120" windowWidth="20730" windowHeight="11760" xr2:uid="{E700686C-1D45-4AC4-971A-215C135BA9CF}"/>
  </bookViews>
  <sheets>
    <sheet name="Cleaned Data" sheetId="1" r:id="rId1"/>
    <sheet name="Raw Data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1" l="1"/>
  <c r="Y2" i="1"/>
  <c r="AC2" i="1" s="1"/>
  <c r="AA18" i="1"/>
  <c r="AC18" i="1" s="1"/>
  <c r="AA15" i="1"/>
  <c r="AC3" i="1"/>
  <c r="AC4" i="1"/>
  <c r="AC5" i="1"/>
  <c r="AC6" i="1"/>
  <c r="AC7" i="1"/>
  <c r="AC9" i="1"/>
  <c r="AC10" i="1"/>
  <c r="AC11" i="1"/>
  <c r="AC12" i="1"/>
  <c r="AC13" i="1"/>
  <c r="AC14" i="1"/>
  <c r="AC15" i="1"/>
  <c r="AC16" i="1"/>
  <c r="AC17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6" i="1"/>
  <c r="AA17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Y3" i="1"/>
  <c r="Y4" i="1"/>
  <c r="Y6" i="1"/>
  <c r="Y7" i="1"/>
  <c r="Y8" i="1"/>
  <c r="AC8" i="1" s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</calcChain>
</file>

<file path=xl/sharedStrings.xml><?xml version="1.0" encoding="utf-8"?>
<sst xmlns="http://schemas.openxmlformats.org/spreadsheetml/2006/main" count="1896" uniqueCount="516">
  <si>
    <t>Record_ID</t>
  </si>
  <si>
    <t>Order_ID</t>
  </si>
  <si>
    <t>Invoice_No</t>
  </si>
  <si>
    <t>Order_Date</t>
  </si>
  <si>
    <t>Order_Time</t>
  </si>
  <si>
    <t>Entry_Date</t>
  </si>
  <si>
    <t>Branch_Name</t>
  </si>
  <si>
    <t>Branch_Code</t>
  </si>
  <si>
    <t>City</t>
  </si>
  <si>
    <t>Country</t>
  </si>
  <si>
    <t>Sales_Channel</t>
  </si>
  <si>
    <t>Customer_Name</t>
  </si>
  <si>
    <t>Customer_ID</t>
  </si>
  <si>
    <t>Gender</t>
  </si>
  <si>
    <t>Phone</t>
  </si>
  <si>
    <t>Email</t>
  </si>
  <si>
    <t>Product_Name</t>
  </si>
  <si>
    <t>Product_Category</t>
  </si>
  <si>
    <t>SKU</t>
  </si>
  <si>
    <t>Supplier</t>
  </si>
  <si>
    <t>Unit_Cost</t>
  </si>
  <si>
    <t>Unit_Price</t>
  </si>
  <si>
    <t>Quantity</t>
  </si>
  <si>
    <t>Discount_%</t>
  </si>
  <si>
    <t>Discount_Amount</t>
  </si>
  <si>
    <t>Tax_%</t>
  </si>
  <si>
    <t>Tax_Amount</t>
  </si>
  <si>
    <t>Shipping_Fee</t>
  </si>
  <si>
    <t>Total_Amount</t>
  </si>
  <si>
    <t>Payment_Method</t>
  </si>
  <si>
    <t>Payment_Status</t>
  </si>
  <si>
    <t>Delivery_Status</t>
  </si>
  <si>
    <t>Delivery_Date</t>
  </si>
  <si>
    <t>Return_Status</t>
  </si>
  <si>
    <t>Return_Amount</t>
  </si>
  <si>
    <t>Salesperson</t>
  </si>
  <si>
    <t>Region_Manager</t>
  </si>
  <si>
    <t>Rating</t>
  </si>
  <si>
    <t>Feedback_Text</t>
  </si>
  <si>
    <t>Notes</t>
  </si>
  <si>
    <t>ORD-001</t>
  </si>
  <si>
    <t>NH01</t>
  </si>
  <si>
    <t>New york</t>
  </si>
  <si>
    <t>USA</t>
  </si>
  <si>
    <t>Online</t>
  </si>
  <si>
    <t>C001</t>
  </si>
  <si>
    <t>M</t>
  </si>
  <si>
    <t>john@email</t>
  </si>
  <si>
    <t>Keyboard</t>
  </si>
  <si>
    <t>Electronics</t>
  </si>
  <si>
    <t>SKU01</t>
  </si>
  <si>
    <t>SupA</t>
  </si>
  <si>
    <t>Card</t>
  </si>
  <si>
    <t>Paid</t>
  </si>
  <si>
    <t>Delivered</t>
  </si>
  <si>
    <t>No</t>
  </si>
  <si>
    <t>Alice</t>
  </si>
  <si>
    <t>RM1</t>
  </si>
  <si>
    <t>Great</t>
  </si>
  <si>
    <t>ORD-002</t>
  </si>
  <si>
    <t>INV1002</t>
  </si>
  <si>
    <t>Store</t>
  </si>
  <si>
    <t>C002</t>
  </si>
  <si>
    <t>F</t>
  </si>
  <si>
    <t>Mouse</t>
  </si>
  <si>
    <t>SKU02</t>
  </si>
  <si>
    <t>SupB</t>
  </si>
  <si>
    <t>Cash</t>
  </si>
  <si>
    <t>Bob</t>
  </si>
  <si>
    <t>Good</t>
  </si>
  <si>
    <t>ORD-003</t>
  </si>
  <si>
    <t>West-End</t>
  </si>
  <si>
    <t>WE02</t>
  </si>
  <si>
    <t>Los angeles</t>
  </si>
  <si>
    <t>Sam Smith</t>
  </si>
  <si>
    <t>C003</t>
  </si>
  <si>
    <t>Monitor</t>
  </si>
  <si>
    <t>SKU03</t>
  </si>
  <si>
    <t>SupC</t>
  </si>
  <si>
    <t>Pending</t>
  </si>
  <si>
    <t>Shipped</t>
  </si>
  <si>
    <t>Clara</t>
  </si>
  <si>
    <t>RM2</t>
  </si>
  <si>
    <t>Ok</t>
  </si>
  <si>
    <t>ORD-004</t>
  </si>
  <si>
    <t>INV1004</t>
  </si>
  <si>
    <t>West End</t>
  </si>
  <si>
    <t>Los Angeles</t>
  </si>
  <si>
    <t>Sara Lee</t>
  </si>
  <si>
    <t>C004</t>
  </si>
  <si>
    <t>sara@mail.com</t>
  </si>
  <si>
    <t>Laptop</t>
  </si>
  <si>
    <t>SKU04</t>
  </si>
  <si>
    <t>Yes</t>
  </si>
  <si>
    <t>Dan</t>
  </si>
  <si>
    <t>Excellent</t>
  </si>
  <si>
    <t>ORD-005</t>
  </si>
  <si>
    <t>INV1005</t>
  </si>
  <si>
    <t>South Hub</t>
  </si>
  <si>
    <t>SH03</t>
  </si>
  <si>
    <t>Chicago</t>
  </si>
  <si>
    <t>Mark Twin</t>
  </si>
  <si>
    <t>C005</t>
  </si>
  <si>
    <t>mark@mail</t>
  </si>
  <si>
    <t>Tablet</t>
  </si>
  <si>
    <t>SKU05</t>
  </si>
  <si>
    <t>SupD</t>
  </si>
  <si>
    <t>Failed</t>
  </si>
  <si>
    <t>Eva</t>
  </si>
  <si>
    <t>RM3</t>
  </si>
  <si>
    <t>Bad</t>
  </si>
  <si>
    <t>ORD-006</t>
  </si>
  <si>
    <t>INV1006</t>
  </si>
  <si>
    <t>Chcago</t>
  </si>
  <si>
    <t>Luke Shaw</t>
  </si>
  <si>
    <t>C006</t>
  </si>
  <si>
    <t>luke@mail.com</t>
  </si>
  <si>
    <t>Headset</t>
  </si>
  <si>
    <t>SKU06</t>
  </si>
  <si>
    <t>ORD-007</t>
  </si>
  <si>
    <t>INV1007</t>
  </si>
  <si>
    <t>East Hub</t>
  </si>
  <si>
    <t>EH04</t>
  </si>
  <si>
    <t>Houston</t>
  </si>
  <si>
    <t>Emma Ray</t>
  </si>
  <si>
    <t>C007</t>
  </si>
  <si>
    <t>emma@mail.com</t>
  </si>
  <si>
    <t>Camera</t>
  </si>
  <si>
    <t>SKU07</t>
  </si>
  <si>
    <t>SupE</t>
  </si>
  <si>
    <t>RM4</t>
  </si>
  <si>
    <t>ORD-008</t>
  </si>
  <si>
    <t>INV1008</t>
  </si>
  <si>
    <t xml:space="preserve">Houston </t>
  </si>
  <si>
    <t>Noah Kim</t>
  </si>
  <si>
    <t>C008</t>
  </si>
  <si>
    <t>noah@mailcom</t>
  </si>
  <si>
    <t>Tripod</t>
  </si>
  <si>
    <t>SKU08</t>
  </si>
  <si>
    <t>Nice</t>
  </si>
  <si>
    <t>ORD-009</t>
  </si>
  <si>
    <t>INV1009</t>
  </si>
  <si>
    <t>Central</t>
  </si>
  <si>
    <t>CN05</t>
  </si>
  <si>
    <t>Dallas</t>
  </si>
  <si>
    <t>Olivia</t>
  </si>
  <si>
    <t>C009</t>
  </si>
  <si>
    <t>olivia@mail.com</t>
  </si>
  <si>
    <t>Light</t>
  </si>
  <si>
    <t>SKU09</t>
  </si>
  <si>
    <t>SupF</t>
  </si>
  <si>
    <t>RM5</t>
  </si>
  <si>
    <t>Perfect</t>
  </si>
  <si>
    <t>ORD-010</t>
  </si>
  <si>
    <t>INV1010</t>
  </si>
  <si>
    <t>Liam</t>
  </si>
  <si>
    <t>C010</t>
  </si>
  <si>
    <t>liam@mail.com</t>
  </si>
  <si>
    <t>Bag</t>
  </si>
  <si>
    <t>Accessories</t>
  </si>
  <si>
    <t>SKU10</t>
  </si>
  <si>
    <t>SupG</t>
  </si>
  <si>
    <t>ORD-011</t>
  </si>
  <si>
    <t>INV1011</t>
  </si>
  <si>
    <t>North Hub</t>
  </si>
  <si>
    <t>New York</t>
  </si>
  <si>
    <t>Ava</t>
  </si>
  <si>
    <t>C011</t>
  </si>
  <si>
    <t>ava@mail.com</t>
  </si>
  <si>
    <t>ORD-012</t>
  </si>
  <si>
    <t>INV1012</t>
  </si>
  <si>
    <t>Ethan</t>
  </si>
  <si>
    <t>C012</t>
  </si>
  <si>
    <t>ethan@mail.com</t>
  </si>
  <si>
    <t>ORD-013</t>
  </si>
  <si>
    <t>INV1013</t>
  </si>
  <si>
    <t>Mia</t>
  </si>
  <si>
    <t>C013</t>
  </si>
  <si>
    <t>mia@mail.com</t>
  </si>
  <si>
    <t>Super</t>
  </si>
  <si>
    <t>ORD-014</t>
  </si>
  <si>
    <t>INV1014</t>
  </si>
  <si>
    <t>James</t>
  </si>
  <si>
    <t>C014</t>
  </si>
  <si>
    <t>james@mail</t>
  </si>
  <si>
    <t>ORD-015</t>
  </si>
  <si>
    <t>INV1015</t>
  </si>
  <si>
    <t>Isla</t>
  </si>
  <si>
    <t>C015</t>
  </si>
  <si>
    <t>isla@mail.com</t>
  </si>
  <si>
    <t>ORD-016</t>
  </si>
  <si>
    <t>INV1016</t>
  </si>
  <si>
    <t>Ben</t>
  </si>
  <si>
    <t>C016</t>
  </si>
  <si>
    <t>ben@mail.com</t>
  </si>
  <si>
    <t>ORD-017</t>
  </si>
  <si>
    <t>INV1017</t>
  </si>
  <si>
    <t>Chloe</t>
  </si>
  <si>
    <t>C017</t>
  </si>
  <si>
    <t>chloe@mail</t>
  </si>
  <si>
    <t>ORD-018</t>
  </si>
  <si>
    <t>INV1018</t>
  </si>
  <si>
    <t>Jack</t>
  </si>
  <si>
    <t>C018</t>
  </si>
  <si>
    <t>jack@mail.com</t>
  </si>
  <si>
    <t>ORD-019</t>
  </si>
  <si>
    <t>INV1019</t>
  </si>
  <si>
    <t>Lily</t>
  </si>
  <si>
    <t>C019</t>
  </si>
  <si>
    <t>lily@mail.com</t>
  </si>
  <si>
    <t>ORD-020</t>
  </si>
  <si>
    <t>INV1020</t>
  </si>
  <si>
    <t>Leo</t>
  </si>
  <si>
    <t>C020</t>
  </si>
  <si>
    <t>leo@mail.com</t>
  </si>
  <si>
    <t>ORD-021</t>
  </si>
  <si>
    <t>INV1021</t>
  </si>
  <si>
    <t>Zoe</t>
  </si>
  <si>
    <t>C021</t>
  </si>
  <si>
    <t>zoe@mail</t>
  </si>
  <si>
    <t>ORD-022</t>
  </si>
  <si>
    <t>INV1022</t>
  </si>
  <si>
    <t>Max</t>
  </si>
  <si>
    <t>C022</t>
  </si>
  <si>
    <t>max@mail.com</t>
  </si>
  <si>
    <t>ORD-023</t>
  </si>
  <si>
    <t>INV1023</t>
  </si>
  <si>
    <t>Ella</t>
  </si>
  <si>
    <t>C023</t>
  </si>
  <si>
    <t>ella@mail.com</t>
  </si>
  <si>
    <t>ORD-024</t>
  </si>
  <si>
    <t>INV1024</t>
  </si>
  <si>
    <t>Noah</t>
  </si>
  <si>
    <t>C024</t>
  </si>
  <si>
    <t>noah2@mail.com</t>
  </si>
  <si>
    <t>ORD-025</t>
  </si>
  <si>
    <t>INV1025</t>
  </si>
  <si>
    <t>Ava2</t>
  </si>
  <si>
    <t>C025</t>
  </si>
  <si>
    <t>ava2@mail.com</t>
  </si>
  <si>
    <t>ORD-026</t>
  </si>
  <si>
    <t>INV1026</t>
  </si>
  <si>
    <t>Mason</t>
  </si>
  <si>
    <t>C026</t>
  </si>
  <si>
    <t>mason@mail</t>
  </si>
  <si>
    <t>ORD-027</t>
  </si>
  <si>
    <t>INV1027</t>
  </si>
  <si>
    <t>Amelia</t>
  </si>
  <si>
    <t>C027</t>
  </si>
  <si>
    <t>amelia@mail.com</t>
  </si>
  <si>
    <t>ORD-028</t>
  </si>
  <si>
    <t>INV1028</t>
  </si>
  <si>
    <t>Logan</t>
  </si>
  <si>
    <t>C028</t>
  </si>
  <si>
    <t>logan@mail.com</t>
  </si>
  <si>
    <t>ORD-029</t>
  </si>
  <si>
    <t>INV1029</t>
  </si>
  <si>
    <t>Harper</t>
  </si>
  <si>
    <t>C029</t>
  </si>
  <si>
    <t>harper@mail</t>
  </si>
  <si>
    <t>ORD-030</t>
  </si>
  <si>
    <t>INV1030</t>
  </si>
  <si>
    <t>Elijah</t>
  </si>
  <si>
    <t>C030</t>
  </si>
  <si>
    <t>elijah@mail.com</t>
  </si>
  <si>
    <t>Record ID</t>
  </si>
  <si>
    <t>Order ID</t>
  </si>
  <si>
    <t>Invoice No</t>
  </si>
  <si>
    <t>Order Date</t>
  </si>
  <si>
    <t>Order Time</t>
  </si>
  <si>
    <t>Entry Date</t>
  </si>
  <si>
    <t>Branch Name</t>
  </si>
  <si>
    <t>Sales Channel</t>
  </si>
  <si>
    <t>Customer Name</t>
  </si>
  <si>
    <t>Customer ID</t>
  </si>
  <si>
    <t>Product Name</t>
  </si>
  <si>
    <t>Product Category</t>
  </si>
  <si>
    <t>Unit Cost</t>
  </si>
  <si>
    <t>Unit Price</t>
  </si>
  <si>
    <t>Discount %</t>
  </si>
  <si>
    <t>Discount Amount</t>
  </si>
  <si>
    <t>Tax %</t>
  </si>
  <si>
    <t>Tax Amount</t>
  </si>
  <si>
    <t>Shipping Fee</t>
  </si>
  <si>
    <t>Total Amount</t>
  </si>
  <si>
    <t>Payment Method</t>
  </si>
  <si>
    <t>Payment Status</t>
  </si>
  <si>
    <t>Delivery Status</t>
  </si>
  <si>
    <t>Delivery Date</t>
  </si>
  <si>
    <t>Return Status</t>
  </si>
  <si>
    <t>Return Amount</t>
  </si>
  <si>
    <t>Region Manager</t>
  </si>
  <si>
    <t>Feedback Text</t>
  </si>
  <si>
    <t>ORD001</t>
  </si>
  <si>
    <t>INV-1001</t>
  </si>
  <si>
    <t xml:space="preserve">north hub </t>
  </si>
  <si>
    <t>US</t>
  </si>
  <si>
    <t>online</t>
  </si>
  <si>
    <t xml:space="preserve"> John  Doe </t>
  </si>
  <si>
    <t>12345abc</t>
  </si>
  <si>
    <t>Key board</t>
  </si>
  <si>
    <t>Electrnics</t>
  </si>
  <si>
    <t>SKU-01</t>
  </si>
  <si>
    <t>$10</t>
  </si>
  <si>
    <t>card</t>
  </si>
  <si>
    <t>paid</t>
  </si>
  <si>
    <t>no</t>
  </si>
  <si>
    <t>good</t>
  </si>
  <si>
    <t>NH-01</t>
  </si>
  <si>
    <t>Mary Jane</t>
  </si>
  <si>
    <t>mary@@mail.com</t>
  </si>
  <si>
    <t xml:space="preserve">Mouse </t>
  </si>
  <si>
    <t>SupplierB</t>
  </si>
  <si>
    <t>5$</t>
  </si>
  <si>
    <t>ten</t>
  </si>
  <si>
    <t>delivered</t>
  </si>
  <si>
    <t>ok</t>
  </si>
  <si>
    <t>2025/14/01</t>
  </si>
  <si>
    <t>555-22-22</t>
  </si>
  <si>
    <t>sam@mail</t>
  </si>
  <si>
    <t>??</t>
  </si>
  <si>
    <t>4pm</t>
  </si>
  <si>
    <t>11:11am</t>
  </si>
  <si>
    <t>NULL</t>
  </si>
  <si>
    <t>N/A</t>
  </si>
  <si>
    <t>bad</t>
  </si>
  <si>
    <t>four</t>
  </si>
  <si>
    <t>EAST HUB</t>
  </si>
  <si>
    <t>Loved it</t>
  </si>
  <si>
    <t>ORD009</t>
  </si>
  <si>
    <t>LA</t>
  </si>
  <si>
    <t>ORD-031</t>
  </si>
  <si>
    <t>INV1031</t>
  </si>
  <si>
    <t>Aria</t>
  </si>
  <si>
    <t>C031</t>
  </si>
  <si>
    <t>aria@mail.com</t>
  </si>
  <si>
    <t>Duplicate</t>
  </si>
  <si>
    <t>ORD-033</t>
  </si>
  <si>
    <t>INV1033</t>
  </si>
  <si>
    <t>Eve</t>
  </si>
  <si>
    <t>C033</t>
  </si>
  <si>
    <t>eve@mail.com</t>
  </si>
  <si>
    <t>ORD-034</t>
  </si>
  <si>
    <t>INV1034</t>
  </si>
  <si>
    <t>Henry</t>
  </si>
  <si>
    <t>C034</t>
  </si>
  <si>
    <t>henry@mail.com</t>
  </si>
  <si>
    <t>ORD-035</t>
  </si>
  <si>
    <t>INV1035</t>
  </si>
  <si>
    <t>Abi</t>
  </si>
  <si>
    <t>C035</t>
  </si>
  <si>
    <t>abi@mail.com</t>
  </si>
  <si>
    <t>ORD-036</t>
  </si>
  <si>
    <t>INV1036</t>
  </si>
  <si>
    <t>Seb</t>
  </si>
  <si>
    <t>C036</t>
  </si>
  <si>
    <t>seb@mail.com</t>
  </si>
  <si>
    <t>ORD-037</t>
  </si>
  <si>
    <t>INV1037</t>
  </si>
  <si>
    <t>Scar</t>
  </si>
  <si>
    <t>C037</t>
  </si>
  <si>
    <t>scar@mail.com</t>
  </si>
  <si>
    <t>ORD-038</t>
  </si>
  <si>
    <t>INV1038</t>
  </si>
  <si>
    <t>David</t>
  </si>
  <si>
    <t>C038</t>
  </si>
  <si>
    <t>david@mail.com</t>
  </si>
  <si>
    <t>ORD-039</t>
  </si>
  <si>
    <t>INV1039</t>
  </si>
  <si>
    <t>Vic</t>
  </si>
  <si>
    <t>C039</t>
  </si>
  <si>
    <t>vic@mail.com</t>
  </si>
  <si>
    <t>ORD-040</t>
  </si>
  <si>
    <t>INV1040</t>
  </si>
  <si>
    <t>Daniel</t>
  </si>
  <si>
    <t>C040</t>
  </si>
  <si>
    <t>dan@mail.com</t>
  </si>
  <si>
    <t>ORD-032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</si>
  <si>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</si>
  <si>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</si>
  <si>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</si>
  <si>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</si>
  <si>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</si>
  <si>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</si>
  <si>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</si>
  <si>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</si>
  <si>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</si>
  <si>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</si>
  <si>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</si>
  <si>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</si>
  <si>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</si>
  <si>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</si>
  <si>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</si>
  <si>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</si>
  <si>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</si>
  <si>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</si>
  <si>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</si>
  <si>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</si>
  <si>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</si>
  <si>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</si>
  <si>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</si>
  <si>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</si>
  <si>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</si>
  <si>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</si>
  <si>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</si>
  <si>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</si>
  <si>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</si>
  <si>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</si>
  <si>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</si>
  <si>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</si>
  <si>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</si>
  <si>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</si>
  <si>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</si>
  <si>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</si>
  <si>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</si>
  <si>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</si>
  <si>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</si>
  <si>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 xml:space="preserve">North Hub </t>
  </si>
  <si>
    <t>BranchCode</t>
  </si>
  <si>
    <t>WE-02</t>
  </si>
  <si>
    <t>SH-03</t>
  </si>
  <si>
    <t>EH-04</t>
  </si>
  <si>
    <t>CN-05</t>
  </si>
  <si>
    <t>sara@email.com</t>
  </si>
  <si>
    <t>luke@email.com</t>
  </si>
  <si>
    <t>emma@email.com</t>
  </si>
  <si>
    <t>olivia@email.com</t>
  </si>
  <si>
    <t>liam@email.com</t>
  </si>
  <si>
    <t>ava@email.com</t>
  </si>
  <si>
    <t>ethan@email.com</t>
  </si>
  <si>
    <t>mia@email.com</t>
  </si>
  <si>
    <t>isla@email.com</t>
  </si>
  <si>
    <t>ben@email.com</t>
  </si>
  <si>
    <t>jack@email.com</t>
  </si>
  <si>
    <t>lily@email.com</t>
  </si>
  <si>
    <t>leo@email.com</t>
  </si>
  <si>
    <t>max@email.com</t>
  </si>
  <si>
    <t>ella@email.com</t>
  </si>
  <si>
    <t>noah2@email.com</t>
  </si>
  <si>
    <t>ava2@email.com</t>
  </si>
  <si>
    <t>amelia@email.com</t>
  </si>
  <si>
    <t>logan@email.com</t>
  </si>
  <si>
    <t>elijah@email.com</t>
  </si>
  <si>
    <t>aria@email.com</t>
  </si>
  <si>
    <t>eve@email.com</t>
  </si>
  <si>
    <t>henry@email.com</t>
  </si>
  <si>
    <t>abi@email.com</t>
  </si>
  <si>
    <t>seb@email.com</t>
  </si>
  <si>
    <t>scar@email.com</t>
  </si>
  <si>
    <t>david@email.com</t>
  </si>
  <si>
    <t>vic@email.com</t>
  </si>
  <si>
    <t>dan@email.com</t>
  </si>
  <si>
    <t>SKU-02</t>
  </si>
  <si>
    <t>SKU-03</t>
  </si>
  <si>
    <t>SKU-04</t>
  </si>
  <si>
    <t>SKU-05</t>
  </si>
  <si>
    <t>SKU-06</t>
  </si>
  <si>
    <t>SKU-07</t>
  </si>
  <si>
    <t>SKU-08</t>
  </si>
  <si>
    <t>SKU-09</t>
  </si>
  <si>
    <t>SKU-10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</si>
  <si>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</si>
  <si>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</si>
  <si>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</si>
  <si>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</si>
  <si>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</si>
  <si>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</si>
  <si>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</si>
  <si>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</si>
  <si>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</si>
  <si>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</si>
  <si>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</si>
  <si>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</si>
  <si>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</si>
  <si>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</si>
  <si>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</si>
  <si>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</si>
  <si>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</si>
  <si>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SKU-28</t>
  </si>
  <si>
    <t>SKU-29</t>
  </si>
  <si>
    <t>SKU-30</t>
  </si>
  <si>
    <t>SKU-31</t>
  </si>
  <si>
    <t>SKU-32</t>
  </si>
  <si>
    <t>SKU-33</t>
  </si>
  <si>
    <t>SKU-34</t>
  </si>
  <si>
    <t>SKU-35</t>
  </si>
  <si>
    <t>SKU-36</t>
  </si>
  <si>
    <t>SKU-37</t>
  </si>
  <si>
    <t>SKU-38</t>
  </si>
  <si>
    <t>SKU-39</t>
  </si>
  <si>
    <t>SKU-40</t>
  </si>
  <si>
    <t>mary@email.com</t>
  </si>
  <si>
    <t>john@email.com</t>
  </si>
  <si>
    <t>sam@email.com</t>
  </si>
  <si>
    <t>mark@email.com</t>
  </si>
  <si>
    <t>james@email.com</t>
  </si>
  <si>
    <t>chloe@email.com</t>
  </si>
  <si>
    <t>zoe@email.com</t>
  </si>
  <si>
    <t>mason@email.com</t>
  </si>
  <si>
    <t>harper@email.com</t>
  </si>
  <si>
    <t>noah@email.com</t>
  </si>
  <si>
    <t>Loved It</t>
  </si>
  <si>
    <t>John Doe</t>
  </si>
  <si>
    <t>12-34-345</t>
  </si>
  <si>
    <t>98-76-543</t>
  </si>
  <si>
    <t>55-52-222</t>
  </si>
  <si>
    <t>44-44-444</t>
  </si>
  <si>
    <t>--</t>
  </si>
  <si>
    <t>22-22-222</t>
  </si>
  <si>
    <t>11-11-111</t>
  </si>
  <si>
    <t>99-99-999</t>
  </si>
  <si>
    <t>88-88-888</t>
  </si>
  <si>
    <t>77-77-777</t>
  </si>
  <si>
    <t>66-66-666</t>
  </si>
  <si>
    <t>55-55-555</t>
  </si>
  <si>
    <t>33-33-333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</si>
</sst>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164" formatCode="[$-F400]h:mm:ss\ AM/PM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left" vertical="center" indent="3"/>
    </xf>
    <xf numFmtId="165" fontId="0" fillId="0" borderId="1" xfId="1" applyNumberFormat="1" applyFont="1" applyBorder="1" applyAlignment="1">
      <alignment horizontal="left" vertical="center" indent="4"/>
    </xf>
    <xf numFmtId="165" fontId="0" fillId="0" borderId="1" xfId="1" applyNumberFormat="1" applyFont="1" applyBorder="1" applyAlignment="1">
      <alignment horizontal="left" vertical="center" indent="5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1" applyNumberFormat="1" applyFont="1" applyBorder="1" applyAlignment="1">
      <alignment horizontal="left" vertical="center" indent="3"/>
    </xf>
    <xf numFmtId="9" fontId="0" fillId="0" borderId="5" xfId="2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left" vertical="center" indent="5"/>
    </xf>
    <xf numFmtId="0" fontId="0" fillId="0" borderId="6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left" vertical="center" indent="7"/>
    </xf>
    <xf numFmtId="165" fontId="0" fillId="0" borderId="5" xfId="1" applyNumberFormat="1" applyFont="1" applyBorder="1" applyAlignment="1">
      <alignment horizontal="left" vertical="center" indent="7"/>
    </xf>
    <xf numFmtId="0" fontId="0" fillId="0" borderId="5" xfId="0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 indent="5"/>
    </xf>
    <xf numFmtId="165" fontId="0" fillId="0" borderId="5" xfId="0" applyNumberFormat="1" applyBorder="1" applyAlignment="1">
      <alignment horizontal="left" vertical="center" indent="5"/>
    </xf>
    <xf numFmtId="165" fontId="0" fillId="0" borderId="1" xfId="0" applyNumberFormat="1" applyBorder="1" applyAlignment="1">
      <alignment horizontal="left" vertical="center" indent="8"/>
    </xf>
  </cellXfs>
  <cellStyles count="3">
    <cellStyle name="Currency" xfId="1" builtinId="4"/>
    <cellStyle name="Normal" xfId="0" builtinId="0"/>
    <cellStyle name="Percent" xfId="2" builtinId="5"/>
  </cellStyles>
  <dxfs count="85"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alignment horizontal="left" vertical="center" textRotation="0" wrapText="0" indent="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1CB4B-FEAF-4FF8-AB71-B9A8595E0804}" name="Table3" displayName="Table3" ref="A1:AN41" headerRowCount="0" totalsRowShown="0" headerRowDxfId="84" dataDxfId="82" headerRowBorderDxfId="83" tableBorderDxfId="81" totalsRowBorderDxfId="80">
  <tableColumns count="40">
    <tableColumn id="1" xr3:uid="{945F22C1-621B-401B-AD68-EE835C187F39}" name="Column1" headerRowDxfId="79" dataDxfId="78"/>
    <tableColumn id="2" xr3:uid="{791882B8-BDFE-44EA-B34D-0713AA1C3931}" name="Column2" headerRowDxfId="77" dataDxfId="76"/>
    <tableColumn id="3" xr3:uid="{F47551BF-4CAA-4CC6-9FEB-CE4FB837BBA0}" name="Column3" headerRowDxfId="75" dataDxfId="74"/>
    <tableColumn id="4" xr3:uid="{851CBB3A-0AF4-433A-B8B0-8DCB8C562C5D}" name="Column4" headerRowDxfId="73" dataDxfId="72"/>
    <tableColumn id="5" xr3:uid="{D332739D-E45E-489D-9B8B-53CA782659D2}" name="Column5" headerRowDxfId="71" dataDxfId="70"/>
    <tableColumn id="6" xr3:uid="{2C8D89B4-5A72-496E-B077-04A5A86D56B1}" name="Column6" headerRowDxfId="69" dataDxfId="68"/>
    <tableColumn id="7" xr3:uid="{330D9937-A1C8-44F6-99AA-FCDA08FB133C}" name="Column7" headerRowDxfId="67" dataDxfId="66"/>
    <tableColumn id="8" xr3:uid="{C4089478-B6FA-4AA4-A91A-218A226077DC}" name="Column8" headerRowDxfId="65" dataDxfId="64"/>
    <tableColumn id="9" xr3:uid="{4B696548-403B-47F0-AC0A-0B5ECD87FE98}" name="Column9" headerRowDxfId="63" dataDxfId="62"/>
    <tableColumn id="10" xr3:uid="{0D8679F7-74A1-4283-B9E3-7BA9F2D4D0E5}" name="Column10" headerRowDxfId="61" dataDxfId="60"/>
    <tableColumn id="11" xr3:uid="{92A9287F-0D41-44C1-AFDB-F789127D88DE}" name="Column11" headerRowDxfId="59" dataDxfId="58"/>
    <tableColumn id="12" xr3:uid="{F736C3FE-97A9-4F5B-9DA6-2CB830E3A750}" name="Column12" headerRowDxfId="57" dataDxfId="5">
      <calculatedColumnFormula>SUBSTITUTE(SUBSTITUTE(SUBSTITUTE(SUBSTITUTE(SUBSTITUTE(
 SUBSTITUTE(SUBSTITUTE(SUBSTITUTE(SUBSTITUTE(SUBSTITUTE(#REF!,
 "0",""),"1",""),"2",""),"3",""),"4",""),
 "5",""),"6",""),"7",""),"8",""),"9","")</calculatedColumnFormula>
    </tableColumn>
    <tableColumn id="14" xr3:uid="{4F3484FA-2005-46C9-B2EF-8BAC0FD63E5E}" name="Column14" headerRowDxfId="56" dataDxfId="55"/>
    <tableColumn id="15" xr3:uid="{9F645F6D-F6D6-4D31-B40B-2FDA7060A438}" name="Column15" headerRowDxfId="54" dataDxfId="53"/>
    <tableColumn id="17" xr3:uid="{F42EF0C2-BB63-4A86-B9F3-46B7E541D1C4}" name="Column17" headerRowDxfId="52" dataDxfId="4">
      <calculatedColumnFormula>LEFT(SUBSTITUTE(SUBSTITUTE(SUBSTITUTE(SUBSTITUTE(SUBSTITUTE(
 SUBSTITUTE(SUBSTITUTE(SUBSTITUTE(SUBSTITUTE(SUBSTITUTE(
 SUBSTITUTE(SUBSTITUTE(SUBSTITUTE(SUBSTITUTE(SUBSTITUTE(
 SUBSTITUTE(SUBSTITUTE(SUBSTITUTE(SUBSTITUTE(SUBSTITUTE(
 SUBSTITUTE(SUBSTITUTE(SUBSTITUTE(SUBSTITUTE(SUBSTITUTE(
 SUBSTITUTE(UPPER(#REF!),"A",""),"B",""),"C",""),"D",""),"E",""),
 "F",""),"G",""),"H",""),"I",""),"J",""),
 "K",""),"L",""),"M",""),"N",""),"O",""),
 "P",""),"Q",""),"R",""),"S",""),"T",""),
 "U",""),"V",""),"W",""),"X",""),"Y",""),"Z",""),2) &amp; "-" &amp;
 MID(SUBSTITUTE(SUBSTITUTE(SUBSTITUTE(SUBSTITUTE(SUBSTITUTE(
 SUBSTITUTE(SUBSTITUTE(SUBSTITUTE(SUBSTITUTE(SUBSTITUTE(
 SUBSTITUTE(SUBSTITUTE(SUBSTITUTE(SUBSTITUTE(SUBSTITUTE(
 SUBSTITUTE(SUBSTITUTE(SUBSTITUTE(SUBSTITUTE(SUBSTITUTE(
 SUBSTITUTE(SUBSTITUTE(SUBSTITUTE(SUBSTITUTE(SUBSTITUTE(
 SUBSTITUTE(UPPER(#REF!),"A",""),"B",""),"C",""),"D",""),"E",""),
 "F",""),"G",""),"H",""),"I",""),"J",""),
 "K",""),"L",""),"M",""),"N",""),"O",""),
 "P",""),"Q",""),"R",""),"S",""),"T",""),
 "U",""),"V",""),"W",""),"X",""),"Y",""),"Z",""),3,2) &amp; "-" &amp;
 RIGHT(SUBSTITUTE(SUBSTITUTE(SUBSTITUTE(SUBSTITUTE(SUBSTITUTE(
 SUBSTITUTE(SUBSTITUTE(SUBSTITUTE(SUBSTITUTE(SUBSTITUTE(
 SUBSTITUTE(SUBSTITUTE(SUBSTITUTE(SUBSTITUTE(SUBSTITUTE(
 SUBSTITUTE(SUBSTITUTE(SUBSTITUTE(SUBSTITUTE(SUBSTITUTE(
 SUBSTITUTE(SUBSTITUTE(SUBSTITUTE(SUBSTITUTE(SUBSTITUTE(
 SUBSTITUTE(UPPER(#REF!),"A",""),"B",""),"C",""),"D",""),"E",""),
 "F",""),"G",""),"H",""),"I",""),"J",""),
 "K",""),"L",""),"M",""),"N",""),"O",""),
 "P",""),"Q",""),"R",""),"S",""),"T",""),
 "U",""),"V",""),"W",""),"X",""),"Y",""),"Z",""),3)</calculatedColumnFormula>
    </tableColumn>
    <tableColumn id="19" xr3:uid="{595754B7-629B-41B5-BEA4-F4F014113B8C}" name="Column19" headerRowDxfId="51" dataDxfId="50"/>
    <tableColumn id="20" xr3:uid="{B977B86C-6F49-442E-8880-321F5CFB08D5}" name="Column20" headerRowDxfId="49" dataDxfId="48"/>
    <tableColumn id="21" xr3:uid="{F15C4753-9D9C-4E41-8A68-E7DB0523286F}" name="Column21" headerRowDxfId="47" dataDxfId="46"/>
    <tableColumn id="22" xr3:uid="{EEE3C844-2E73-4F9D-AE4D-4790CCBDE982}" name="Column22" headerRowDxfId="45" dataDxfId="44"/>
    <tableColumn id="23" xr3:uid="{ABD21B54-0BA6-4910-AB33-8F21E8784C6A}" name="Column23" headerRowDxfId="43" dataDxfId="42"/>
    <tableColumn id="24" xr3:uid="{230DB29D-2909-4623-ADA5-3D3C91E24728}" name="Column24" headerRowDxfId="41" dataDxfId="40" dataCellStyle="Currency"/>
    <tableColumn id="26" xr3:uid="{3309A674-DE71-4680-834C-AEBE5378E254}" name="Column26" headerRowDxfId="39" dataDxfId="38" headerRowCellStyle="Currency" dataCellStyle="Currency"/>
    <tableColumn id="28" xr3:uid="{45C539BB-89BB-4E22-95F3-0B7AB27D80BE}" name="Column28" headerRowDxfId="37" dataDxfId="36"/>
    <tableColumn id="16" xr3:uid="{A17DB302-AAC9-4908-9D1C-442ADB95338C}" name="Column16" headerRowDxfId="3" dataDxfId="2">
      <calculatedColumnFormula>#REF!/100</calculatedColumnFormula>
    </tableColumn>
    <tableColumn id="31" xr3:uid="{2C579441-99F8-4A24-937E-B44F9CE64AFA}" name="Column31" headerRowDxfId="35" dataDxfId="1">
      <calculatedColumnFormula>IFERROR((Table3[[#This Row],[Column16]]/100)*Table3[[#This Row],[Column26]],"Error!!")</calculatedColumnFormula>
    </tableColumn>
    <tableColumn id="32" xr3:uid="{AD3FF68D-298A-4E91-AEBA-3018B5D562B6}" name="Column32" headerRowDxfId="34" dataDxfId="33" dataCellStyle="Percent"/>
    <tableColumn id="33" xr3:uid="{1720BB39-024B-44C3-90DE-6058F62E5F53}" name="Column33" headerRowDxfId="32" dataDxfId="0">
      <calculatedColumnFormula>IFERROR((Table3[[#This Row],[Column16]]/100)*Table3[[#This Row],[Column26]],"Error!!")</calculatedColumnFormula>
    </tableColumn>
    <tableColumn id="34" xr3:uid="{AF68298F-D092-4A1F-96B5-10E0CE2676E7}" name="Column34" headerRowDxfId="31" dataDxfId="30" dataCellStyle="Currency"/>
    <tableColumn id="35" xr3:uid="{5DA63557-865C-4734-BBEE-E1953ACF4E40}" name="Column35" headerRowDxfId="29" dataDxfId="28">
      <calculatedColumnFormula>Table3[[#This Row],[Column34]] + Table3[[#This Row],[Column26]]-Table3[[#This Row],[Column31]]+Table3[[#This Row],[Column33]]+Table3[[#This Row],[Column41]]</calculatedColumnFormula>
    </tableColumn>
    <tableColumn id="36" xr3:uid="{9C9A640C-4C00-4FE3-9E2F-2CEBB76D2326}" name="Column36" headerRowDxfId="27" dataDxfId="26"/>
    <tableColumn id="47" xr3:uid="{A7FC05FF-2344-4617-9FC6-CB8543585E63}" name="Column29" headerRowDxfId="25" dataDxfId="24"/>
    <tableColumn id="48" xr3:uid="{DA15A5B1-D951-4521-A045-0B4DCE6C25B0}" name="Column37" headerRowDxfId="23" dataDxfId="22"/>
    <tableColumn id="39" xr3:uid="{D36E63EA-4972-41EB-9357-6C102799E678}" name="Column39" headerRowDxfId="21" dataDxfId="20"/>
    <tableColumn id="40" xr3:uid="{3C466AF4-92AF-496C-B329-1C44D8427A3A}" name="Column40" headerRowDxfId="19" dataDxfId="18"/>
    <tableColumn id="41" xr3:uid="{96FD1E16-5AC9-4ED4-BC0A-4D625A02FD4E}" name="Column41" headerRowDxfId="17" dataDxfId="16"/>
    <tableColumn id="42" xr3:uid="{7DE33806-CBB9-475F-82AF-59C9AD0EADE2}" name="Column42" headerRowDxfId="15" dataDxfId="14"/>
    <tableColumn id="43" xr3:uid="{72CE55B3-5B21-4FF5-94C2-B02E9DD6ABE7}" name="Column43" headerRowDxfId="13" dataDxfId="12"/>
    <tableColumn id="44" xr3:uid="{59B82F8A-83C3-48EF-8C32-CC127DFF28A6}" name="Column44" headerRowDxfId="11" dataDxfId="10"/>
    <tableColumn id="49" xr3:uid="{3E556D3E-D310-4AE6-AE7E-489877DA26F7}" name="Column38" headerRowDxfId="9" dataDxfId="8"/>
    <tableColumn id="46" xr3:uid="{EC79FE7E-0886-474E-A076-D69A5F87F2A2}" name="Column46" headerRowDxfId="7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5821-1BE6-46BA-B67F-2FDFBBB937E7}">
  <dimension ref="A1:AN41"/>
  <sheetViews>
    <sheetView tabSelected="1" workbookViewId="0">
      <pane ySplit="1" topLeftCell="A2" activePane="bottomLeft" state="frozen"/>
      <selection activeCell="Y1" sqref="Y1"/>
      <selection pane="bottomLeft" activeCell="G12" sqref="G12"/>
    </sheetView>
  </sheetViews>
  <sheetFormatPr defaultRowHeight="15" x14ac:dyDescent="0.25"/>
  <cols>
    <col min="1" max="1" width="11" style="4" bestFit="1" customWidth="1"/>
    <col min="2" max="2" width="10" style="4" bestFit="1" customWidth="1"/>
    <col min="3" max="3" width="11.85546875" style="4" bestFit="1" customWidth="1"/>
    <col min="4" max="4" width="12.5703125" style="5" bestFit="1" customWidth="1"/>
    <col min="5" max="5" width="12.7109375" style="4" bestFit="1" customWidth="1"/>
    <col min="6" max="6" width="12.140625" style="5" bestFit="1" customWidth="1"/>
    <col min="7" max="7" width="14.85546875" style="4" bestFit="1" customWidth="1"/>
    <col min="8" max="8" width="13" style="4" bestFit="1" customWidth="1"/>
    <col min="9" max="9" width="11.42578125" style="4" bestFit="1" customWidth="1"/>
    <col min="10" max="10" width="9.28515625" style="4" bestFit="1" customWidth="1"/>
    <col min="11" max="11" width="14.7109375" style="4" bestFit="1" customWidth="1"/>
    <col min="12" max="12" width="17.28515625" style="4" bestFit="1" customWidth="1"/>
    <col min="13" max="13" width="13.5703125" style="4" bestFit="1" customWidth="1"/>
    <col min="14" max="14" width="8.7109375" style="4" bestFit="1" customWidth="1"/>
    <col min="15" max="15" width="12.85546875" style="4" customWidth="1"/>
    <col min="16" max="16" width="18.42578125" style="4" bestFit="1" customWidth="1"/>
    <col min="17" max="17" width="15.7109375" style="4" bestFit="1" customWidth="1"/>
    <col min="18" max="18" width="18.7109375" style="4" bestFit="1" customWidth="1"/>
    <col min="19" max="19" width="7.140625" style="4" bestFit="1" customWidth="1"/>
    <col min="20" max="20" width="9.42578125" style="4" bestFit="1" customWidth="1"/>
    <col min="21" max="21" width="13.28515625" style="4" bestFit="1" customWidth="1"/>
    <col min="22" max="22" width="12.5703125" style="13" bestFit="1" customWidth="1"/>
    <col min="23" max="23" width="10.28515625" style="4" bestFit="1" customWidth="1"/>
    <col min="24" max="24" width="12.28515625" style="4" customWidth="1"/>
    <col min="25" max="25" width="19.7109375" style="4" bestFit="1" customWidth="1"/>
    <col min="26" max="26" width="7.42578125" style="4" bestFit="1" customWidth="1"/>
    <col min="27" max="27" width="14.7109375" style="4" bestFit="1" customWidth="1"/>
    <col min="28" max="28" width="14.28515625" style="4" bestFit="1" customWidth="1"/>
    <col min="29" max="29" width="15.28515625" style="4" bestFit="1" customWidth="1"/>
    <col min="30" max="30" width="18.7109375" style="4" bestFit="1" customWidth="1"/>
    <col min="31" max="31" width="17" style="4" bestFit="1" customWidth="1"/>
    <col min="32" max="32" width="16.42578125" style="4" bestFit="1" customWidth="1"/>
    <col min="33" max="33" width="15.140625" style="5" bestFit="1" customWidth="1"/>
    <col min="34" max="34" width="14.85546875" style="4" bestFit="1" customWidth="1"/>
    <col min="35" max="35" width="16.85546875" style="4" bestFit="1" customWidth="1"/>
    <col min="36" max="36" width="12.85546875" style="4" bestFit="1" customWidth="1"/>
    <col min="37" max="37" width="17.7109375" style="4" bestFit="1" customWidth="1"/>
    <col min="38" max="38" width="8" style="4" bestFit="1" customWidth="1"/>
    <col min="39" max="39" width="15.5703125" style="4" bestFit="1" customWidth="1"/>
    <col min="40" max="40" width="7.42578125" style="4" bestFit="1" customWidth="1"/>
    <col min="41" max="16384" width="9.140625" style="4"/>
  </cols>
  <sheetData>
    <row r="1" spans="1:40" ht="15.75" x14ac:dyDescent="0.25">
      <c r="A1" s="15" t="s">
        <v>265</v>
      </c>
      <c r="B1" s="6" t="s">
        <v>266</v>
      </c>
      <c r="C1" s="6" t="s">
        <v>267</v>
      </c>
      <c r="D1" s="6" t="s">
        <v>268</v>
      </c>
      <c r="E1" s="6" t="s">
        <v>269</v>
      </c>
      <c r="F1" s="7" t="s">
        <v>270</v>
      </c>
      <c r="G1" s="6" t="s">
        <v>271</v>
      </c>
      <c r="H1" s="6" t="s">
        <v>418</v>
      </c>
      <c r="I1" s="6" t="s">
        <v>8</v>
      </c>
      <c r="J1" s="6" t="s">
        <v>9</v>
      </c>
      <c r="K1" s="6" t="s">
        <v>272</v>
      </c>
      <c r="L1" s="6" t="s">
        <v>273</v>
      </c>
      <c r="M1" s="6" t="s">
        <v>274</v>
      </c>
      <c r="N1" s="6" t="s">
        <v>13</v>
      </c>
      <c r="O1" s="6" t="s">
        <v>14</v>
      </c>
      <c r="P1" s="6" t="s">
        <v>15</v>
      </c>
      <c r="Q1" s="6" t="s">
        <v>275</v>
      </c>
      <c r="R1" s="6" t="s">
        <v>276</v>
      </c>
      <c r="S1" s="6" t="s">
        <v>18</v>
      </c>
      <c r="T1" s="6" t="s">
        <v>19</v>
      </c>
      <c r="U1" s="6" t="s">
        <v>277</v>
      </c>
      <c r="V1" s="12" t="s">
        <v>278</v>
      </c>
      <c r="W1" s="6" t="s">
        <v>22</v>
      </c>
      <c r="X1" s="6" t="s">
        <v>279</v>
      </c>
      <c r="Y1" s="30" t="s">
        <v>280</v>
      </c>
      <c r="Z1" s="6" t="s">
        <v>281</v>
      </c>
      <c r="AA1" s="30" t="s">
        <v>282</v>
      </c>
      <c r="AB1" s="6" t="s">
        <v>283</v>
      </c>
      <c r="AC1" s="30" t="s">
        <v>284</v>
      </c>
      <c r="AD1" s="6" t="s">
        <v>285</v>
      </c>
      <c r="AE1" s="6" t="s">
        <v>286</v>
      </c>
      <c r="AF1" s="6" t="s">
        <v>287</v>
      </c>
      <c r="AG1" s="7" t="s">
        <v>288</v>
      </c>
      <c r="AH1" s="6" t="s">
        <v>289</v>
      </c>
      <c r="AI1" s="6" t="s">
        <v>290</v>
      </c>
      <c r="AJ1" s="6" t="s">
        <v>35</v>
      </c>
      <c r="AK1" s="6" t="s">
        <v>291</v>
      </c>
      <c r="AL1" s="6" t="s">
        <v>37</v>
      </c>
      <c r="AM1" s="6" t="s">
        <v>292</v>
      </c>
      <c r="AN1" s="17" t="s">
        <v>39</v>
      </c>
    </row>
    <row r="2" spans="1:40" x14ac:dyDescent="0.25">
      <c r="A2" s="16">
        <v>1</v>
      </c>
      <c r="B2" s="2" t="s">
        <v>40</v>
      </c>
      <c r="C2" s="2" t="s">
        <v>294</v>
      </c>
      <c r="D2" s="3">
        <v>45669</v>
      </c>
      <c r="E2" s="8">
        <v>0.37847222222222221</v>
      </c>
      <c r="F2" s="3">
        <v>45669</v>
      </c>
      <c r="G2" s="2" t="s">
        <v>417</v>
      </c>
      <c r="H2" s="2" t="s">
        <v>308</v>
      </c>
      <c r="I2" s="2" t="s">
        <v>42</v>
      </c>
      <c r="J2" s="2" t="s">
        <v>43</v>
      </c>
      <c r="K2" s="2" t="s">
        <v>44</v>
      </c>
      <c r="L2" s="2" t="s">
        <v>502</v>
      </c>
      <c r="M2" s="2" t="s">
        <v>45</v>
      </c>
      <c r="N2" s="2" t="s">
        <v>46</v>
      </c>
      <c r="O2" s="2" t="s">
        <v>503</v>
      </c>
      <c r="P2" s="2" t="s">
        <v>492</v>
      </c>
      <c r="Q2" s="2" t="s">
        <v>48</v>
      </c>
      <c r="R2" s="2" t="s">
        <v>49</v>
      </c>
      <c r="S2" s="2" t="s">
        <v>302</v>
      </c>
      <c r="T2" s="2" t="s">
        <v>51</v>
      </c>
      <c r="U2" s="10">
        <v>10</v>
      </c>
      <c r="V2" s="9">
        <v>15</v>
      </c>
      <c r="W2" s="2">
        <v>2</v>
      </c>
      <c r="X2" s="14">
        <v>0.05</v>
      </c>
      <c r="Y2" s="33">
        <f>IFERROR((Table3[[#This Row],[Column16]]/100)*Table3[[#This Row],[Column26]],"Error!!")</f>
        <v>7.4999999999999997E-3</v>
      </c>
      <c r="Z2" s="14">
        <v>0.08</v>
      </c>
      <c r="AA2" s="31">
        <f>IFERROR((Table3[[#This Row],[Column16]]/100)*Table3[[#This Row],[Column26]],"Error!!")</f>
        <v>7.4999999999999997E-3</v>
      </c>
      <c r="AB2" s="11">
        <v>5</v>
      </c>
      <c r="AC2" s="31">
        <f>IFERROR(Table3[[#This Row],[Column34]] + Table3[[#This Row],[Column26]]-Table3[[#This Row],[Column31]]+Table3[[#This Row],[Column33]]+Table3[[#This Row],[Column41]] * Table3[[#This Row],[Column28]],"Error!!")</f>
        <v>20</v>
      </c>
      <c r="AD2" s="2" t="s">
        <v>52</v>
      </c>
      <c r="AE2" s="2" t="s">
        <v>53</v>
      </c>
      <c r="AF2" s="2" t="s">
        <v>54</v>
      </c>
      <c r="AG2" s="3">
        <v>45672</v>
      </c>
      <c r="AH2" s="2" t="s">
        <v>55</v>
      </c>
      <c r="AI2" s="27">
        <v>0</v>
      </c>
      <c r="AJ2" s="2" t="s">
        <v>56</v>
      </c>
      <c r="AK2" s="2" t="s">
        <v>57</v>
      </c>
      <c r="AL2" s="1">
        <v>5</v>
      </c>
      <c r="AM2" s="1" t="s">
        <v>69</v>
      </c>
      <c r="AN2" s="18"/>
    </row>
    <row r="3" spans="1:40" x14ac:dyDescent="0.25">
      <c r="A3" s="16">
        <v>2</v>
      </c>
      <c r="B3" s="2" t="s">
        <v>59</v>
      </c>
      <c r="C3" s="2" t="s">
        <v>378</v>
      </c>
      <c r="D3" s="3">
        <v>45670</v>
      </c>
      <c r="E3" s="8">
        <v>0.4201388888888889</v>
      </c>
      <c r="F3" s="3">
        <v>45670</v>
      </c>
      <c r="G3" s="2" t="s">
        <v>164</v>
      </c>
      <c r="H3" s="2" t="s">
        <v>308</v>
      </c>
      <c r="I3" s="2" t="s">
        <v>165</v>
      </c>
      <c r="J3" s="2" t="s">
        <v>43</v>
      </c>
      <c r="K3" s="2" t="s">
        <v>61</v>
      </c>
      <c r="L3" s="2" t="s">
        <v>309</v>
      </c>
      <c r="M3" s="2" t="s">
        <v>62</v>
      </c>
      <c r="N3" s="2" t="s">
        <v>63</v>
      </c>
      <c r="O3" s="2" t="s">
        <v>504</v>
      </c>
      <c r="P3" s="2" t="s">
        <v>491</v>
      </c>
      <c r="Q3" s="2" t="s">
        <v>311</v>
      </c>
      <c r="R3" s="2" t="s">
        <v>49</v>
      </c>
      <c r="S3" s="2" t="s">
        <v>452</v>
      </c>
      <c r="T3" s="2" t="s">
        <v>66</v>
      </c>
      <c r="U3" s="10">
        <v>5</v>
      </c>
      <c r="V3" s="9">
        <v>9</v>
      </c>
      <c r="W3" s="2">
        <v>3</v>
      </c>
      <c r="X3" s="14">
        <v>0.1</v>
      </c>
      <c r="Y3" s="33">
        <f>IFERROR((Table3[[#This Row],[Column16]]/100)*Table3[[#This Row],[Column26]],"Error!!")</f>
        <v>9.0000000000000011E-3</v>
      </c>
      <c r="Z3" s="14">
        <v>0.08</v>
      </c>
      <c r="AA3" s="31">
        <f>IFERROR((Table3[[#This Row],[Column16]]/100)*Table3[[#This Row],[Column26]],"Error!!")</f>
        <v>9.0000000000000011E-3</v>
      </c>
      <c r="AB3" s="11">
        <v>0</v>
      </c>
      <c r="AC3" s="31">
        <f>IFERROR(Table3[[#This Row],[Column34]] + Table3[[#This Row],[Column26]]-Table3[[#This Row],[Column31]]+Table3[[#This Row],[Column33]]+Table3[[#This Row],[Column41]] * Table3[[#This Row],[Column28]],"Error!!")</f>
        <v>9</v>
      </c>
      <c r="AD3" s="2" t="s">
        <v>67</v>
      </c>
      <c r="AE3" s="2" t="s">
        <v>53</v>
      </c>
      <c r="AF3" s="2" t="s">
        <v>54</v>
      </c>
      <c r="AG3" s="3">
        <v>45673</v>
      </c>
      <c r="AH3" s="2" t="s">
        <v>55</v>
      </c>
      <c r="AI3" s="27">
        <v>0</v>
      </c>
      <c r="AJ3" s="2" t="s">
        <v>68</v>
      </c>
      <c r="AK3" s="2" t="s">
        <v>57</v>
      </c>
      <c r="AL3" s="1">
        <v>4</v>
      </c>
      <c r="AM3" s="1" t="s">
        <v>83</v>
      </c>
      <c r="AN3" s="18"/>
    </row>
    <row r="4" spans="1:40" x14ac:dyDescent="0.25">
      <c r="A4" s="16">
        <v>3</v>
      </c>
      <c r="B4" s="2" t="s">
        <v>70</v>
      </c>
      <c r="C4" s="2" t="s">
        <v>379</v>
      </c>
      <c r="D4" s="3" t="s">
        <v>317</v>
      </c>
      <c r="E4" s="8">
        <v>0.58680555555555558</v>
      </c>
      <c r="F4" s="3">
        <v>45671</v>
      </c>
      <c r="G4" s="2" t="s">
        <v>71</v>
      </c>
      <c r="H4" s="2" t="s">
        <v>419</v>
      </c>
      <c r="I4" s="2" t="s">
        <v>73</v>
      </c>
      <c r="J4" s="2" t="s">
        <v>43</v>
      </c>
      <c r="K4" s="2" t="s">
        <v>14</v>
      </c>
      <c r="L4" s="2" t="s">
        <v>74</v>
      </c>
      <c r="M4" s="2" t="s">
        <v>75</v>
      </c>
      <c r="N4" s="2" t="s">
        <v>46</v>
      </c>
      <c r="O4" s="2" t="s">
        <v>505</v>
      </c>
      <c r="P4" s="2" t="s">
        <v>493</v>
      </c>
      <c r="Q4" s="2" t="s">
        <v>76</v>
      </c>
      <c r="R4" s="2" t="s">
        <v>49</v>
      </c>
      <c r="S4" s="2" t="s">
        <v>453</v>
      </c>
      <c r="T4" s="2" t="s">
        <v>78</v>
      </c>
      <c r="U4" s="10">
        <v>70</v>
      </c>
      <c r="V4" s="9">
        <v>120</v>
      </c>
      <c r="W4" s="2">
        <v>1</v>
      </c>
      <c r="X4" s="14">
        <v>0</v>
      </c>
      <c r="Y4" s="33">
        <f>IFERROR((Table3[[#This Row],[Column16]]/100)*Table3[[#This Row],[Column26]],"Error!!")</f>
        <v>0</v>
      </c>
      <c r="Z4" s="14">
        <v>0.08</v>
      </c>
      <c r="AA4" s="31">
        <f>IFERROR((Table3[[#This Row],[Column16]]/100)*Table3[[#This Row],[Column26]],"Error!!")</f>
        <v>0</v>
      </c>
      <c r="AB4" s="11">
        <v>10</v>
      </c>
      <c r="AC4" s="31">
        <f>IFERROR(Table3[[#This Row],[Column34]] + Table3[[#This Row],[Column26]]-Table3[[#This Row],[Column31]]+Table3[[#This Row],[Column33]]+Table3[[#This Row],[Column41]] * Table3[[#This Row],[Column28]],"Error!!")</f>
        <v>180</v>
      </c>
      <c r="AD4" s="2" t="s">
        <v>52</v>
      </c>
      <c r="AE4" s="2" t="s">
        <v>79</v>
      </c>
      <c r="AF4" s="2" t="s">
        <v>80</v>
      </c>
      <c r="AG4" s="3">
        <v>45675</v>
      </c>
      <c r="AH4" s="2" t="s">
        <v>55</v>
      </c>
      <c r="AI4" s="27">
        <v>50</v>
      </c>
      <c r="AJ4" s="2" t="s">
        <v>81</v>
      </c>
      <c r="AK4" s="2" t="s">
        <v>82</v>
      </c>
      <c r="AL4" s="1">
        <v>3</v>
      </c>
      <c r="AM4" s="1" t="s">
        <v>95</v>
      </c>
      <c r="AN4" s="18"/>
    </row>
    <row r="5" spans="1:40" x14ac:dyDescent="0.25">
      <c r="A5" s="16">
        <v>4</v>
      </c>
      <c r="B5" s="2" t="s">
        <v>84</v>
      </c>
      <c r="C5" s="2" t="s">
        <v>380</v>
      </c>
      <c r="D5" s="3">
        <v>45672</v>
      </c>
      <c r="E5" s="8">
        <v>0.66666666666666663</v>
      </c>
      <c r="F5" s="3">
        <v>45672</v>
      </c>
      <c r="G5" s="2" t="s">
        <v>86</v>
      </c>
      <c r="H5" s="2" t="s">
        <v>419</v>
      </c>
      <c r="I5" s="2" t="s">
        <v>87</v>
      </c>
      <c r="J5" s="2" t="s">
        <v>43</v>
      </c>
      <c r="K5" s="2" t="s">
        <v>44</v>
      </c>
      <c r="L5" s="2" t="s">
        <v>88</v>
      </c>
      <c r="M5" s="2" t="s">
        <v>89</v>
      </c>
      <c r="N5" s="2" t="s">
        <v>63</v>
      </c>
      <c r="O5" s="2" t="s">
        <v>506</v>
      </c>
      <c r="P5" s="2" t="s">
        <v>423</v>
      </c>
      <c r="Q5" s="2" t="s">
        <v>91</v>
      </c>
      <c r="R5" s="2" t="s">
        <v>49</v>
      </c>
      <c r="S5" s="2" t="s">
        <v>454</v>
      </c>
      <c r="T5" s="2" t="s">
        <v>51</v>
      </c>
      <c r="U5" s="9">
        <v>400</v>
      </c>
      <c r="V5" s="9">
        <v>550</v>
      </c>
      <c r="W5" s="2">
        <v>1</v>
      </c>
      <c r="X5" s="14">
        <v>0.05</v>
      </c>
      <c r="Y5" s="33">
        <f>IFERROR((Table3[[#This Row],[Column16]]/100)*Table3[[#This Row],[Column26]],"Error!!")</f>
        <v>0.27500000000000002</v>
      </c>
      <c r="Z5" s="14">
        <v>0.08</v>
      </c>
      <c r="AA5" s="31">
        <f>IFERROR((Table3[[#This Row],[Column16]]/100)*Table3[[#This Row],[Column26]],"Error!!")</f>
        <v>0.27500000000000002</v>
      </c>
      <c r="AB5" s="11">
        <v>15</v>
      </c>
      <c r="AC5" s="31">
        <f>IFERROR(Table3[[#This Row],[Column34]] + Table3[[#This Row],[Column26]]-Table3[[#This Row],[Column31]]+Table3[[#This Row],[Column33]]+Table3[[#This Row],[Column41]] * Table3[[#This Row],[Column28]],"Error!!")</f>
        <v>565</v>
      </c>
      <c r="AD5" s="2" t="s">
        <v>52</v>
      </c>
      <c r="AE5" s="2" t="s">
        <v>53</v>
      </c>
      <c r="AF5" s="2" t="s">
        <v>54</v>
      </c>
      <c r="AG5" s="3">
        <v>45677</v>
      </c>
      <c r="AH5" s="2" t="s">
        <v>93</v>
      </c>
      <c r="AI5" s="27">
        <v>0</v>
      </c>
      <c r="AJ5" s="2" t="s">
        <v>94</v>
      </c>
      <c r="AK5" s="2" t="s">
        <v>82</v>
      </c>
      <c r="AL5" s="1">
        <v>5</v>
      </c>
      <c r="AM5" s="1" t="s">
        <v>110</v>
      </c>
      <c r="AN5" s="18"/>
    </row>
    <row r="6" spans="1:40" x14ac:dyDescent="0.25">
      <c r="A6" s="16">
        <v>5</v>
      </c>
      <c r="B6" s="2" t="s">
        <v>96</v>
      </c>
      <c r="C6" s="2" t="s">
        <v>381</v>
      </c>
      <c r="D6" s="3">
        <v>45673</v>
      </c>
      <c r="E6" s="8">
        <v>0.46597222222222223</v>
      </c>
      <c r="F6" s="3">
        <v>45673</v>
      </c>
      <c r="G6" s="2" t="s">
        <v>98</v>
      </c>
      <c r="H6" s="2" t="s">
        <v>420</v>
      </c>
      <c r="I6" s="2" t="s">
        <v>100</v>
      </c>
      <c r="J6" s="2" t="s">
        <v>43</v>
      </c>
      <c r="K6" s="2" t="s">
        <v>61</v>
      </c>
      <c r="L6" s="2" t="s">
        <v>101</v>
      </c>
      <c r="M6" s="2" t="s">
        <v>102</v>
      </c>
      <c r="N6" s="2" t="s">
        <v>46</v>
      </c>
      <c r="O6" s="2" t="s">
        <v>507</v>
      </c>
      <c r="P6" s="2" t="s">
        <v>494</v>
      </c>
      <c r="Q6" s="2" t="s">
        <v>104</v>
      </c>
      <c r="R6" s="2" t="s">
        <v>49</v>
      </c>
      <c r="S6" s="2" t="s">
        <v>455</v>
      </c>
      <c r="T6" s="2" t="s">
        <v>106</v>
      </c>
      <c r="U6" s="9">
        <v>120</v>
      </c>
      <c r="V6" s="9">
        <v>180</v>
      </c>
      <c r="W6" s="2">
        <v>2</v>
      </c>
      <c r="X6" s="14">
        <v>0</v>
      </c>
      <c r="Y6" s="33">
        <f>IFERROR((Table3[[#This Row],[Column16]]/100)*Table3[[#This Row],[Column26]],"Error!!")</f>
        <v>0</v>
      </c>
      <c r="Z6" s="14">
        <v>0.08</v>
      </c>
      <c r="AA6" s="31">
        <f>IFERROR((Table3[[#This Row],[Column16]]/100)*Table3[[#This Row],[Column26]],"Error!!")</f>
        <v>0</v>
      </c>
      <c r="AB6" s="11">
        <v>20</v>
      </c>
      <c r="AC6" s="31">
        <f>IFERROR(Table3[[#This Row],[Column34]] + Table3[[#This Row],[Column26]]-Table3[[#This Row],[Column31]]+Table3[[#This Row],[Column33]]+Table3[[#This Row],[Column41]] * Table3[[#This Row],[Column28]],"Error!!")</f>
        <v>200</v>
      </c>
      <c r="AD6" s="2" t="s">
        <v>67</v>
      </c>
      <c r="AE6" s="2" t="s">
        <v>107</v>
      </c>
      <c r="AF6" s="2" t="s">
        <v>79</v>
      </c>
      <c r="AG6" s="3">
        <v>45678</v>
      </c>
      <c r="AH6" s="2" t="s">
        <v>55</v>
      </c>
      <c r="AI6" s="27">
        <v>0</v>
      </c>
      <c r="AJ6" s="2" t="s">
        <v>108</v>
      </c>
      <c r="AK6" s="2" t="s">
        <v>109</v>
      </c>
      <c r="AL6" s="1">
        <v>2</v>
      </c>
      <c r="AM6" s="1" t="s">
        <v>69</v>
      </c>
      <c r="AN6" s="18"/>
    </row>
    <row r="7" spans="1:40" x14ac:dyDescent="0.25">
      <c r="A7" s="16">
        <v>6</v>
      </c>
      <c r="B7" s="2" t="s">
        <v>111</v>
      </c>
      <c r="C7" s="2" t="s">
        <v>382</v>
      </c>
      <c r="D7" s="3">
        <v>45674</v>
      </c>
      <c r="E7" s="8">
        <v>0.33680555555555558</v>
      </c>
      <c r="F7" s="3">
        <v>45674</v>
      </c>
      <c r="G7" s="2" t="s">
        <v>98</v>
      </c>
      <c r="H7" s="2" t="s">
        <v>420</v>
      </c>
      <c r="I7" s="2" t="s">
        <v>100</v>
      </c>
      <c r="J7" s="2" t="s">
        <v>43</v>
      </c>
      <c r="K7" s="2" t="s">
        <v>44</v>
      </c>
      <c r="L7" s="2" t="s">
        <v>114</v>
      </c>
      <c r="M7" s="2" t="s">
        <v>115</v>
      </c>
      <c r="N7" s="2" t="s">
        <v>46</v>
      </c>
      <c r="O7" s="2" t="s">
        <v>508</v>
      </c>
      <c r="P7" s="2" t="s">
        <v>424</v>
      </c>
      <c r="Q7" s="2" t="s">
        <v>117</v>
      </c>
      <c r="R7" s="2" t="s">
        <v>49</v>
      </c>
      <c r="S7" s="2" t="s">
        <v>456</v>
      </c>
      <c r="T7" s="2" t="s">
        <v>66</v>
      </c>
      <c r="U7" s="9">
        <v>15</v>
      </c>
      <c r="V7" s="9">
        <v>25</v>
      </c>
      <c r="W7" s="2">
        <v>4</v>
      </c>
      <c r="X7" s="14">
        <v>0.1</v>
      </c>
      <c r="Y7" s="33">
        <f>IFERROR((Table3[[#This Row],[Column16]]/100)*Table3[[#This Row],[Column26]],"Error!!")</f>
        <v>2.5000000000000001E-2</v>
      </c>
      <c r="Z7" s="14">
        <v>0.08</v>
      </c>
      <c r="AA7" s="31">
        <f>IFERROR((Table3[[#This Row],[Column16]]/100)*Table3[[#This Row],[Column26]],"Error!!")</f>
        <v>2.5000000000000001E-2</v>
      </c>
      <c r="AB7" s="11">
        <v>5</v>
      </c>
      <c r="AC7" s="31">
        <f>IFERROR(Table3[[#This Row],[Column34]] + Table3[[#This Row],[Column26]]-Table3[[#This Row],[Column31]]+Table3[[#This Row],[Column33]]+Table3[[#This Row],[Column41]] * Table3[[#This Row],[Column28]],"Error!!")</f>
        <v>30</v>
      </c>
      <c r="AD7" s="2" t="s">
        <v>52</v>
      </c>
      <c r="AE7" s="2" t="s">
        <v>53</v>
      </c>
      <c r="AF7" s="2" t="s">
        <v>54</v>
      </c>
      <c r="AG7" s="3">
        <v>45680</v>
      </c>
      <c r="AH7" s="2" t="s">
        <v>55</v>
      </c>
      <c r="AI7" s="27">
        <v>0</v>
      </c>
      <c r="AJ7" s="2" t="s">
        <v>56</v>
      </c>
      <c r="AK7" s="2" t="s">
        <v>109</v>
      </c>
      <c r="AL7" s="1">
        <v>4</v>
      </c>
      <c r="AM7" s="1" t="s">
        <v>501</v>
      </c>
      <c r="AN7" s="18"/>
    </row>
    <row r="8" spans="1:40" x14ac:dyDescent="0.25">
      <c r="A8" s="16">
        <v>7</v>
      </c>
      <c r="B8" s="2" t="s">
        <v>119</v>
      </c>
      <c r="C8" s="2" t="s">
        <v>383</v>
      </c>
      <c r="D8" s="3">
        <v>45675</v>
      </c>
      <c r="E8" s="8">
        <v>0.54166666666666663</v>
      </c>
      <c r="F8" s="3">
        <v>45675</v>
      </c>
      <c r="G8" s="2" t="s">
        <v>121</v>
      </c>
      <c r="H8" s="2" t="s">
        <v>421</v>
      </c>
      <c r="I8" s="2" t="s">
        <v>123</v>
      </c>
      <c r="J8" s="2" t="s">
        <v>43</v>
      </c>
      <c r="K8" s="2" t="s">
        <v>61</v>
      </c>
      <c r="L8" s="2" t="s">
        <v>124</v>
      </c>
      <c r="M8" s="2" t="s">
        <v>125</v>
      </c>
      <c r="N8" s="2" t="s">
        <v>63</v>
      </c>
      <c r="O8" s="2" t="s">
        <v>509</v>
      </c>
      <c r="P8" s="2" t="s">
        <v>425</v>
      </c>
      <c r="Q8" s="2" t="s">
        <v>127</v>
      </c>
      <c r="R8" s="2" t="s">
        <v>49</v>
      </c>
      <c r="S8" s="2" t="s">
        <v>457</v>
      </c>
      <c r="T8" s="2" t="s">
        <v>129</v>
      </c>
      <c r="U8" s="9">
        <v>200</v>
      </c>
      <c r="V8" s="9">
        <v>320</v>
      </c>
      <c r="W8" s="2">
        <v>1</v>
      </c>
      <c r="X8" s="14">
        <v>0.05</v>
      </c>
      <c r="Y8" s="33">
        <f>IFERROR((Table3[[#This Row],[Column16]]/100)*Table3[[#This Row],[Column26]],"Error!!")</f>
        <v>0.16</v>
      </c>
      <c r="Z8" s="14">
        <v>0.08</v>
      </c>
      <c r="AA8" s="31">
        <f>IFERROR((Table3[[#This Row],[Column16]]/100)*Table3[[#This Row],[Column26]],"Error!!")</f>
        <v>0.16</v>
      </c>
      <c r="AB8" s="11">
        <v>12</v>
      </c>
      <c r="AC8" s="31">
        <f>IFERROR(Table3[[#This Row],[Column34]] + Table3[[#This Row],[Column26]]-Table3[[#This Row],[Column31]]+Table3[[#This Row],[Column33]]+Table3[[#This Row],[Column41]] * Table3[[#This Row],[Column28]],"Error!!")</f>
        <v>332</v>
      </c>
      <c r="AD8" s="2" t="s">
        <v>67</v>
      </c>
      <c r="AE8" s="2" t="s">
        <v>53</v>
      </c>
      <c r="AF8" s="2" t="s">
        <v>54</v>
      </c>
      <c r="AG8" s="3">
        <v>45681</v>
      </c>
      <c r="AH8" s="2" t="s">
        <v>55</v>
      </c>
      <c r="AI8" s="27">
        <v>0</v>
      </c>
      <c r="AJ8" s="2" t="s">
        <v>68</v>
      </c>
      <c r="AK8" s="2" t="s">
        <v>130</v>
      </c>
      <c r="AL8" s="1">
        <v>5</v>
      </c>
      <c r="AM8" s="1" t="s">
        <v>139</v>
      </c>
      <c r="AN8" s="18"/>
    </row>
    <row r="9" spans="1:40" x14ac:dyDescent="0.25">
      <c r="A9" s="16">
        <v>8</v>
      </c>
      <c r="B9" s="2" t="s">
        <v>131</v>
      </c>
      <c r="C9" s="2" t="s">
        <v>384</v>
      </c>
      <c r="D9" s="3">
        <v>45676</v>
      </c>
      <c r="E9" s="8">
        <v>0.63888888888888884</v>
      </c>
      <c r="F9" s="3">
        <v>45676</v>
      </c>
      <c r="G9" s="2" t="s">
        <v>121</v>
      </c>
      <c r="H9" s="2" t="s">
        <v>421</v>
      </c>
      <c r="I9" s="2" t="s">
        <v>123</v>
      </c>
      <c r="J9" s="2" t="s">
        <v>43</v>
      </c>
      <c r="K9" s="2" t="s">
        <v>14</v>
      </c>
      <c r="L9" s="2" t="s">
        <v>134</v>
      </c>
      <c r="M9" s="2" t="s">
        <v>135</v>
      </c>
      <c r="N9" s="2" t="s">
        <v>46</v>
      </c>
      <c r="O9" s="2" t="s">
        <v>510</v>
      </c>
      <c r="P9" s="2" t="s">
        <v>500</v>
      </c>
      <c r="Q9" s="2" t="s">
        <v>137</v>
      </c>
      <c r="R9" s="2" t="s">
        <v>49</v>
      </c>
      <c r="S9" s="2" t="s">
        <v>458</v>
      </c>
      <c r="T9" s="2" t="s">
        <v>129</v>
      </c>
      <c r="U9" s="9">
        <v>20</v>
      </c>
      <c r="V9" s="9">
        <v>35</v>
      </c>
      <c r="W9" s="2">
        <v>2</v>
      </c>
      <c r="X9" s="14">
        <v>0</v>
      </c>
      <c r="Y9" s="33">
        <f>IFERROR((Table3[[#This Row],[Column16]]/100)*Table3[[#This Row],[Column26]],"Error!!")</f>
        <v>0</v>
      </c>
      <c r="Z9" s="14">
        <v>0.08</v>
      </c>
      <c r="AA9" s="31">
        <f>IFERROR((Table3[[#This Row],[Column16]]/100)*Table3[[#This Row],[Column26]],"Error!!")</f>
        <v>0</v>
      </c>
      <c r="AB9" s="11">
        <v>5</v>
      </c>
      <c r="AC9" s="31">
        <f>IFERROR(Table3[[#This Row],[Column34]] + Table3[[#This Row],[Column26]]-Table3[[#This Row],[Column31]]+Table3[[#This Row],[Column33]]+Table3[[#This Row],[Column41]] * Table3[[#This Row],[Column28]],"Error!!")</f>
        <v>40</v>
      </c>
      <c r="AD9" s="2" t="s">
        <v>52</v>
      </c>
      <c r="AE9" s="2" t="s">
        <v>53</v>
      </c>
      <c r="AF9" s="2" t="s">
        <v>80</v>
      </c>
      <c r="AG9" s="3">
        <v>45682</v>
      </c>
      <c r="AH9" s="2" t="s">
        <v>55</v>
      </c>
      <c r="AI9" s="27">
        <v>0</v>
      </c>
      <c r="AJ9" s="2" t="s">
        <v>81</v>
      </c>
      <c r="AK9" s="2" t="s">
        <v>130</v>
      </c>
      <c r="AL9" s="1">
        <v>4</v>
      </c>
      <c r="AM9" s="1" t="s">
        <v>152</v>
      </c>
      <c r="AN9" s="18"/>
    </row>
    <row r="10" spans="1:40" x14ac:dyDescent="0.25">
      <c r="A10" s="16">
        <v>9</v>
      </c>
      <c r="B10" s="2" t="s">
        <v>140</v>
      </c>
      <c r="C10" s="2" t="s">
        <v>385</v>
      </c>
      <c r="D10" s="3">
        <v>45677</v>
      </c>
      <c r="E10" s="8">
        <v>0.73611111111111116</v>
      </c>
      <c r="F10" s="3">
        <v>45677</v>
      </c>
      <c r="G10" s="2" t="s">
        <v>142</v>
      </c>
      <c r="H10" s="2" t="s">
        <v>422</v>
      </c>
      <c r="I10" s="2" t="s">
        <v>144</v>
      </c>
      <c r="J10" s="2" t="s">
        <v>43</v>
      </c>
      <c r="K10" s="2" t="s">
        <v>44</v>
      </c>
      <c r="L10" s="2" t="s">
        <v>145</v>
      </c>
      <c r="M10" s="2" t="s">
        <v>146</v>
      </c>
      <c r="N10" s="2" t="s">
        <v>63</v>
      </c>
      <c r="O10" s="2" t="s">
        <v>511</v>
      </c>
      <c r="P10" s="2" t="s">
        <v>426</v>
      </c>
      <c r="Q10" s="2" t="s">
        <v>148</v>
      </c>
      <c r="R10" s="2" t="s">
        <v>49</v>
      </c>
      <c r="S10" s="2" t="s">
        <v>459</v>
      </c>
      <c r="T10" s="2" t="s">
        <v>150</v>
      </c>
      <c r="U10" s="9">
        <v>8</v>
      </c>
      <c r="V10" s="9">
        <v>15</v>
      </c>
      <c r="W10" s="2">
        <v>5</v>
      </c>
      <c r="X10" s="14">
        <v>0.05</v>
      </c>
      <c r="Y10" s="33">
        <f>IFERROR((Table3[[#This Row],[Column16]]/100)*Table3[[#This Row],[Column26]],"Error!!")</f>
        <v>7.4999999999999997E-3</v>
      </c>
      <c r="Z10" s="14">
        <v>0.08</v>
      </c>
      <c r="AA10" s="31">
        <f>IFERROR((Table3[[#This Row],[Column16]]/100)*Table3[[#This Row],[Column26]],"Error!!")</f>
        <v>7.4999999999999997E-3</v>
      </c>
      <c r="AB10" s="11">
        <v>7</v>
      </c>
      <c r="AC10" s="31">
        <f>IFERROR(Table3[[#This Row],[Column34]] + Table3[[#This Row],[Column26]]-Table3[[#This Row],[Column31]]+Table3[[#This Row],[Column33]]+Table3[[#This Row],[Column41]] * Table3[[#This Row],[Column28]],"Error!!")</f>
        <v>22</v>
      </c>
      <c r="AD10" s="2" t="s">
        <v>52</v>
      </c>
      <c r="AE10" s="2" t="s">
        <v>53</v>
      </c>
      <c r="AF10" s="2" t="s">
        <v>54</v>
      </c>
      <c r="AG10" s="3">
        <v>45683</v>
      </c>
      <c r="AH10" s="2" t="s">
        <v>55</v>
      </c>
      <c r="AI10" s="27">
        <v>0</v>
      </c>
      <c r="AJ10" s="2" t="s">
        <v>94</v>
      </c>
      <c r="AK10" s="2" t="s">
        <v>151</v>
      </c>
      <c r="AL10" s="1">
        <v>5</v>
      </c>
      <c r="AM10" s="1" t="s">
        <v>69</v>
      </c>
      <c r="AN10" s="18"/>
    </row>
    <row r="11" spans="1:40" x14ac:dyDescent="0.25">
      <c r="A11" s="16">
        <v>10</v>
      </c>
      <c r="B11" s="2" t="s">
        <v>153</v>
      </c>
      <c r="C11" s="2" t="s">
        <v>386</v>
      </c>
      <c r="D11" s="3">
        <v>45678</v>
      </c>
      <c r="E11" s="8">
        <v>0.4236111111111111</v>
      </c>
      <c r="F11" s="3">
        <v>45678</v>
      </c>
      <c r="G11" s="2" t="s">
        <v>142</v>
      </c>
      <c r="H11" s="2" t="s">
        <v>422</v>
      </c>
      <c r="I11" s="2" t="s">
        <v>144</v>
      </c>
      <c r="J11" s="2" t="s">
        <v>43</v>
      </c>
      <c r="K11" s="2" t="s">
        <v>61</v>
      </c>
      <c r="L11" s="2" t="s">
        <v>155</v>
      </c>
      <c r="M11" s="2" t="s">
        <v>156</v>
      </c>
      <c r="N11" s="2" t="s">
        <v>46</v>
      </c>
      <c r="O11" s="2" t="s">
        <v>512</v>
      </c>
      <c r="P11" s="2" t="s">
        <v>427</v>
      </c>
      <c r="Q11" s="2" t="s">
        <v>158</v>
      </c>
      <c r="R11" s="2" t="s">
        <v>159</v>
      </c>
      <c r="S11" s="2" t="s">
        <v>460</v>
      </c>
      <c r="T11" s="2" t="s">
        <v>161</v>
      </c>
      <c r="U11" s="9">
        <v>12</v>
      </c>
      <c r="V11" s="9">
        <v>25</v>
      </c>
      <c r="W11" s="2">
        <v>2</v>
      </c>
      <c r="X11" s="14">
        <v>0</v>
      </c>
      <c r="Y11" s="33">
        <f>IFERROR((Table3[[#This Row],[Column16]]/100)*Table3[[#This Row],[Column26]],"Error!!")</f>
        <v>0</v>
      </c>
      <c r="Z11" s="14">
        <v>0.08</v>
      </c>
      <c r="AA11" s="31">
        <f>IFERROR((Table3[[#This Row],[Column16]]/100)*Table3[[#This Row],[Column26]],"Error!!")</f>
        <v>0</v>
      </c>
      <c r="AB11" s="11">
        <v>5</v>
      </c>
      <c r="AC11" s="31">
        <f>IFERROR(Table3[[#This Row],[Column34]] + Table3[[#This Row],[Column26]]-Table3[[#This Row],[Column31]]+Table3[[#This Row],[Column33]]+Table3[[#This Row],[Column41]] * Table3[[#This Row],[Column28]],"Error!!")</f>
        <v>30</v>
      </c>
      <c r="AD11" s="2" t="s">
        <v>67</v>
      </c>
      <c r="AE11" s="2" t="s">
        <v>53</v>
      </c>
      <c r="AF11" s="2" t="s">
        <v>54</v>
      </c>
      <c r="AG11" s="3">
        <v>45684</v>
      </c>
      <c r="AH11" s="2" t="s">
        <v>55</v>
      </c>
      <c r="AI11" s="27">
        <v>0</v>
      </c>
      <c r="AJ11" s="2" t="s">
        <v>108</v>
      </c>
      <c r="AK11" s="2" t="s">
        <v>151</v>
      </c>
      <c r="AL11" s="1">
        <v>4</v>
      </c>
      <c r="AM11" s="1" t="s">
        <v>58</v>
      </c>
      <c r="AN11" s="18"/>
    </row>
    <row r="12" spans="1:40" x14ac:dyDescent="0.25">
      <c r="A12" s="16">
        <v>11</v>
      </c>
      <c r="B12" s="2" t="s">
        <v>162</v>
      </c>
      <c r="C12" s="2" t="s">
        <v>387</v>
      </c>
      <c r="D12" s="3">
        <v>45679</v>
      </c>
      <c r="E12" s="8">
        <v>0.38124999999999998</v>
      </c>
      <c r="F12" s="3">
        <v>45679</v>
      </c>
      <c r="G12" s="2" t="s">
        <v>164</v>
      </c>
      <c r="H12" s="2" t="s">
        <v>308</v>
      </c>
      <c r="I12" s="2" t="s">
        <v>165</v>
      </c>
      <c r="J12" s="2" t="s">
        <v>43</v>
      </c>
      <c r="K12" s="2" t="s">
        <v>44</v>
      </c>
      <c r="L12" s="2" t="s">
        <v>166</v>
      </c>
      <c r="M12" s="2" t="s">
        <v>167</v>
      </c>
      <c r="N12" s="2" t="s">
        <v>63</v>
      </c>
      <c r="O12" s="2" t="s">
        <v>513</v>
      </c>
      <c r="P12" s="2" t="s">
        <v>428</v>
      </c>
      <c r="Q12" s="2" t="s">
        <v>48</v>
      </c>
      <c r="R12" s="2" t="s">
        <v>49</v>
      </c>
      <c r="S12" s="2" t="s">
        <v>461</v>
      </c>
      <c r="T12" s="2" t="s">
        <v>51</v>
      </c>
      <c r="U12" s="9">
        <v>10</v>
      </c>
      <c r="V12" s="9">
        <v>15</v>
      </c>
      <c r="W12" s="2">
        <v>3</v>
      </c>
      <c r="X12" s="14">
        <v>0.05</v>
      </c>
      <c r="Y12" s="33">
        <f>IFERROR((Table3[[#This Row],[Column16]]/100)*Table3[[#This Row],[Column26]],"Error!!")</f>
        <v>7.4999999999999997E-3</v>
      </c>
      <c r="Z12" s="14">
        <v>0.08</v>
      </c>
      <c r="AA12" s="31">
        <f>IFERROR((Table3[[#This Row],[Column16]]/100)*Table3[[#This Row],[Column26]],"Error!!")</f>
        <v>7.4999999999999997E-3</v>
      </c>
      <c r="AB12" s="11">
        <v>5</v>
      </c>
      <c r="AC12" s="31">
        <f>IFERROR(Table3[[#This Row],[Column34]] + Table3[[#This Row],[Column26]]-Table3[[#This Row],[Column31]]+Table3[[#This Row],[Column33]]+Table3[[#This Row],[Column41]] * Table3[[#This Row],[Column28]],"Error!!")</f>
        <v>20</v>
      </c>
      <c r="AD12" s="2" t="s">
        <v>52</v>
      </c>
      <c r="AE12" s="2" t="s">
        <v>53</v>
      </c>
      <c r="AF12" s="2" t="s">
        <v>54</v>
      </c>
      <c r="AG12" s="3">
        <v>45685</v>
      </c>
      <c r="AH12" s="2" t="s">
        <v>55</v>
      </c>
      <c r="AI12" s="27">
        <v>0</v>
      </c>
      <c r="AJ12" s="2" t="s">
        <v>56</v>
      </c>
      <c r="AK12" s="2" t="s">
        <v>57</v>
      </c>
      <c r="AL12" s="1">
        <v>5</v>
      </c>
      <c r="AM12" s="1" t="s">
        <v>83</v>
      </c>
      <c r="AN12" s="18"/>
    </row>
    <row r="13" spans="1:40" x14ac:dyDescent="0.25">
      <c r="A13" s="16">
        <v>12</v>
      </c>
      <c r="B13" s="2" t="s">
        <v>169</v>
      </c>
      <c r="C13" s="2" t="s">
        <v>388</v>
      </c>
      <c r="D13" s="3">
        <v>45680</v>
      </c>
      <c r="E13" s="8">
        <v>0.5</v>
      </c>
      <c r="F13" s="3">
        <v>45680</v>
      </c>
      <c r="G13" s="2" t="s">
        <v>164</v>
      </c>
      <c r="H13" s="2" t="s">
        <v>308</v>
      </c>
      <c r="I13" s="2" t="s">
        <v>165</v>
      </c>
      <c r="J13" s="2" t="s">
        <v>43</v>
      </c>
      <c r="K13" s="2" t="s">
        <v>14</v>
      </c>
      <c r="L13" s="2" t="s">
        <v>171</v>
      </c>
      <c r="M13" s="2" t="s">
        <v>172</v>
      </c>
      <c r="N13" s="2" t="s">
        <v>46</v>
      </c>
      <c r="O13" s="2" t="s">
        <v>514</v>
      </c>
      <c r="P13" s="2" t="s">
        <v>429</v>
      </c>
      <c r="Q13" s="2" t="s">
        <v>64</v>
      </c>
      <c r="R13" s="2" t="s">
        <v>49</v>
      </c>
      <c r="S13" s="2" t="s">
        <v>462</v>
      </c>
      <c r="T13" s="2" t="s">
        <v>66</v>
      </c>
      <c r="U13" s="9">
        <v>5</v>
      </c>
      <c r="V13" s="9">
        <v>9</v>
      </c>
      <c r="W13" s="2">
        <v>6</v>
      </c>
      <c r="X13" s="14">
        <v>0.1</v>
      </c>
      <c r="Y13" s="33">
        <f>IFERROR((Table3[[#This Row],[Column16]]/100)*Table3[[#This Row],[Column26]],"Error!!")</f>
        <v>9.0000000000000011E-3</v>
      </c>
      <c r="Z13" s="14">
        <v>0.08</v>
      </c>
      <c r="AA13" s="31">
        <f>IFERROR((Table3[[#This Row],[Column16]]/100)*Table3[[#This Row],[Column26]],"Error!!")</f>
        <v>9.0000000000000011E-3</v>
      </c>
      <c r="AB13" s="11">
        <v>0</v>
      </c>
      <c r="AC13" s="31">
        <f>IFERROR(Table3[[#This Row],[Column34]] + Table3[[#This Row],[Column26]]-Table3[[#This Row],[Column31]]+Table3[[#This Row],[Column33]]+Table3[[#This Row],[Column41]] * Table3[[#This Row],[Column28]],"Error!!")</f>
        <v>9</v>
      </c>
      <c r="AD13" s="2" t="s">
        <v>52</v>
      </c>
      <c r="AE13" s="2" t="s">
        <v>53</v>
      </c>
      <c r="AF13" s="2" t="s">
        <v>54</v>
      </c>
      <c r="AG13" s="3">
        <v>45686</v>
      </c>
      <c r="AH13" s="2" t="s">
        <v>55</v>
      </c>
      <c r="AI13" s="27">
        <v>0</v>
      </c>
      <c r="AJ13" s="2" t="s">
        <v>68</v>
      </c>
      <c r="AK13" s="2" t="s">
        <v>57</v>
      </c>
      <c r="AL13" s="1">
        <v>4</v>
      </c>
      <c r="AM13" s="1" t="s">
        <v>179</v>
      </c>
      <c r="AN13" s="18"/>
    </row>
    <row r="14" spans="1:40" x14ac:dyDescent="0.25">
      <c r="A14" s="16">
        <v>13</v>
      </c>
      <c r="B14" s="2" t="s">
        <v>174</v>
      </c>
      <c r="C14" s="2" t="s">
        <v>389</v>
      </c>
      <c r="D14" s="3">
        <v>45681</v>
      </c>
      <c r="E14" s="8">
        <v>0.55069444444444449</v>
      </c>
      <c r="F14" s="3">
        <v>45681</v>
      </c>
      <c r="G14" s="2" t="s">
        <v>86</v>
      </c>
      <c r="H14" s="2" t="s">
        <v>419</v>
      </c>
      <c r="I14" s="2" t="s">
        <v>87</v>
      </c>
      <c r="J14" s="2" t="s">
        <v>43</v>
      </c>
      <c r="K14" s="2" t="s">
        <v>61</v>
      </c>
      <c r="L14" s="2" t="s">
        <v>176</v>
      </c>
      <c r="M14" s="2" t="s">
        <v>177</v>
      </c>
      <c r="N14" s="2" t="s">
        <v>63</v>
      </c>
      <c r="O14" s="2" t="s">
        <v>506</v>
      </c>
      <c r="P14" s="2" t="s">
        <v>430</v>
      </c>
      <c r="Q14" s="2" t="s">
        <v>76</v>
      </c>
      <c r="R14" s="2" t="s">
        <v>49</v>
      </c>
      <c r="S14" s="2" t="s">
        <v>463</v>
      </c>
      <c r="T14" s="2" t="s">
        <v>78</v>
      </c>
      <c r="U14" s="9">
        <v>70</v>
      </c>
      <c r="V14" s="9">
        <v>120</v>
      </c>
      <c r="W14" s="2">
        <v>1</v>
      </c>
      <c r="X14" s="14">
        <v>0</v>
      </c>
      <c r="Y14" s="33">
        <f>IFERROR((Table3[[#This Row],[Column16]]/100)*Table3[[#This Row],[Column26]],"Error!!")</f>
        <v>0</v>
      </c>
      <c r="Z14" s="14">
        <v>0.08</v>
      </c>
      <c r="AA14" s="31">
        <f>IFERROR((Table3[[#This Row],[Column16]]/100)*Table3[[#This Row],[Column26]],"Error!!")</f>
        <v>0</v>
      </c>
      <c r="AB14" s="11">
        <v>10</v>
      </c>
      <c r="AC14" s="31">
        <f>IFERROR(Table3[[#This Row],[Column34]] + Table3[[#This Row],[Column26]]-Table3[[#This Row],[Column31]]+Table3[[#This Row],[Column33]]+Table3[[#This Row],[Column41]] * Table3[[#This Row],[Column28]],"Error!!")</f>
        <v>130</v>
      </c>
      <c r="AD14" s="2" t="s">
        <v>67</v>
      </c>
      <c r="AE14" s="2" t="s">
        <v>53</v>
      </c>
      <c r="AF14" s="2" t="s">
        <v>54</v>
      </c>
      <c r="AG14" s="3">
        <v>45687</v>
      </c>
      <c r="AH14" s="2" t="s">
        <v>55</v>
      </c>
      <c r="AI14" s="27">
        <v>0</v>
      </c>
      <c r="AJ14" s="2" t="s">
        <v>81</v>
      </c>
      <c r="AK14" s="2" t="s">
        <v>82</v>
      </c>
      <c r="AL14" s="1">
        <v>5</v>
      </c>
      <c r="AM14" s="1" t="s">
        <v>95</v>
      </c>
      <c r="AN14" s="18"/>
    </row>
    <row r="15" spans="1:40" x14ac:dyDescent="0.25">
      <c r="A15" s="16">
        <v>14</v>
      </c>
      <c r="B15" s="2" t="s">
        <v>180</v>
      </c>
      <c r="C15" s="2" t="s">
        <v>390</v>
      </c>
      <c r="D15" s="3">
        <v>45682</v>
      </c>
      <c r="E15" s="8">
        <v>0.59305555555555556</v>
      </c>
      <c r="F15" s="3">
        <v>45682</v>
      </c>
      <c r="G15" s="2" t="s">
        <v>86</v>
      </c>
      <c r="H15" s="2" t="s">
        <v>419</v>
      </c>
      <c r="I15" s="2" t="s">
        <v>87</v>
      </c>
      <c r="J15" s="2" t="s">
        <v>43</v>
      </c>
      <c r="K15" s="2" t="s">
        <v>44</v>
      </c>
      <c r="L15" s="2" t="s">
        <v>182</v>
      </c>
      <c r="M15" s="2" t="s">
        <v>183</v>
      </c>
      <c r="N15" s="2" t="s">
        <v>46</v>
      </c>
      <c r="O15" s="2" t="s">
        <v>515</v>
      </c>
      <c r="P15" s="2" t="s">
        <v>495</v>
      </c>
      <c r="Q15" s="2" t="s">
        <v>91</v>
      </c>
      <c r="R15" s="2" t="s">
        <v>49</v>
      </c>
      <c r="S15" s="2" t="s">
        <v>464</v>
      </c>
      <c r="T15" s="2" t="s">
        <v>51</v>
      </c>
      <c r="U15" s="9">
        <v>400</v>
      </c>
      <c r="V15" s="9">
        <v>550</v>
      </c>
      <c r="W15" s="2">
        <v>1</v>
      </c>
      <c r="X15" s="14">
        <v>0.05</v>
      </c>
      <c r="Y15" s="33">
        <f>IFERROR((Table3[[#This Row],[Column16]]/100)*Table3[[#This Row],[Column26]],"Error!!")</f>
        <v>0.27500000000000002</v>
      </c>
      <c r="Z15" s="14">
        <v>0.08</v>
      </c>
      <c r="AA15" s="31">
        <f>IFERROR((Table3[[#This Row],[Column16]]/100)*Table3[[#This Row],[Column26]],"Error!!")</f>
        <v>0.27500000000000002</v>
      </c>
      <c r="AB15" s="11">
        <v>15</v>
      </c>
      <c r="AC15" s="31">
        <f>IFERROR(Table3[[#This Row],[Column34]] + Table3[[#This Row],[Column26]]-Table3[[#This Row],[Column31]]+Table3[[#This Row],[Column33]]+Table3[[#This Row],[Column41]] * Table3[[#This Row],[Column28]],"Error!!")</f>
        <v>565</v>
      </c>
      <c r="AD15" s="2" t="s">
        <v>52</v>
      </c>
      <c r="AE15" s="2" t="s">
        <v>53</v>
      </c>
      <c r="AF15" s="2" t="s">
        <v>54</v>
      </c>
      <c r="AG15" s="3">
        <v>45688</v>
      </c>
      <c r="AH15" s="2" t="s">
        <v>55</v>
      </c>
      <c r="AI15" s="27">
        <v>0</v>
      </c>
      <c r="AJ15" s="2" t="s">
        <v>94</v>
      </c>
      <c r="AK15" s="2" t="s">
        <v>82</v>
      </c>
      <c r="AL15" s="1">
        <v>5</v>
      </c>
      <c r="AM15" s="1" t="s">
        <v>83</v>
      </c>
      <c r="AN15" s="18"/>
    </row>
    <row r="16" spans="1:40" x14ac:dyDescent="0.25">
      <c r="A16" s="16">
        <v>15</v>
      </c>
      <c r="B16" s="2" t="s">
        <v>185</v>
      </c>
      <c r="C16" s="2" t="s">
        <v>391</v>
      </c>
      <c r="D16" s="3">
        <v>45683</v>
      </c>
      <c r="E16" s="8">
        <v>0.63541666666666663</v>
      </c>
      <c r="F16" s="3">
        <v>45683</v>
      </c>
      <c r="G16" s="2" t="s">
        <v>98</v>
      </c>
      <c r="H16" s="2" t="s">
        <v>420</v>
      </c>
      <c r="I16" s="2" t="s">
        <v>100</v>
      </c>
      <c r="J16" s="2" t="s">
        <v>43</v>
      </c>
      <c r="K16" s="2" t="s">
        <v>61</v>
      </c>
      <c r="L16" s="2" t="s">
        <v>187</v>
      </c>
      <c r="M16" s="2" t="s">
        <v>188</v>
      </c>
      <c r="N16" s="2" t="s">
        <v>63</v>
      </c>
      <c r="O16" s="2" t="s">
        <v>508</v>
      </c>
      <c r="P16" s="2" t="s">
        <v>431</v>
      </c>
      <c r="Q16" s="2" t="s">
        <v>104</v>
      </c>
      <c r="R16" s="2" t="s">
        <v>49</v>
      </c>
      <c r="S16" s="2" t="s">
        <v>465</v>
      </c>
      <c r="T16" s="2" t="s">
        <v>106</v>
      </c>
      <c r="U16" s="9">
        <v>120</v>
      </c>
      <c r="V16" s="9">
        <v>180</v>
      </c>
      <c r="W16" s="2">
        <v>2</v>
      </c>
      <c r="X16" s="14">
        <v>0</v>
      </c>
      <c r="Y16" s="33">
        <f>IFERROR((Table3[[#This Row],[Column16]]/100)*Table3[[#This Row],[Column26]],"Error!!")</f>
        <v>0</v>
      </c>
      <c r="Z16" s="14">
        <v>0.08</v>
      </c>
      <c r="AA16" s="31">
        <f>IFERROR((Table3[[#This Row],[Column16]]/100)*Table3[[#This Row],[Column26]],"Error!!")</f>
        <v>0</v>
      </c>
      <c r="AB16" s="11">
        <v>20</v>
      </c>
      <c r="AC16" s="31">
        <f>IFERROR(Table3[[#This Row],[Column34]] + Table3[[#This Row],[Column26]]-Table3[[#This Row],[Column31]]+Table3[[#This Row],[Column33]]+Table3[[#This Row],[Column41]] * Table3[[#This Row],[Column28]],"Error!!")</f>
        <v>200</v>
      </c>
      <c r="AD16" s="2" t="s">
        <v>67</v>
      </c>
      <c r="AE16" s="2" t="s">
        <v>53</v>
      </c>
      <c r="AF16" s="2" t="s">
        <v>54</v>
      </c>
      <c r="AG16" s="3">
        <v>45689</v>
      </c>
      <c r="AH16" s="2" t="s">
        <v>55</v>
      </c>
      <c r="AI16" s="27">
        <v>0</v>
      </c>
      <c r="AJ16" s="2" t="s">
        <v>108</v>
      </c>
      <c r="AK16" s="2" t="s">
        <v>109</v>
      </c>
      <c r="AL16" s="1">
        <v>3</v>
      </c>
      <c r="AM16" s="1" t="s">
        <v>69</v>
      </c>
      <c r="AN16" s="18"/>
    </row>
    <row r="17" spans="1:40" x14ac:dyDescent="0.25">
      <c r="A17" s="16">
        <v>16</v>
      </c>
      <c r="B17" s="2" t="s">
        <v>190</v>
      </c>
      <c r="C17" s="2" t="s">
        <v>392</v>
      </c>
      <c r="D17" s="3">
        <v>45684</v>
      </c>
      <c r="E17" s="8">
        <v>0.67777777777777781</v>
      </c>
      <c r="F17" s="3">
        <v>45684</v>
      </c>
      <c r="G17" s="2" t="s">
        <v>121</v>
      </c>
      <c r="H17" s="2" t="s">
        <v>421</v>
      </c>
      <c r="I17" s="2" t="s">
        <v>123</v>
      </c>
      <c r="J17" s="2" t="s">
        <v>43</v>
      </c>
      <c r="K17" s="2" t="s">
        <v>44</v>
      </c>
      <c r="L17" s="2" t="s">
        <v>192</v>
      </c>
      <c r="M17" s="2" t="s">
        <v>193</v>
      </c>
      <c r="N17" s="2" t="s">
        <v>46</v>
      </c>
      <c r="O17" s="2" t="s">
        <v>509</v>
      </c>
      <c r="P17" s="2" t="s">
        <v>432</v>
      </c>
      <c r="Q17" s="2" t="s">
        <v>117</v>
      </c>
      <c r="R17" s="2" t="s">
        <v>49</v>
      </c>
      <c r="S17" s="2" t="s">
        <v>466</v>
      </c>
      <c r="T17" s="2" t="s">
        <v>66</v>
      </c>
      <c r="U17" s="9">
        <v>15</v>
      </c>
      <c r="V17" s="9">
        <v>25</v>
      </c>
      <c r="W17" s="2">
        <v>5</v>
      </c>
      <c r="X17" s="14">
        <v>0.1</v>
      </c>
      <c r="Y17" s="33">
        <f>IFERROR((Table3[[#This Row],[Column16]]/100)*Table3[[#This Row],[Column26]],"Error!!")</f>
        <v>2.5000000000000001E-2</v>
      </c>
      <c r="Z17" s="14">
        <v>0.08</v>
      </c>
      <c r="AA17" s="31">
        <f>IFERROR((Table3[[#This Row],[Column16]]/100)*Table3[[#This Row],[Column26]],"Error!!")</f>
        <v>2.5000000000000001E-2</v>
      </c>
      <c r="AB17" s="11">
        <v>5</v>
      </c>
      <c r="AC17" s="31">
        <f>IFERROR(Table3[[#This Row],[Column34]] + Table3[[#This Row],[Column26]]-Table3[[#This Row],[Column31]]+Table3[[#This Row],[Column33]]+Table3[[#This Row],[Column41]] * Table3[[#This Row],[Column28]],"Error!!")</f>
        <v>30</v>
      </c>
      <c r="AD17" s="2" t="s">
        <v>52</v>
      </c>
      <c r="AE17" s="2" t="s">
        <v>53</v>
      </c>
      <c r="AF17" s="2" t="s">
        <v>54</v>
      </c>
      <c r="AG17" s="3">
        <v>45690</v>
      </c>
      <c r="AH17" s="2" t="s">
        <v>55</v>
      </c>
      <c r="AI17" s="27">
        <v>0</v>
      </c>
      <c r="AJ17" s="2" t="s">
        <v>56</v>
      </c>
      <c r="AK17" s="2" t="s">
        <v>130</v>
      </c>
      <c r="AL17" s="1">
        <v>4</v>
      </c>
      <c r="AM17" s="1" t="s">
        <v>58</v>
      </c>
      <c r="AN17" s="18"/>
    </row>
    <row r="18" spans="1:40" x14ac:dyDescent="0.25">
      <c r="A18" s="16">
        <v>17</v>
      </c>
      <c r="B18" s="2" t="s">
        <v>195</v>
      </c>
      <c r="C18" s="2" t="s">
        <v>393</v>
      </c>
      <c r="D18" s="3">
        <v>45685</v>
      </c>
      <c r="E18" s="8">
        <v>0.72013888888888888</v>
      </c>
      <c r="F18" s="3">
        <v>45685</v>
      </c>
      <c r="G18" s="2" t="s">
        <v>121</v>
      </c>
      <c r="H18" s="2" t="s">
        <v>421</v>
      </c>
      <c r="I18" s="2" t="s">
        <v>123</v>
      </c>
      <c r="J18" s="2" t="s">
        <v>43</v>
      </c>
      <c r="K18" s="2" t="s">
        <v>14</v>
      </c>
      <c r="L18" s="2" t="s">
        <v>197</v>
      </c>
      <c r="M18" s="2" t="s">
        <v>198</v>
      </c>
      <c r="N18" s="2" t="s">
        <v>63</v>
      </c>
      <c r="O18" s="2" t="s">
        <v>510</v>
      </c>
      <c r="P18" s="2" t="s">
        <v>496</v>
      </c>
      <c r="Q18" s="2" t="s">
        <v>127</v>
      </c>
      <c r="R18" s="2" t="s">
        <v>49</v>
      </c>
      <c r="S18" s="2" t="s">
        <v>467</v>
      </c>
      <c r="T18" s="2" t="s">
        <v>129</v>
      </c>
      <c r="U18" s="9">
        <v>200</v>
      </c>
      <c r="V18" s="9">
        <v>320</v>
      </c>
      <c r="W18" s="2">
        <v>1</v>
      </c>
      <c r="X18" s="14">
        <v>0.05</v>
      </c>
      <c r="Y18" s="33">
        <f>IFERROR((Table3[[#This Row],[Column16]]/100)*Table3[[#This Row],[Column26]],"Error!!")</f>
        <v>0.16</v>
      </c>
      <c r="Z18" s="14">
        <v>0.08</v>
      </c>
      <c r="AA18" s="31">
        <f>IFERROR((Table3[[#This Row],[Column16]]/100)*Table3[[#This Row],[Column26]],"Error!!")</f>
        <v>0.16</v>
      </c>
      <c r="AB18" s="11">
        <v>12</v>
      </c>
      <c r="AC18" s="31">
        <f>IFERROR(Table3[[#This Row],[Column34]] + Table3[[#This Row],[Column26]]-Table3[[#This Row],[Column31]]+Table3[[#This Row],[Column33]]+Table3[[#This Row],[Column41]] * Table3[[#This Row],[Column28]],"Error!!")</f>
        <v>332</v>
      </c>
      <c r="AD18" s="2" t="s">
        <v>52</v>
      </c>
      <c r="AE18" s="2" t="s">
        <v>53</v>
      </c>
      <c r="AF18" s="2" t="s">
        <v>54</v>
      </c>
      <c r="AG18" s="3">
        <v>45691</v>
      </c>
      <c r="AH18" s="2" t="s">
        <v>55</v>
      </c>
      <c r="AI18" s="27">
        <v>0</v>
      </c>
      <c r="AJ18" s="2" t="s">
        <v>68</v>
      </c>
      <c r="AK18" s="2" t="s">
        <v>130</v>
      </c>
      <c r="AL18" s="1">
        <v>5</v>
      </c>
      <c r="AM18" s="1" t="s">
        <v>139</v>
      </c>
      <c r="AN18" s="18"/>
    </row>
    <row r="19" spans="1:40" x14ac:dyDescent="0.25">
      <c r="A19" s="16">
        <v>18</v>
      </c>
      <c r="B19" s="2" t="s">
        <v>200</v>
      </c>
      <c r="C19" s="2" t="s">
        <v>394</v>
      </c>
      <c r="D19" s="3">
        <v>45686</v>
      </c>
      <c r="E19" s="8">
        <v>0.76249999999999996</v>
      </c>
      <c r="F19" s="3">
        <v>45686</v>
      </c>
      <c r="G19" s="2" t="s">
        <v>142</v>
      </c>
      <c r="H19" s="2" t="s">
        <v>422</v>
      </c>
      <c r="I19" s="2" t="s">
        <v>144</v>
      </c>
      <c r="J19" s="2" t="s">
        <v>43</v>
      </c>
      <c r="K19" s="2" t="s">
        <v>44</v>
      </c>
      <c r="L19" s="2" t="s">
        <v>202</v>
      </c>
      <c r="M19" s="2" t="s">
        <v>203</v>
      </c>
      <c r="N19" s="2" t="s">
        <v>46</v>
      </c>
      <c r="O19" s="2" t="s">
        <v>511</v>
      </c>
      <c r="P19" s="2" t="s">
        <v>433</v>
      </c>
      <c r="Q19" s="2" t="s">
        <v>137</v>
      </c>
      <c r="R19" s="2" t="s">
        <v>49</v>
      </c>
      <c r="S19" s="2" t="s">
        <v>468</v>
      </c>
      <c r="T19" s="2" t="s">
        <v>129</v>
      </c>
      <c r="U19" s="9">
        <v>20</v>
      </c>
      <c r="V19" s="9">
        <v>35</v>
      </c>
      <c r="W19" s="2">
        <v>3</v>
      </c>
      <c r="X19" s="14">
        <v>0</v>
      </c>
      <c r="Y19" s="33">
        <f>IFERROR((Table3[[#This Row],[Column16]]/100)*Table3[[#This Row],[Column26]],"Error!!")</f>
        <v>0</v>
      </c>
      <c r="Z19" s="14">
        <v>0.08</v>
      </c>
      <c r="AA19" s="31">
        <f>IFERROR((Table3[[#This Row],[Column16]]/100)*Table3[[#This Row],[Column26]],"Error!!")</f>
        <v>0</v>
      </c>
      <c r="AB19" s="11">
        <v>5</v>
      </c>
      <c r="AC19" s="31">
        <f>IFERROR(Table3[[#This Row],[Column34]] + Table3[[#This Row],[Column26]]-Table3[[#This Row],[Column31]]+Table3[[#This Row],[Column33]]+Table3[[#This Row],[Column41]] * Table3[[#This Row],[Column28]],"Error!!")</f>
        <v>40</v>
      </c>
      <c r="AD19" s="2" t="s">
        <v>52</v>
      </c>
      <c r="AE19" s="2" t="s">
        <v>53</v>
      </c>
      <c r="AF19" s="2" t="s">
        <v>54</v>
      </c>
      <c r="AG19" s="3">
        <v>45692</v>
      </c>
      <c r="AH19" s="2" t="s">
        <v>55</v>
      </c>
      <c r="AI19" s="27">
        <v>0</v>
      </c>
      <c r="AJ19" s="2" t="s">
        <v>81</v>
      </c>
      <c r="AK19" s="2" t="s">
        <v>151</v>
      </c>
      <c r="AL19" s="1">
        <v>4</v>
      </c>
      <c r="AM19" s="1" t="s">
        <v>152</v>
      </c>
      <c r="AN19" s="18"/>
    </row>
    <row r="20" spans="1:40" x14ac:dyDescent="0.25">
      <c r="A20" s="16">
        <v>19</v>
      </c>
      <c r="B20" s="2" t="s">
        <v>205</v>
      </c>
      <c r="C20" s="2" t="s">
        <v>395</v>
      </c>
      <c r="D20" s="3">
        <v>45687</v>
      </c>
      <c r="E20" s="8">
        <v>0.80486111111111114</v>
      </c>
      <c r="F20" s="3">
        <v>45687</v>
      </c>
      <c r="G20" s="2" t="s">
        <v>142</v>
      </c>
      <c r="H20" s="2" t="s">
        <v>422</v>
      </c>
      <c r="I20" s="2" t="s">
        <v>144</v>
      </c>
      <c r="J20" s="2" t="s">
        <v>43</v>
      </c>
      <c r="K20" s="2" t="s">
        <v>61</v>
      </c>
      <c r="L20" s="2" t="s">
        <v>207</v>
      </c>
      <c r="M20" s="2" t="s">
        <v>208</v>
      </c>
      <c r="N20" s="2" t="s">
        <v>63</v>
      </c>
      <c r="O20" s="2" t="s">
        <v>512</v>
      </c>
      <c r="P20" s="2" t="s">
        <v>434</v>
      </c>
      <c r="Q20" s="2" t="s">
        <v>148</v>
      </c>
      <c r="R20" s="2" t="s">
        <v>49</v>
      </c>
      <c r="S20" s="2" t="s">
        <v>469</v>
      </c>
      <c r="T20" s="2" t="s">
        <v>150</v>
      </c>
      <c r="U20" s="9">
        <v>8</v>
      </c>
      <c r="V20" s="9">
        <v>15</v>
      </c>
      <c r="W20" s="2">
        <v>4</v>
      </c>
      <c r="X20" s="14">
        <v>0.05</v>
      </c>
      <c r="Y20" s="33">
        <f>IFERROR((Table3[[#This Row],[Column16]]/100)*Table3[[#This Row],[Column26]],"Error!!")</f>
        <v>7.4999999999999997E-3</v>
      </c>
      <c r="Z20" s="14">
        <v>0.08</v>
      </c>
      <c r="AA20" s="31">
        <f>IFERROR((Table3[[#This Row],[Column16]]/100)*Table3[[#This Row],[Column26]],"Error!!")</f>
        <v>7.4999999999999997E-3</v>
      </c>
      <c r="AB20" s="11">
        <v>7</v>
      </c>
      <c r="AC20" s="31">
        <f>IFERROR(Table3[[#This Row],[Column34]] + Table3[[#This Row],[Column26]]-Table3[[#This Row],[Column31]]+Table3[[#This Row],[Column33]]+Table3[[#This Row],[Column41]] * Table3[[#This Row],[Column28]],"Error!!")</f>
        <v>22</v>
      </c>
      <c r="AD20" s="2" t="s">
        <v>67</v>
      </c>
      <c r="AE20" s="2" t="s">
        <v>53</v>
      </c>
      <c r="AF20" s="2" t="s">
        <v>54</v>
      </c>
      <c r="AG20" s="3">
        <v>45693</v>
      </c>
      <c r="AH20" s="2" t="s">
        <v>55</v>
      </c>
      <c r="AI20" s="27">
        <v>0</v>
      </c>
      <c r="AJ20" s="2" t="s">
        <v>94</v>
      </c>
      <c r="AK20" s="2" t="s">
        <v>151</v>
      </c>
      <c r="AL20" s="1">
        <v>5</v>
      </c>
      <c r="AM20" s="1" t="s">
        <v>69</v>
      </c>
      <c r="AN20" s="18"/>
    </row>
    <row r="21" spans="1:40" x14ac:dyDescent="0.25">
      <c r="A21" s="16">
        <v>20</v>
      </c>
      <c r="B21" s="2" t="s">
        <v>210</v>
      </c>
      <c r="C21" s="2" t="s">
        <v>396</v>
      </c>
      <c r="D21" s="3">
        <v>45688</v>
      </c>
      <c r="E21" s="8">
        <v>0.84722222222222221</v>
      </c>
      <c r="F21" s="3">
        <v>45688</v>
      </c>
      <c r="G21" s="2" t="s">
        <v>164</v>
      </c>
      <c r="H21" s="2" t="s">
        <v>308</v>
      </c>
      <c r="I21" s="2" t="s">
        <v>165</v>
      </c>
      <c r="J21" s="2" t="s">
        <v>43</v>
      </c>
      <c r="K21" s="2" t="s">
        <v>44</v>
      </c>
      <c r="L21" s="2" t="s">
        <v>212</v>
      </c>
      <c r="M21" s="2" t="s">
        <v>213</v>
      </c>
      <c r="N21" s="2" t="s">
        <v>46</v>
      </c>
      <c r="O21" s="2" t="s">
        <v>513</v>
      </c>
      <c r="P21" s="2" t="s">
        <v>435</v>
      </c>
      <c r="Q21" s="2" t="s">
        <v>158</v>
      </c>
      <c r="R21" s="2" t="s">
        <v>159</v>
      </c>
      <c r="S21" s="2" t="s">
        <v>470</v>
      </c>
      <c r="T21" s="2" t="s">
        <v>161</v>
      </c>
      <c r="U21" s="9">
        <v>12</v>
      </c>
      <c r="V21" s="9">
        <v>25</v>
      </c>
      <c r="W21" s="2">
        <v>2</v>
      </c>
      <c r="X21" s="14">
        <v>0</v>
      </c>
      <c r="Y21" s="33">
        <f>IFERROR((Table3[[#This Row],[Column16]]/100)*Table3[[#This Row],[Column26]],"Error!!")</f>
        <v>0</v>
      </c>
      <c r="Z21" s="14">
        <v>0.08</v>
      </c>
      <c r="AA21" s="31">
        <f>IFERROR((Table3[[#This Row],[Column16]]/100)*Table3[[#This Row],[Column26]],"Error!!")</f>
        <v>0</v>
      </c>
      <c r="AB21" s="11">
        <v>5</v>
      </c>
      <c r="AC21" s="31">
        <f>IFERROR(Table3[[#This Row],[Column34]] + Table3[[#This Row],[Column26]]-Table3[[#This Row],[Column31]]+Table3[[#This Row],[Column33]]+Table3[[#This Row],[Column41]] * Table3[[#This Row],[Column28]],"Error!!")</f>
        <v>30</v>
      </c>
      <c r="AD21" s="2" t="s">
        <v>52</v>
      </c>
      <c r="AE21" s="2" t="s">
        <v>53</v>
      </c>
      <c r="AF21" s="2" t="s">
        <v>54</v>
      </c>
      <c r="AG21" s="3">
        <v>45694</v>
      </c>
      <c r="AH21" s="2" t="s">
        <v>55</v>
      </c>
      <c r="AI21" s="27">
        <v>0</v>
      </c>
      <c r="AJ21" s="2" t="s">
        <v>108</v>
      </c>
      <c r="AK21" s="2" t="s">
        <v>57</v>
      </c>
      <c r="AL21" s="1">
        <v>4</v>
      </c>
      <c r="AM21" s="1" t="s">
        <v>58</v>
      </c>
      <c r="AN21" s="18"/>
    </row>
    <row r="22" spans="1:40" x14ac:dyDescent="0.25">
      <c r="A22" s="16">
        <v>21</v>
      </c>
      <c r="B22" s="2" t="s">
        <v>215</v>
      </c>
      <c r="C22" s="2" t="s">
        <v>397</v>
      </c>
      <c r="D22" s="3">
        <v>45689</v>
      </c>
      <c r="E22" s="8">
        <v>0.37569444444444444</v>
      </c>
      <c r="F22" s="3">
        <v>45689</v>
      </c>
      <c r="G22" s="2" t="s">
        <v>164</v>
      </c>
      <c r="H22" s="2" t="s">
        <v>308</v>
      </c>
      <c r="I22" s="2" t="s">
        <v>165</v>
      </c>
      <c r="J22" s="2" t="s">
        <v>43</v>
      </c>
      <c r="K22" s="2" t="s">
        <v>61</v>
      </c>
      <c r="L22" s="2" t="s">
        <v>217</v>
      </c>
      <c r="M22" s="2" t="s">
        <v>218</v>
      </c>
      <c r="N22" s="2" t="s">
        <v>63</v>
      </c>
      <c r="O22" s="2" t="s">
        <v>514</v>
      </c>
      <c r="P22" s="2" t="s">
        <v>497</v>
      </c>
      <c r="Q22" s="2" t="s">
        <v>48</v>
      </c>
      <c r="R22" s="2" t="s">
        <v>49</v>
      </c>
      <c r="S22" s="2" t="s">
        <v>471</v>
      </c>
      <c r="T22" s="2" t="s">
        <v>51</v>
      </c>
      <c r="U22" s="9">
        <v>10</v>
      </c>
      <c r="V22" s="9">
        <v>15</v>
      </c>
      <c r="W22" s="2">
        <v>1</v>
      </c>
      <c r="X22" s="14">
        <v>0.05</v>
      </c>
      <c r="Y22" s="33">
        <f>IFERROR((Table3[[#This Row],[Column16]]/100)*Table3[[#This Row],[Column26]],"Error!!")</f>
        <v>7.4999999999999997E-3</v>
      </c>
      <c r="Z22" s="14">
        <v>0.08</v>
      </c>
      <c r="AA22" s="31">
        <f>IFERROR((Table3[[#This Row],[Column16]]/100)*Table3[[#This Row],[Column26]],"Error!!")</f>
        <v>7.4999999999999997E-3</v>
      </c>
      <c r="AB22" s="11">
        <v>5</v>
      </c>
      <c r="AC22" s="31">
        <f>IFERROR(Table3[[#This Row],[Column34]] + Table3[[#This Row],[Column26]]-Table3[[#This Row],[Column31]]+Table3[[#This Row],[Column33]]+Table3[[#This Row],[Column41]] * Table3[[#This Row],[Column28]],"Error!!")</f>
        <v>20</v>
      </c>
      <c r="AD22" s="2" t="s">
        <v>67</v>
      </c>
      <c r="AE22" s="2" t="s">
        <v>53</v>
      </c>
      <c r="AF22" s="2" t="s">
        <v>54</v>
      </c>
      <c r="AG22" s="3">
        <v>45695</v>
      </c>
      <c r="AH22" s="2" t="s">
        <v>55</v>
      </c>
      <c r="AI22" s="27">
        <v>0</v>
      </c>
      <c r="AJ22" s="2" t="s">
        <v>56</v>
      </c>
      <c r="AK22" s="2" t="s">
        <v>57</v>
      </c>
      <c r="AL22" s="1">
        <v>5</v>
      </c>
      <c r="AM22" s="1" t="s">
        <v>83</v>
      </c>
      <c r="AN22" s="18"/>
    </row>
    <row r="23" spans="1:40" x14ac:dyDescent="0.25">
      <c r="A23" s="16">
        <v>22</v>
      </c>
      <c r="B23" s="2" t="s">
        <v>220</v>
      </c>
      <c r="C23" s="2" t="s">
        <v>398</v>
      </c>
      <c r="D23" s="3">
        <v>45690</v>
      </c>
      <c r="E23" s="8">
        <v>0.41805555555555557</v>
      </c>
      <c r="F23" s="3">
        <v>45690</v>
      </c>
      <c r="G23" s="2" t="s">
        <v>86</v>
      </c>
      <c r="H23" s="2" t="s">
        <v>419</v>
      </c>
      <c r="I23" s="2" t="s">
        <v>87</v>
      </c>
      <c r="J23" s="2" t="s">
        <v>43</v>
      </c>
      <c r="K23" s="2" t="s">
        <v>44</v>
      </c>
      <c r="L23" s="2" t="s">
        <v>222</v>
      </c>
      <c r="M23" s="2" t="s">
        <v>223</v>
      </c>
      <c r="N23" s="2" t="s">
        <v>46</v>
      </c>
      <c r="O23" s="2" t="s">
        <v>506</v>
      </c>
      <c r="P23" s="2" t="s">
        <v>436</v>
      </c>
      <c r="Q23" s="2" t="s">
        <v>64</v>
      </c>
      <c r="R23" s="2" t="s">
        <v>49</v>
      </c>
      <c r="S23" s="2" t="s">
        <v>472</v>
      </c>
      <c r="T23" s="2" t="s">
        <v>66</v>
      </c>
      <c r="U23" s="11">
        <v>5</v>
      </c>
      <c r="V23" s="9">
        <v>9</v>
      </c>
      <c r="W23" s="2">
        <v>2</v>
      </c>
      <c r="X23" s="14">
        <v>0.1</v>
      </c>
      <c r="Y23" s="33">
        <f>IFERROR((Table3[[#This Row],[Column16]]/100)*Table3[[#This Row],[Column26]],"Error!!")</f>
        <v>9.0000000000000011E-3</v>
      </c>
      <c r="Z23" s="14">
        <v>0.08</v>
      </c>
      <c r="AA23" s="31">
        <f>IFERROR((Table3[[#This Row],[Column16]]/100)*Table3[[#This Row],[Column26]],"Error!!")</f>
        <v>9.0000000000000011E-3</v>
      </c>
      <c r="AB23" s="11">
        <v>0</v>
      </c>
      <c r="AC23" s="31">
        <f>IFERROR(Table3[[#This Row],[Column34]] + Table3[[#This Row],[Column26]]-Table3[[#This Row],[Column31]]+Table3[[#This Row],[Column33]]+Table3[[#This Row],[Column41]] * Table3[[#This Row],[Column28]],"Error!!")</f>
        <v>9</v>
      </c>
      <c r="AD23" s="2" t="s">
        <v>52</v>
      </c>
      <c r="AE23" s="2" t="s">
        <v>53</v>
      </c>
      <c r="AF23" s="2" t="s">
        <v>54</v>
      </c>
      <c r="AG23" s="3">
        <v>45696</v>
      </c>
      <c r="AH23" s="2" t="s">
        <v>55</v>
      </c>
      <c r="AI23" s="27">
        <v>0</v>
      </c>
      <c r="AJ23" s="2" t="s">
        <v>68</v>
      </c>
      <c r="AK23" s="2" t="s">
        <v>82</v>
      </c>
      <c r="AL23" s="1">
        <v>4</v>
      </c>
      <c r="AM23" s="1" t="s">
        <v>179</v>
      </c>
      <c r="AN23" s="18"/>
    </row>
    <row r="24" spans="1:40" x14ac:dyDescent="0.25">
      <c r="A24" s="16">
        <v>23</v>
      </c>
      <c r="B24" s="2" t="s">
        <v>225</v>
      </c>
      <c r="C24" s="2" t="s">
        <v>399</v>
      </c>
      <c r="D24" s="3">
        <v>45691</v>
      </c>
      <c r="E24" s="8">
        <v>0.46041666666666664</v>
      </c>
      <c r="F24" s="3">
        <v>45691</v>
      </c>
      <c r="G24" s="2" t="s">
        <v>86</v>
      </c>
      <c r="H24" s="2" t="s">
        <v>419</v>
      </c>
      <c r="I24" s="2" t="s">
        <v>87</v>
      </c>
      <c r="J24" s="2" t="s">
        <v>43</v>
      </c>
      <c r="K24" s="2" t="s">
        <v>14</v>
      </c>
      <c r="L24" s="2" t="s">
        <v>227</v>
      </c>
      <c r="M24" s="2" t="s">
        <v>228</v>
      </c>
      <c r="N24" s="2" t="s">
        <v>63</v>
      </c>
      <c r="O24" s="2" t="s">
        <v>515</v>
      </c>
      <c r="P24" s="2" t="s">
        <v>437</v>
      </c>
      <c r="Q24" s="2" t="s">
        <v>76</v>
      </c>
      <c r="R24" s="2" t="s">
        <v>49</v>
      </c>
      <c r="S24" s="2" t="s">
        <v>473</v>
      </c>
      <c r="T24" s="2" t="s">
        <v>78</v>
      </c>
      <c r="U24" s="9">
        <v>70</v>
      </c>
      <c r="V24" s="9">
        <v>120</v>
      </c>
      <c r="W24" s="2">
        <v>1</v>
      </c>
      <c r="X24" s="14">
        <v>0</v>
      </c>
      <c r="Y24" s="33">
        <f>IFERROR((Table3[[#This Row],[Column16]]/100)*Table3[[#This Row],[Column26]],"Error!!")</f>
        <v>0</v>
      </c>
      <c r="Z24" s="14">
        <v>0.08</v>
      </c>
      <c r="AA24" s="31">
        <f>IFERROR((Table3[[#This Row],[Column16]]/100)*Table3[[#This Row],[Column26]],"Error!!")</f>
        <v>0</v>
      </c>
      <c r="AB24" s="11">
        <v>10</v>
      </c>
      <c r="AC24" s="31">
        <f>IFERROR(Table3[[#This Row],[Column34]] + Table3[[#This Row],[Column26]]-Table3[[#This Row],[Column31]]+Table3[[#This Row],[Column33]]+Table3[[#This Row],[Column41]] * Table3[[#This Row],[Column28]],"Error!!")</f>
        <v>130</v>
      </c>
      <c r="AD24" s="2" t="s">
        <v>52</v>
      </c>
      <c r="AE24" s="2" t="s">
        <v>53</v>
      </c>
      <c r="AF24" s="2" t="s">
        <v>54</v>
      </c>
      <c r="AG24" s="3">
        <v>45697</v>
      </c>
      <c r="AH24" s="2" t="s">
        <v>55</v>
      </c>
      <c r="AI24" s="27">
        <v>0</v>
      </c>
      <c r="AJ24" s="2" t="s">
        <v>81</v>
      </c>
      <c r="AK24" s="2" t="s">
        <v>82</v>
      </c>
      <c r="AL24" s="1">
        <v>5</v>
      </c>
      <c r="AM24" s="1" t="s">
        <v>95</v>
      </c>
      <c r="AN24" s="18"/>
    </row>
    <row r="25" spans="1:40" x14ac:dyDescent="0.25">
      <c r="A25" s="16">
        <v>24</v>
      </c>
      <c r="B25" s="2" t="s">
        <v>230</v>
      </c>
      <c r="C25" s="2" t="s">
        <v>400</v>
      </c>
      <c r="D25" s="3">
        <v>45692</v>
      </c>
      <c r="E25" s="8">
        <v>0.50277777777777777</v>
      </c>
      <c r="F25" s="3">
        <v>45692</v>
      </c>
      <c r="G25" s="2" t="s">
        <v>98</v>
      </c>
      <c r="H25" s="2" t="s">
        <v>420</v>
      </c>
      <c r="I25" s="2" t="s">
        <v>100</v>
      </c>
      <c r="J25" s="2" t="s">
        <v>43</v>
      </c>
      <c r="K25" s="2" t="s">
        <v>44</v>
      </c>
      <c r="L25" s="2" t="s">
        <v>232</v>
      </c>
      <c r="M25" s="2" t="s">
        <v>233</v>
      </c>
      <c r="N25" s="2" t="s">
        <v>46</v>
      </c>
      <c r="O25" s="2" t="s">
        <v>508</v>
      </c>
      <c r="P25" s="2" t="s">
        <v>438</v>
      </c>
      <c r="Q25" s="2" t="s">
        <v>91</v>
      </c>
      <c r="R25" s="2" t="s">
        <v>49</v>
      </c>
      <c r="S25" s="2" t="s">
        <v>474</v>
      </c>
      <c r="T25" s="2" t="s">
        <v>51</v>
      </c>
      <c r="U25" s="9">
        <v>400</v>
      </c>
      <c r="V25" s="9">
        <v>550</v>
      </c>
      <c r="W25" s="2">
        <v>1</v>
      </c>
      <c r="X25" s="14">
        <v>0.05</v>
      </c>
      <c r="Y25" s="33">
        <f>IFERROR((Table3[[#This Row],[Column16]]/100)*Table3[[#This Row],[Column26]],"Error!!")</f>
        <v>0.27500000000000002</v>
      </c>
      <c r="Z25" s="14">
        <v>0.08</v>
      </c>
      <c r="AA25" s="31">
        <f>IFERROR((Table3[[#This Row],[Column16]]/100)*Table3[[#This Row],[Column26]],"Error!!")</f>
        <v>0.27500000000000002</v>
      </c>
      <c r="AB25" s="11">
        <v>15</v>
      </c>
      <c r="AC25" s="31">
        <f>IFERROR(Table3[[#This Row],[Column34]] + Table3[[#This Row],[Column26]]-Table3[[#This Row],[Column31]]+Table3[[#This Row],[Column33]]+Table3[[#This Row],[Column41]] * Table3[[#This Row],[Column28]],"Error!!")</f>
        <v>565</v>
      </c>
      <c r="AD25" s="2" t="s">
        <v>52</v>
      </c>
      <c r="AE25" s="2" t="s">
        <v>53</v>
      </c>
      <c r="AF25" s="2" t="s">
        <v>54</v>
      </c>
      <c r="AG25" s="3">
        <v>45698</v>
      </c>
      <c r="AH25" s="2" t="s">
        <v>55</v>
      </c>
      <c r="AI25" s="27">
        <v>0</v>
      </c>
      <c r="AJ25" s="2" t="s">
        <v>94</v>
      </c>
      <c r="AK25" s="2" t="s">
        <v>109</v>
      </c>
      <c r="AL25" s="1">
        <v>5</v>
      </c>
      <c r="AM25" s="1" t="s">
        <v>83</v>
      </c>
      <c r="AN25" s="18"/>
    </row>
    <row r="26" spans="1:40" x14ac:dyDescent="0.25">
      <c r="A26" s="16">
        <v>25</v>
      </c>
      <c r="B26" s="2" t="s">
        <v>235</v>
      </c>
      <c r="C26" s="2" t="s">
        <v>401</v>
      </c>
      <c r="D26" s="3">
        <v>45693</v>
      </c>
      <c r="E26" s="8">
        <v>0.54513888888888884</v>
      </c>
      <c r="F26" s="3">
        <v>45693</v>
      </c>
      <c r="G26" s="2" t="s">
        <v>98</v>
      </c>
      <c r="H26" s="2" t="s">
        <v>420</v>
      </c>
      <c r="I26" s="2" t="s">
        <v>100</v>
      </c>
      <c r="J26" s="2" t="s">
        <v>43</v>
      </c>
      <c r="K26" s="2" t="s">
        <v>61</v>
      </c>
      <c r="L26" s="2" t="s">
        <v>166</v>
      </c>
      <c r="M26" s="2" t="s">
        <v>238</v>
      </c>
      <c r="N26" s="2" t="s">
        <v>63</v>
      </c>
      <c r="O26" s="2" t="s">
        <v>509</v>
      </c>
      <c r="P26" s="2" t="s">
        <v>439</v>
      </c>
      <c r="Q26" s="2" t="s">
        <v>104</v>
      </c>
      <c r="R26" s="2" t="s">
        <v>49</v>
      </c>
      <c r="S26" s="2" t="s">
        <v>475</v>
      </c>
      <c r="T26" s="2" t="s">
        <v>106</v>
      </c>
      <c r="U26" s="9">
        <v>120</v>
      </c>
      <c r="V26" s="9">
        <v>180</v>
      </c>
      <c r="W26" s="2">
        <v>2</v>
      </c>
      <c r="X26" s="14">
        <v>0.1</v>
      </c>
      <c r="Y26" s="33">
        <f>IFERROR((Table3[[#This Row],[Column16]]/100)*Table3[[#This Row],[Column26]],"Error!!")</f>
        <v>0.18</v>
      </c>
      <c r="Z26" s="14">
        <v>0.08</v>
      </c>
      <c r="AA26" s="31">
        <f>IFERROR((Table3[[#This Row],[Column16]]/100)*Table3[[#This Row],[Column26]],"Error!!")</f>
        <v>0.18</v>
      </c>
      <c r="AB26" s="11">
        <v>20</v>
      </c>
      <c r="AC26" s="31">
        <f>IFERROR(Table3[[#This Row],[Column34]] + Table3[[#This Row],[Column26]]-Table3[[#This Row],[Column31]]+Table3[[#This Row],[Column33]]+Table3[[#This Row],[Column41]] * Table3[[#This Row],[Column28]],"Error!!")</f>
        <v>200</v>
      </c>
      <c r="AD26" s="2" t="s">
        <v>67</v>
      </c>
      <c r="AE26" s="2" t="s">
        <v>53</v>
      </c>
      <c r="AF26" s="2" t="s">
        <v>54</v>
      </c>
      <c r="AG26" s="3">
        <v>45699</v>
      </c>
      <c r="AH26" s="2" t="s">
        <v>55</v>
      </c>
      <c r="AI26" s="27">
        <v>0</v>
      </c>
      <c r="AJ26" s="2" t="s">
        <v>108</v>
      </c>
      <c r="AK26" s="2" t="s">
        <v>109</v>
      </c>
      <c r="AL26" s="1">
        <v>3</v>
      </c>
      <c r="AM26" s="1" t="s">
        <v>69</v>
      </c>
      <c r="AN26" s="18"/>
    </row>
    <row r="27" spans="1:40" x14ac:dyDescent="0.25">
      <c r="A27" s="16">
        <v>26</v>
      </c>
      <c r="B27" s="2" t="s">
        <v>240</v>
      </c>
      <c r="C27" s="2" t="s">
        <v>402</v>
      </c>
      <c r="D27" s="3">
        <v>45694</v>
      </c>
      <c r="E27" s="8">
        <v>0.58750000000000002</v>
      </c>
      <c r="F27" s="3">
        <v>45694</v>
      </c>
      <c r="G27" s="2" t="s">
        <v>121</v>
      </c>
      <c r="H27" s="2" t="s">
        <v>421</v>
      </c>
      <c r="I27" s="2" t="s">
        <v>123</v>
      </c>
      <c r="J27" s="2" t="s">
        <v>43</v>
      </c>
      <c r="K27" s="2" t="s">
        <v>44</v>
      </c>
      <c r="L27" s="2" t="s">
        <v>242</v>
      </c>
      <c r="M27" s="2" t="s">
        <v>243</v>
      </c>
      <c r="N27" s="2" t="s">
        <v>46</v>
      </c>
      <c r="O27" s="2" t="s">
        <v>510</v>
      </c>
      <c r="P27" s="2" t="s">
        <v>498</v>
      </c>
      <c r="Q27" s="2" t="s">
        <v>117</v>
      </c>
      <c r="R27" s="2" t="s">
        <v>49</v>
      </c>
      <c r="S27" s="2" t="s">
        <v>476</v>
      </c>
      <c r="T27" s="2" t="s">
        <v>66</v>
      </c>
      <c r="U27" s="9">
        <v>15</v>
      </c>
      <c r="V27" s="9">
        <v>25</v>
      </c>
      <c r="W27" s="2">
        <v>3</v>
      </c>
      <c r="X27" s="14">
        <v>0.05</v>
      </c>
      <c r="Y27" s="33">
        <f>IFERROR((Table3[[#This Row],[Column16]]/100)*Table3[[#This Row],[Column26]],"Error!!")</f>
        <v>1.2500000000000001E-2</v>
      </c>
      <c r="Z27" s="14">
        <v>0.08</v>
      </c>
      <c r="AA27" s="31">
        <f>IFERROR((Table3[[#This Row],[Column16]]/100)*Table3[[#This Row],[Column26]],"Error!!")</f>
        <v>1.2500000000000001E-2</v>
      </c>
      <c r="AB27" s="11">
        <v>5</v>
      </c>
      <c r="AC27" s="31">
        <f>IFERROR(Table3[[#This Row],[Column34]] + Table3[[#This Row],[Column26]]-Table3[[#This Row],[Column31]]+Table3[[#This Row],[Column33]]+Table3[[#This Row],[Column41]] * Table3[[#This Row],[Column28]],"Error!!")</f>
        <v>30</v>
      </c>
      <c r="AD27" s="2" t="s">
        <v>52</v>
      </c>
      <c r="AE27" s="2" t="s">
        <v>53</v>
      </c>
      <c r="AF27" s="2" t="s">
        <v>54</v>
      </c>
      <c r="AG27" s="3">
        <v>45700</v>
      </c>
      <c r="AH27" s="2" t="s">
        <v>55</v>
      </c>
      <c r="AI27" s="27">
        <v>0</v>
      </c>
      <c r="AJ27" s="2" t="s">
        <v>56</v>
      </c>
      <c r="AK27" s="2" t="s">
        <v>130</v>
      </c>
      <c r="AL27" s="1">
        <v>4</v>
      </c>
      <c r="AM27" s="1" t="s">
        <v>58</v>
      </c>
      <c r="AN27" s="18"/>
    </row>
    <row r="28" spans="1:40" x14ac:dyDescent="0.25">
      <c r="A28" s="16">
        <v>27</v>
      </c>
      <c r="B28" s="2" t="s">
        <v>245</v>
      </c>
      <c r="C28" s="2" t="s">
        <v>403</v>
      </c>
      <c r="D28" s="3">
        <v>45695</v>
      </c>
      <c r="E28" s="8">
        <v>0.62986111111111109</v>
      </c>
      <c r="F28" s="3">
        <v>45695</v>
      </c>
      <c r="G28" s="2" t="s">
        <v>121</v>
      </c>
      <c r="H28" s="2" t="s">
        <v>421</v>
      </c>
      <c r="I28" s="2" t="s">
        <v>123</v>
      </c>
      <c r="J28" s="2" t="s">
        <v>43</v>
      </c>
      <c r="K28" s="2" t="s">
        <v>61</v>
      </c>
      <c r="L28" s="2" t="s">
        <v>247</v>
      </c>
      <c r="M28" s="2" t="s">
        <v>248</v>
      </c>
      <c r="N28" s="2" t="s">
        <v>63</v>
      </c>
      <c r="O28" s="2" t="s">
        <v>511</v>
      </c>
      <c r="P28" s="2" t="s">
        <v>440</v>
      </c>
      <c r="Q28" s="2" t="s">
        <v>127</v>
      </c>
      <c r="R28" s="2" t="s">
        <v>49</v>
      </c>
      <c r="S28" s="2" t="s">
        <v>477</v>
      </c>
      <c r="T28" s="2" t="s">
        <v>129</v>
      </c>
      <c r="U28" s="9">
        <v>200</v>
      </c>
      <c r="V28" s="9">
        <v>320</v>
      </c>
      <c r="W28" s="2">
        <v>1</v>
      </c>
      <c r="X28" s="14">
        <v>0</v>
      </c>
      <c r="Y28" s="33">
        <f>IFERROR((Table3[[#This Row],[Column16]]/100)*Table3[[#This Row],[Column26]],"Error!!")</f>
        <v>0</v>
      </c>
      <c r="Z28" s="14">
        <v>0.08</v>
      </c>
      <c r="AA28" s="31">
        <f>IFERROR((Table3[[#This Row],[Column16]]/100)*Table3[[#This Row],[Column26]],"Error!!")</f>
        <v>0</v>
      </c>
      <c r="AB28" s="11">
        <v>12</v>
      </c>
      <c r="AC28" s="31">
        <f>IFERROR(Table3[[#This Row],[Column34]] + Table3[[#This Row],[Column26]]-Table3[[#This Row],[Column31]]+Table3[[#This Row],[Column33]]+Table3[[#This Row],[Column41]] * Table3[[#This Row],[Column28]],"Error!!")</f>
        <v>332</v>
      </c>
      <c r="AD28" s="2" t="s">
        <v>67</v>
      </c>
      <c r="AE28" s="2" t="s">
        <v>53</v>
      </c>
      <c r="AF28" s="2" t="s">
        <v>54</v>
      </c>
      <c r="AG28" s="3">
        <v>45701</v>
      </c>
      <c r="AH28" s="2" t="s">
        <v>55</v>
      </c>
      <c r="AI28" s="27">
        <v>0</v>
      </c>
      <c r="AJ28" s="2" t="s">
        <v>68</v>
      </c>
      <c r="AK28" s="2" t="s">
        <v>130</v>
      </c>
      <c r="AL28" s="1">
        <v>5</v>
      </c>
      <c r="AM28" s="1" t="s">
        <v>139</v>
      </c>
      <c r="AN28" s="18"/>
    </row>
    <row r="29" spans="1:40" x14ac:dyDescent="0.25">
      <c r="A29" s="16">
        <v>28</v>
      </c>
      <c r="B29" s="2" t="s">
        <v>250</v>
      </c>
      <c r="C29" s="2" t="s">
        <v>404</v>
      </c>
      <c r="D29" s="3">
        <v>45696</v>
      </c>
      <c r="E29" s="8">
        <v>0.67222222222222228</v>
      </c>
      <c r="F29" s="3">
        <v>45696</v>
      </c>
      <c r="G29" s="2" t="s">
        <v>142</v>
      </c>
      <c r="H29" s="2" t="s">
        <v>422</v>
      </c>
      <c r="I29" s="2" t="s">
        <v>144</v>
      </c>
      <c r="J29" s="2" t="s">
        <v>43</v>
      </c>
      <c r="K29" s="2" t="s">
        <v>44</v>
      </c>
      <c r="L29" s="2" t="s">
        <v>252</v>
      </c>
      <c r="M29" s="2" t="s">
        <v>253</v>
      </c>
      <c r="N29" s="2" t="s">
        <v>46</v>
      </c>
      <c r="O29" s="2" t="s">
        <v>512</v>
      </c>
      <c r="P29" s="2" t="s">
        <v>441</v>
      </c>
      <c r="Q29" s="2" t="s">
        <v>137</v>
      </c>
      <c r="R29" s="2" t="s">
        <v>49</v>
      </c>
      <c r="S29" s="2" t="s">
        <v>478</v>
      </c>
      <c r="T29" s="2" t="s">
        <v>129</v>
      </c>
      <c r="U29" s="9">
        <v>20</v>
      </c>
      <c r="V29" s="9">
        <v>35</v>
      </c>
      <c r="W29" s="2">
        <v>2</v>
      </c>
      <c r="X29" s="14">
        <v>0.05</v>
      </c>
      <c r="Y29" s="33">
        <f>IFERROR((Table3[[#This Row],[Column16]]/100)*Table3[[#This Row],[Column26]],"Error!!")</f>
        <v>1.7500000000000002E-2</v>
      </c>
      <c r="Z29" s="14">
        <v>0.08</v>
      </c>
      <c r="AA29" s="31">
        <f>IFERROR((Table3[[#This Row],[Column16]]/100)*Table3[[#This Row],[Column26]],"Error!!")</f>
        <v>1.7500000000000002E-2</v>
      </c>
      <c r="AB29" s="11">
        <v>5</v>
      </c>
      <c r="AC29" s="31">
        <f>IFERROR(Table3[[#This Row],[Column34]] + Table3[[#This Row],[Column26]]-Table3[[#This Row],[Column31]]+Table3[[#This Row],[Column33]]+Table3[[#This Row],[Column41]] * Table3[[#This Row],[Column28]],"Error!!")</f>
        <v>40</v>
      </c>
      <c r="AD29" s="2" t="s">
        <v>52</v>
      </c>
      <c r="AE29" s="2" t="s">
        <v>53</v>
      </c>
      <c r="AF29" s="2" t="s">
        <v>54</v>
      </c>
      <c r="AG29" s="3">
        <v>45702</v>
      </c>
      <c r="AH29" s="2" t="s">
        <v>55</v>
      </c>
      <c r="AI29" s="27">
        <v>0</v>
      </c>
      <c r="AJ29" s="2" t="s">
        <v>81</v>
      </c>
      <c r="AK29" s="2" t="s">
        <v>151</v>
      </c>
      <c r="AL29" s="1">
        <v>4</v>
      </c>
      <c r="AM29" s="1" t="s">
        <v>152</v>
      </c>
      <c r="AN29" s="18"/>
    </row>
    <row r="30" spans="1:40" x14ac:dyDescent="0.25">
      <c r="A30" s="16">
        <v>29</v>
      </c>
      <c r="B30" s="2" t="s">
        <v>255</v>
      </c>
      <c r="C30" s="2" t="s">
        <v>405</v>
      </c>
      <c r="D30" s="3">
        <v>45697</v>
      </c>
      <c r="E30" s="8">
        <v>0.71458333333333335</v>
      </c>
      <c r="F30" s="3">
        <v>45697</v>
      </c>
      <c r="G30" s="2" t="s">
        <v>142</v>
      </c>
      <c r="H30" s="2" t="s">
        <v>422</v>
      </c>
      <c r="I30" s="2" t="s">
        <v>144</v>
      </c>
      <c r="J30" s="2" t="s">
        <v>43</v>
      </c>
      <c r="K30" s="2" t="s">
        <v>14</v>
      </c>
      <c r="L30" s="2" t="s">
        <v>257</v>
      </c>
      <c r="M30" s="2" t="s">
        <v>258</v>
      </c>
      <c r="N30" s="2" t="s">
        <v>63</v>
      </c>
      <c r="O30" s="2" t="s">
        <v>513</v>
      </c>
      <c r="P30" s="2" t="s">
        <v>499</v>
      </c>
      <c r="Q30" s="2" t="s">
        <v>148</v>
      </c>
      <c r="R30" s="2" t="s">
        <v>49</v>
      </c>
      <c r="S30" s="2" t="s">
        <v>479</v>
      </c>
      <c r="T30" s="2" t="s">
        <v>150</v>
      </c>
      <c r="U30" s="9">
        <v>8</v>
      </c>
      <c r="V30" s="9">
        <v>15</v>
      </c>
      <c r="W30" s="2">
        <v>6</v>
      </c>
      <c r="X30" s="14">
        <v>0</v>
      </c>
      <c r="Y30" s="33">
        <f>IFERROR((Table3[[#This Row],[Column16]]/100)*Table3[[#This Row],[Column26]],"Error!!")</f>
        <v>0</v>
      </c>
      <c r="Z30" s="14">
        <v>0.08</v>
      </c>
      <c r="AA30" s="31">
        <f>IFERROR((Table3[[#This Row],[Column16]]/100)*Table3[[#This Row],[Column26]],"Error!!")</f>
        <v>0</v>
      </c>
      <c r="AB30" s="11">
        <v>7</v>
      </c>
      <c r="AC30" s="31">
        <f>IFERROR(Table3[[#This Row],[Column34]] + Table3[[#This Row],[Column26]]-Table3[[#This Row],[Column31]]+Table3[[#This Row],[Column33]]+Table3[[#This Row],[Column41]] * Table3[[#This Row],[Column28]],"Error!!")</f>
        <v>22</v>
      </c>
      <c r="AD30" s="2" t="s">
        <v>52</v>
      </c>
      <c r="AE30" s="2" t="s">
        <v>53</v>
      </c>
      <c r="AF30" s="2" t="s">
        <v>54</v>
      </c>
      <c r="AG30" s="3">
        <v>45702</v>
      </c>
      <c r="AH30" s="2" t="s">
        <v>55</v>
      </c>
      <c r="AI30" s="27">
        <v>0</v>
      </c>
      <c r="AJ30" s="2" t="s">
        <v>94</v>
      </c>
      <c r="AK30" s="2" t="s">
        <v>151</v>
      </c>
      <c r="AL30" s="1">
        <v>5</v>
      </c>
      <c r="AM30" s="1" t="s">
        <v>69</v>
      </c>
      <c r="AN30" s="18"/>
    </row>
    <row r="31" spans="1:40" x14ac:dyDescent="0.25">
      <c r="A31" s="16">
        <v>30</v>
      </c>
      <c r="B31" s="2" t="s">
        <v>260</v>
      </c>
      <c r="C31" s="2" t="s">
        <v>406</v>
      </c>
      <c r="D31" s="3">
        <v>45698</v>
      </c>
      <c r="E31" s="8">
        <v>0.75694444444444442</v>
      </c>
      <c r="F31" s="3">
        <v>45698</v>
      </c>
      <c r="G31" s="2" t="s">
        <v>164</v>
      </c>
      <c r="H31" s="2" t="s">
        <v>308</v>
      </c>
      <c r="I31" s="2" t="s">
        <v>165</v>
      </c>
      <c r="J31" s="2" t="s">
        <v>43</v>
      </c>
      <c r="K31" s="2" t="s">
        <v>44</v>
      </c>
      <c r="L31" s="2" t="s">
        <v>262</v>
      </c>
      <c r="M31" s="2" t="s">
        <v>263</v>
      </c>
      <c r="N31" s="2" t="s">
        <v>46</v>
      </c>
      <c r="O31" s="2" t="s">
        <v>514</v>
      </c>
      <c r="P31" s="2" t="s">
        <v>442</v>
      </c>
      <c r="Q31" s="2" t="s">
        <v>158</v>
      </c>
      <c r="R31" s="2" t="s">
        <v>159</v>
      </c>
      <c r="S31" s="2" t="s">
        <v>480</v>
      </c>
      <c r="T31" s="2" t="s">
        <v>161</v>
      </c>
      <c r="U31" s="9">
        <v>12</v>
      </c>
      <c r="V31" s="9">
        <v>25</v>
      </c>
      <c r="W31" s="2">
        <v>3</v>
      </c>
      <c r="X31" s="14">
        <v>0.05</v>
      </c>
      <c r="Y31" s="33">
        <f>IFERROR((Table3[[#This Row],[Column16]]/100)*Table3[[#This Row],[Column26]],"Error!!")</f>
        <v>1.2500000000000001E-2</v>
      </c>
      <c r="Z31" s="14">
        <v>0.08</v>
      </c>
      <c r="AA31" s="31">
        <f>IFERROR((Table3[[#This Row],[Column16]]/100)*Table3[[#This Row],[Column26]],"Error!!")</f>
        <v>1.2500000000000001E-2</v>
      </c>
      <c r="AB31" s="11">
        <v>5</v>
      </c>
      <c r="AC31" s="31">
        <f>IFERROR(Table3[[#This Row],[Column34]] + Table3[[#This Row],[Column26]]-Table3[[#This Row],[Column31]]+Table3[[#This Row],[Column33]]+Table3[[#This Row],[Column41]] * Table3[[#This Row],[Column28]],"Error!!")</f>
        <v>30</v>
      </c>
      <c r="AD31" s="2" t="s">
        <v>52</v>
      </c>
      <c r="AE31" s="2" t="s">
        <v>53</v>
      </c>
      <c r="AF31" s="2" t="s">
        <v>54</v>
      </c>
      <c r="AG31" s="3">
        <v>45704</v>
      </c>
      <c r="AH31" s="2" t="s">
        <v>55</v>
      </c>
      <c r="AI31" s="27">
        <v>0</v>
      </c>
      <c r="AJ31" s="2" t="s">
        <v>108</v>
      </c>
      <c r="AK31" s="2" t="s">
        <v>57</v>
      </c>
      <c r="AL31" s="1">
        <v>4</v>
      </c>
      <c r="AM31" s="1" t="s">
        <v>58</v>
      </c>
      <c r="AN31" s="18"/>
    </row>
    <row r="32" spans="1:40" x14ac:dyDescent="0.25">
      <c r="A32" s="16">
        <v>31</v>
      </c>
      <c r="B32" s="2" t="s">
        <v>331</v>
      </c>
      <c r="C32" s="2" t="s">
        <v>407</v>
      </c>
      <c r="D32" s="3">
        <v>45699</v>
      </c>
      <c r="E32" s="8">
        <v>0.7993055555555556</v>
      </c>
      <c r="F32" s="3">
        <v>45699</v>
      </c>
      <c r="G32" s="2" t="s">
        <v>164</v>
      </c>
      <c r="H32" s="2" t="s">
        <v>308</v>
      </c>
      <c r="I32" s="2" t="s">
        <v>165</v>
      </c>
      <c r="J32" s="2" t="s">
        <v>43</v>
      </c>
      <c r="K32" s="2" t="s">
        <v>61</v>
      </c>
      <c r="L32" s="2" t="s">
        <v>333</v>
      </c>
      <c r="M32" s="2" t="s">
        <v>334</v>
      </c>
      <c r="N32" s="2" t="s">
        <v>63</v>
      </c>
      <c r="O32" s="2" t="s">
        <v>506</v>
      </c>
      <c r="P32" s="2" t="s">
        <v>443</v>
      </c>
      <c r="Q32" s="2" t="s">
        <v>48</v>
      </c>
      <c r="R32" s="2" t="s">
        <v>49</v>
      </c>
      <c r="S32" s="2" t="s">
        <v>481</v>
      </c>
      <c r="T32" s="2" t="s">
        <v>51</v>
      </c>
      <c r="U32" s="9">
        <v>10</v>
      </c>
      <c r="V32" s="9">
        <v>15</v>
      </c>
      <c r="W32" s="2">
        <v>2</v>
      </c>
      <c r="X32" s="14">
        <v>0.05</v>
      </c>
      <c r="Y32" s="33">
        <f>IFERROR((Table3[[#This Row],[Column16]]/100)*Table3[[#This Row],[Column26]],"Error!!")</f>
        <v>7.4999999999999997E-3</v>
      </c>
      <c r="Z32" s="14">
        <v>0.08</v>
      </c>
      <c r="AA32" s="31">
        <f>IFERROR((Table3[[#This Row],[Column16]]/100)*Table3[[#This Row],[Column26]],"Error!!")</f>
        <v>7.4999999999999997E-3</v>
      </c>
      <c r="AB32" s="11">
        <v>5</v>
      </c>
      <c r="AC32" s="31">
        <f>IFERROR(Table3[[#This Row],[Column34]] + Table3[[#This Row],[Column26]]-Table3[[#This Row],[Column31]]+Table3[[#This Row],[Column33]]+Table3[[#This Row],[Column41]] * Table3[[#This Row],[Column28]],"Error!!")</f>
        <v>20</v>
      </c>
      <c r="AD32" s="2" t="s">
        <v>67</v>
      </c>
      <c r="AE32" s="2" t="s">
        <v>53</v>
      </c>
      <c r="AF32" s="2" t="s">
        <v>54</v>
      </c>
      <c r="AG32" s="3">
        <v>45705</v>
      </c>
      <c r="AH32" s="2" t="s">
        <v>55</v>
      </c>
      <c r="AI32" s="27">
        <v>0</v>
      </c>
      <c r="AJ32" s="2" t="s">
        <v>56</v>
      </c>
      <c r="AK32" s="2" t="s">
        <v>57</v>
      </c>
      <c r="AL32" s="1">
        <v>5</v>
      </c>
      <c r="AM32" s="1" t="s">
        <v>336</v>
      </c>
      <c r="AN32" s="18"/>
    </row>
    <row r="33" spans="1:40" x14ac:dyDescent="0.25">
      <c r="A33" s="16">
        <v>32</v>
      </c>
      <c r="B33" s="2" t="s">
        <v>377</v>
      </c>
      <c r="C33" s="2" t="s">
        <v>408</v>
      </c>
      <c r="D33" s="3">
        <v>45699</v>
      </c>
      <c r="E33" s="8">
        <v>0.7993055555555556</v>
      </c>
      <c r="F33" s="3">
        <v>45699</v>
      </c>
      <c r="G33" s="2" t="s">
        <v>164</v>
      </c>
      <c r="H33" s="2" t="s">
        <v>308</v>
      </c>
      <c r="I33" s="2" t="s">
        <v>165</v>
      </c>
      <c r="J33" s="2" t="s">
        <v>43</v>
      </c>
      <c r="K33" s="2" t="s">
        <v>61</v>
      </c>
      <c r="L33" s="2" t="s">
        <v>333</v>
      </c>
      <c r="M33" s="2" t="s">
        <v>334</v>
      </c>
      <c r="N33" s="2" t="s">
        <v>63</v>
      </c>
      <c r="O33" s="2" t="s">
        <v>506</v>
      </c>
      <c r="P33" s="2" t="s">
        <v>443</v>
      </c>
      <c r="Q33" s="2" t="s">
        <v>48</v>
      </c>
      <c r="R33" s="2" t="s">
        <v>49</v>
      </c>
      <c r="S33" s="2" t="s">
        <v>482</v>
      </c>
      <c r="T33" s="2" t="s">
        <v>51</v>
      </c>
      <c r="U33" s="9">
        <v>10</v>
      </c>
      <c r="V33" s="9">
        <v>15</v>
      </c>
      <c r="W33" s="2">
        <v>2</v>
      </c>
      <c r="X33" s="14">
        <v>0</v>
      </c>
      <c r="Y33" s="33">
        <f>IFERROR((Table3[[#This Row],[Column16]]/100)*Table3[[#This Row],[Column26]],"Error!!")</f>
        <v>0</v>
      </c>
      <c r="Z33" s="14">
        <v>0.08</v>
      </c>
      <c r="AA33" s="31">
        <f>IFERROR((Table3[[#This Row],[Column16]]/100)*Table3[[#This Row],[Column26]],"Error!!")</f>
        <v>0</v>
      </c>
      <c r="AB33" s="11">
        <v>5</v>
      </c>
      <c r="AC33" s="31">
        <f>IFERROR(Table3[[#This Row],[Column34]] + Table3[[#This Row],[Column26]]-Table3[[#This Row],[Column31]]+Table3[[#This Row],[Column33]]+Table3[[#This Row],[Column41]] * Table3[[#This Row],[Column28]],"Error!!")</f>
        <v>20</v>
      </c>
      <c r="AD33" s="2" t="s">
        <v>67</v>
      </c>
      <c r="AE33" s="2" t="s">
        <v>53</v>
      </c>
      <c r="AF33" s="2" t="s">
        <v>54</v>
      </c>
      <c r="AG33" s="3">
        <v>45706</v>
      </c>
      <c r="AH33" s="2" t="s">
        <v>55</v>
      </c>
      <c r="AI33" s="27">
        <v>0</v>
      </c>
      <c r="AJ33" s="2" t="s">
        <v>56</v>
      </c>
      <c r="AK33" s="2" t="s">
        <v>57</v>
      </c>
      <c r="AL33" s="1">
        <v>5</v>
      </c>
      <c r="AM33" s="1" t="s">
        <v>179</v>
      </c>
      <c r="AN33" s="18"/>
    </row>
    <row r="34" spans="1:40" x14ac:dyDescent="0.25">
      <c r="A34" s="16">
        <v>33</v>
      </c>
      <c r="B34" s="2" t="s">
        <v>337</v>
      </c>
      <c r="C34" s="2" t="s">
        <v>409</v>
      </c>
      <c r="D34" s="3">
        <v>45701</v>
      </c>
      <c r="E34" s="8">
        <v>0.88402777777777775</v>
      </c>
      <c r="F34" s="3">
        <v>45701</v>
      </c>
      <c r="G34" s="2" t="s">
        <v>86</v>
      </c>
      <c r="H34" s="2" t="s">
        <v>419</v>
      </c>
      <c r="I34" s="2" t="s">
        <v>87</v>
      </c>
      <c r="J34" s="2" t="s">
        <v>43</v>
      </c>
      <c r="K34" s="2" t="s">
        <v>61</v>
      </c>
      <c r="L34" s="2" t="s">
        <v>339</v>
      </c>
      <c r="M34" s="2" t="s">
        <v>340</v>
      </c>
      <c r="N34" s="2" t="s">
        <v>63</v>
      </c>
      <c r="O34" s="2" t="s">
        <v>508</v>
      </c>
      <c r="P34" s="2" t="s">
        <v>444</v>
      </c>
      <c r="Q34" s="2" t="s">
        <v>76</v>
      </c>
      <c r="R34" s="2" t="s">
        <v>49</v>
      </c>
      <c r="S34" s="2" t="s">
        <v>483</v>
      </c>
      <c r="T34" s="2" t="s">
        <v>78</v>
      </c>
      <c r="U34" s="9">
        <v>70</v>
      </c>
      <c r="V34" s="9">
        <v>120</v>
      </c>
      <c r="W34" s="2">
        <v>1</v>
      </c>
      <c r="X34" s="14">
        <v>0.05</v>
      </c>
      <c r="Y34" s="33">
        <f>IFERROR((Table3[[#This Row],[Column16]]/100)*Table3[[#This Row],[Column26]],"Error!!")</f>
        <v>0.06</v>
      </c>
      <c r="Z34" s="14">
        <v>0.08</v>
      </c>
      <c r="AA34" s="31">
        <f>IFERROR((Table3[[#This Row],[Column16]]/100)*Table3[[#This Row],[Column26]],"Error!!")</f>
        <v>0.06</v>
      </c>
      <c r="AB34" s="11">
        <v>10</v>
      </c>
      <c r="AC34" s="31">
        <f>IFERROR(Table3[[#This Row],[Column34]] + Table3[[#This Row],[Column26]]-Table3[[#This Row],[Column31]]+Table3[[#This Row],[Column33]]+Table3[[#This Row],[Column41]] * Table3[[#This Row],[Column28]],"Error!!")</f>
        <v>130</v>
      </c>
      <c r="AD34" s="2" t="s">
        <v>67</v>
      </c>
      <c r="AE34" s="2" t="s">
        <v>53</v>
      </c>
      <c r="AF34" s="2" t="s">
        <v>54</v>
      </c>
      <c r="AG34" s="3">
        <v>45707</v>
      </c>
      <c r="AH34" s="2" t="s">
        <v>55</v>
      </c>
      <c r="AI34" s="27">
        <v>0</v>
      </c>
      <c r="AJ34" s="2" t="s">
        <v>81</v>
      </c>
      <c r="AK34" s="2" t="s">
        <v>82</v>
      </c>
      <c r="AL34" s="1">
        <v>5</v>
      </c>
      <c r="AM34" s="1" t="s">
        <v>95</v>
      </c>
      <c r="AN34" s="18"/>
    </row>
    <row r="35" spans="1:40" x14ac:dyDescent="0.25">
      <c r="A35" s="16">
        <v>34</v>
      </c>
      <c r="B35" s="2" t="s">
        <v>342</v>
      </c>
      <c r="C35" s="2" t="s">
        <v>410</v>
      </c>
      <c r="D35" s="3">
        <v>45702</v>
      </c>
      <c r="E35" s="8">
        <v>0.92638888888888893</v>
      </c>
      <c r="F35" s="3">
        <v>45702</v>
      </c>
      <c r="G35" s="2" t="s">
        <v>98</v>
      </c>
      <c r="H35" s="2" t="s">
        <v>420</v>
      </c>
      <c r="I35" s="2" t="s">
        <v>100</v>
      </c>
      <c r="J35" s="2" t="s">
        <v>43</v>
      </c>
      <c r="K35" s="2" t="s">
        <v>44</v>
      </c>
      <c r="L35" s="2" t="s">
        <v>344</v>
      </c>
      <c r="M35" s="2" t="s">
        <v>345</v>
      </c>
      <c r="N35" s="2" t="s">
        <v>46</v>
      </c>
      <c r="O35" s="2" t="s">
        <v>509</v>
      </c>
      <c r="P35" s="2" t="s">
        <v>445</v>
      </c>
      <c r="Q35" s="2" t="s">
        <v>91</v>
      </c>
      <c r="R35" s="2" t="s">
        <v>49</v>
      </c>
      <c r="S35" s="2" t="s">
        <v>484</v>
      </c>
      <c r="T35" s="2" t="s">
        <v>51</v>
      </c>
      <c r="U35" s="9">
        <v>400</v>
      </c>
      <c r="V35" s="9">
        <v>550</v>
      </c>
      <c r="W35" s="2">
        <v>1</v>
      </c>
      <c r="X35" s="14">
        <v>0.1</v>
      </c>
      <c r="Y35" s="33">
        <f>IFERROR((Table3[[#This Row],[Column16]]/100)*Table3[[#This Row],[Column26]],"Error!!")</f>
        <v>0.55000000000000004</v>
      </c>
      <c r="Z35" s="14">
        <v>0.08</v>
      </c>
      <c r="AA35" s="31">
        <f>IFERROR((Table3[[#This Row],[Column16]]/100)*Table3[[#This Row],[Column26]],"Error!!")</f>
        <v>0.55000000000000004</v>
      </c>
      <c r="AB35" s="11">
        <v>15</v>
      </c>
      <c r="AC35" s="31">
        <f>IFERROR(Table3[[#This Row],[Column34]] + Table3[[#This Row],[Column26]]-Table3[[#This Row],[Column31]]+Table3[[#This Row],[Column33]]+Table3[[#This Row],[Column41]] * Table3[[#This Row],[Column28]],"Error!!")</f>
        <v>565</v>
      </c>
      <c r="AD35" s="2" t="s">
        <v>52</v>
      </c>
      <c r="AE35" s="2" t="s">
        <v>53</v>
      </c>
      <c r="AF35" s="2" t="s">
        <v>54</v>
      </c>
      <c r="AG35" s="3">
        <v>45708</v>
      </c>
      <c r="AH35" s="2" t="s">
        <v>55</v>
      </c>
      <c r="AI35" s="27">
        <v>0</v>
      </c>
      <c r="AJ35" s="2" t="s">
        <v>94</v>
      </c>
      <c r="AK35" s="2" t="s">
        <v>109</v>
      </c>
      <c r="AL35" s="1">
        <v>5</v>
      </c>
      <c r="AM35" s="1" t="s">
        <v>83</v>
      </c>
      <c r="AN35" s="18"/>
    </row>
    <row r="36" spans="1:40" x14ac:dyDescent="0.25">
      <c r="A36" s="16">
        <v>35</v>
      </c>
      <c r="B36" s="2" t="s">
        <v>347</v>
      </c>
      <c r="C36" s="2" t="s">
        <v>411</v>
      </c>
      <c r="D36" s="3">
        <v>45703</v>
      </c>
      <c r="E36" s="8">
        <v>0.34375</v>
      </c>
      <c r="F36" s="3">
        <v>45703</v>
      </c>
      <c r="G36" s="2" t="s">
        <v>98</v>
      </c>
      <c r="H36" s="2" t="s">
        <v>420</v>
      </c>
      <c r="I36" s="2" t="s">
        <v>100</v>
      </c>
      <c r="J36" s="2" t="s">
        <v>43</v>
      </c>
      <c r="K36" s="2" t="s">
        <v>61</v>
      </c>
      <c r="L36" s="2" t="s">
        <v>349</v>
      </c>
      <c r="M36" s="2" t="s">
        <v>350</v>
      </c>
      <c r="N36" s="2" t="s">
        <v>63</v>
      </c>
      <c r="O36" s="2" t="s">
        <v>510</v>
      </c>
      <c r="P36" s="2" t="s">
        <v>446</v>
      </c>
      <c r="Q36" s="2" t="s">
        <v>104</v>
      </c>
      <c r="R36" s="2" t="s">
        <v>49</v>
      </c>
      <c r="S36" s="2" t="s">
        <v>485</v>
      </c>
      <c r="T36" s="2" t="s">
        <v>106</v>
      </c>
      <c r="U36" s="9">
        <v>120</v>
      </c>
      <c r="V36" s="9">
        <v>180</v>
      </c>
      <c r="W36" s="2">
        <v>2</v>
      </c>
      <c r="X36" s="14">
        <v>0.05</v>
      </c>
      <c r="Y36" s="33">
        <f>IFERROR((Table3[[#This Row],[Column16]]/100)*Table3[[#This Row],[Column26]],"Error!!")</f>
        <v>0.09</v>
      </c>
      <c r="Z36" s="14">
        <v>0.08</v>
      </c>
      <c r="AA36" s="31">
        <f>IFERROR((Table3[[#This Row],[Column16]]/100)*Table3[[#This Row],[Column26]],"Error!!")</f>
        <v>0.09</v>
      </c>
      <c r="AB36" s="11">
        <v>20</v>
      </c>
      <c r="AC36" s="31">
        <f>IFERROR(Table3[[#This Row],[Column34]] + Table3[[#This Row],[Column26]]-Table3[[#This Row],[Column31]]+Table3[[#This Row],[Column33]]+Table3[[#This Row],[Column41]] * Table3[[#This Row],[Column28]],"Error!!")</f>
        <v>200</v>
      </c>
      <c r="AD36" s="2" t="s">
        <v>67</v>
      </c>
      <c r="AE36" s="2" t="s">
        <v>53</v>
      </c>
      <c r="AF36" s="2" t="s">
        <v>54</v>
      </c>
      <c r="AG36" s="3">
        <v>45709</v>
      </c>
      <c r="AH36" s="2" t="s">
        <v>55</v>
      </c>
      <c r="AI36" s="27">
        <v>0</v>
      </c>
      <c r="AJ36" s="2" t="s">
        <v>108</v>
      </c>
      <c r="AK36" s="2" t="s">
        <v>109</v>
      </c>
      <c r="AL36" s="1">
        <v>3</v>
      </c>
      <c r="AM36" s="1" t="s">
        <v>69</v>
      </c>
      <c r="AN36" s="18"/>
    </row>
    <row r="37" spans="1:40" x14ac:dyDescent="0.25">
      <c r="A37" s="16">
        <v>36</v>
      </c>
      <c r="B37" s="2" t="s">
        <v>352</v>
      </c>
      <c r="C37" s="2" t="s">
        <v>412</v>
      </c>
      <c r="D37" s="3">
        <v>45704</v>
      </c>
      <c r="E37" s="8">
        <v>0.38611111111111113</v>
      </c>
      <c r="F37" s="3">
        <v>45704</v>
      </c>
      <c r="G37" s="2" t="s">
        <v>121</v>
      </c>
      <c r="H37" s="2" t="s">
        <v>421</v>
      </c>
      <c r="I37" s="2" t="s">
        <v>123</v>
      </c>
      <c r="J37" s="2" t="s">
        <v>43</v>
      </c>
      <c r="K37" s="2" t="s">
        <v>44</v>
      </c>
      <c r="L37" s="2" t="s">
        <v>354</v>
      </c>
      <c r="M37" s="2" t="s">
        <v>355</v>
      </c>
      <c r="N37" s="2" t="s">
        <v>46</v>
      </c>
      <c r="O37" s="2" t="s">
        <v>511</v>
      </c>
      <c r="P37" s="2" t="s">
        <v>447</v>
      </c>
      <c r="Q37" s="2" t="s">
        <v>117</v>
      </c>
      <c r="R37" s="2" t="s">
        <v>49</v>
      </c>
      <c r="S37" s="2" t="s">
        <v>486</v>
      </c>
      <c r="T37" s="2" t="s">
        <v>66</v>
      </c>
      <c r="U37" s="9">
        <v>15</v>
      </c>
      <c r="V37" s="9">
        <v>25</v>
      </c>
      <c r="W37" s="2">
        <v>4</v>
      </c>
      <c r="X37" s="14">
        <v>0</v>
      </c>
      <c r="Y37" s="33">
        <f>IFERROR((Table3[[#This Row],[Column16]]/100)*Table3[[#This Row],[Column26]],"Error!!")</f>
        <v>0</v>
      </c>
      <c r="Z37" s="14">
        <v>0.08</v>
      </c>
      <c r="AA37" s="31">
        <f>IFERROR((Table3[[#This Row],[Column16]]/100)*Table3[[#This Row],[Column26]],"Error!!")</f>
        <v>0</v>
      </c>
      <c r="AB37" s="11">
        <v>5</v>
      </c>
      <c r="AC37" s="31">
        <f>IFERROR(Table3[[#This Row],[Column34]] + Table3[[#This Row],[Column26]]-Table3[[#This Row],[Column31]]+Table3[[#This Row],[Column33]]+Table3[[#This Row],[Column41]] * Table3[[#This Row],[Column28]],"Error!!")</f>
        <v>30</v>
      </c>
      <c r="AD37" s="2" t="s">
        <v>52</v>
      </c>
      <c r="AE37" s="2" t="s">
        <v>53</v>
      </c>
      <c r="AF37" s="2" t="s">
        <v>54</v>
      </c>
      <c r="AG37" s="3">
        <v>45710</v>
      </c>
      <c r="AH37" s="2" t="s">
        <v>55</v>
      </c>
      <c r="AI37" s="27">
        <v>0</v>
      </c>
      <c r="AJ37" s="2" t="s">
        <v>56</v>
      </c>
      <c r="AK37" s="2" t="s">
        <v>130</v>
      </c>
      <c r="AL37" s="1">
        <v>4</v>
      </c>
      <c r="AM37" s="1" t="s">
        <v>58</v>
      </c>
      <c r="AN37" s="18"/>
    </row>
    <row r="38" spans="1:40" x14ac:dyDescent="0.25">
      <c r="A38" s="16">
        <v>37</v>
      </c>
      <c r="B38" s="2" t="s">
        <v>357</v>
      </c>
      <c r="C38" s="2" t="s">
        <v>413</v>
      </c>
      <c r="D38" s="3">
        <v>45705</v>
      </c>
      <c r="E38" s="8">
        <v>0.4284722222222222</v>
      </c>
      <c r="F38" s="3">
        <v>45705</v>
      </c>
      <c r="G38" s="2" t="s">
        <v>121</v>
      </c>
      <c r="H38" s="2" t="s">
        <v>421</v>
      </c>
      <c r="I38" s="2" t="s">
        <v>123</v>
      </c>
      <c r="J38" s="2" t="s">
        <v>43</v>
      </c>
      <c r="K38" s="2" t="s">
        <v>61</v>
      </c>
      <c r="L38" s="2" t="s">
        <v>359</v>
      </c>
      <c r="M38" s="2" t="s">
        <v>360</v>
      </c>
      <c r="N38" s="2" t="s">
        <v>63</v>
      </c>
      <c r="O38" s="2" t="s">
        <v>512</v>
      </c>
      <c r="P38" s="2" t="s">
        <v>448</v>
      </c>
      <c r="Q38" s="2" t="s">
        <v>127</v>
      </c>
      <c r="R38" s="2" t="s">
        <v>49</v>
      </c>
      <c r="S38" s="2" t="s">
        <v>487</v>
      </c>
      <c r="T38" s="2" t="s">
        <v>129</v>
      </c>
      <c r="U38" s="9">
        <v>200</v>
      </c>
      <c r="V38" s="9">
        <v>320</v>
      </c>
      <c r="W38" s="2">
        <v>1</v>
      </c>
      <c r="X38" s="14">
        <v>0.05</v>
      </c>
      <c r="Y38" s="33">
        <f>IFERROR((Table3[[#This Row],[Column16]]/100)*Table3[[#This Row],[Column26]],"Error!!")</f>
        <v>0.16</v>
      </c>
      <c r="Z38" s="14">
        <v>0.08</v>
      </c>
      <c r="AA38" s="31">
        <f>IFERROR((Table3[[#This Row],[Column16]]/100)*Table3[[#This Row],[Column26]],"Error!!")</f>
        <v>0.16</v>
      </c>
      <c r="AB38" s="11">
        <v>12</v>
      </c>
      <c r="AC38" s="31">
        <f>IFERROR(Table3[[#This Row],[Column34]] + Table3[[#This Row],[Column26]]-Table3[[#This Row],[Column31]]+Table3[[#This Row],[Column33]]+Table3[[#This Row],[Column41]] * Table3[[#This Row],[Column28]],"Error!!")</f>
        <v>332</v>
      </c>
      <c r="AD38" s="2" t="s">
        <v>67</v>
      </c>
      <c r="AE38" s="2" t="s">
        <v>53</v>
      </c>
      <c r="AF38" s="2" t="s">
        <v>54</v>
      </c>
      <c r="AG38" s="3">
        <v>45711</v>
      </c>
      <c r="AH38" s="2" t="s">
        <v>55</v>
      </c>
      <c r="AI38" s="27">
        <v>0</v>
      </c>
      <c r="AJ38" s="2" t="s">
        <v>68</v>
      </c>
      <c r="AK38" s="2" t="s">
        <v>130</v>
      </c>
      <c r="AL38" s="1">
        <v>5</v>
      </c>
      <c r="AM38" s="1" t="s">
        <v>139</v>
      </c>
      <c r="AN38" s="18"/>
    </row>
    <row r="39" spans="1:40" x14ac:dyDescent="0.25">
      <c r="A39" s="16">
        <v>38</v>
      </c>
      <c r="B39" s="2" t="s">
        <v>362</v>
      </c>
      <c r="C39" s="2" t="s">
        <v>414</v>
      </c>
      <c r="D39" s="3">
        <v>45706</v>
      </c>
      <c r="E39" s="8">
        <v>0.47083333333333333</v>
      </c>
      <c r="F39" s="3">
        <v>45706</v>
      </c>
      <c r="G39" s="2" t="s">
        <v>142</v>
      </c>
      <c r="H39" s="2" t="s">
        <v>422</v>
      </c>
      <c r="I39" s="2" t="s">
        <v>144</v>
      </c>
      <c r="J39" s="2" t="s">
        <v>43</v>
      </c>
      <c r="K39" s="2" t="s">
        <v>44</v>
      </c>
      <c r="L39" s="2" t="s">
        <v>364</v>
      </c>
      <c r="M39" s="2" t="s">
        <v>365</v>
      </c>
      <c r="N39" s="2" t="s">
        <v>46</v>
      </c>
      <c r="O39" s="2" t="s">
        <v>513</v>
      </c>
      <c r="P39" s="2" t="s">
        <v>449</v>
      </c>
      <c r="Q39" s="2" t="s">
        <v>137</v>
      </c>
      <c r="R39" s="2" t="s">
        <v>49</v>
      </c>
      <c r="S39" s="2" t="s">
        <v>488</v>
      </c>
      <c r="T39" s="2" t="s">
        <v>129</v>
      </c>
      <c r="U39" s="9">
        <v>20</v>
      </c>
      <c r="V39" s="9">
        <v>35</v>
      </c>
      <c r="W39" s="2">
        <v>5</v>
      </c>
      <c r="X39" s="14">
        <v>0</v>
      </c>
      <c r="Y39" s="33">
        <f>IFERROR((Table3[[#This Row],[Column16]]/100)*Table3[[#This Row],[Column26]],"Error!!")</f>
        <v>0</v>
      </c>
      <c r="Z39" s="14">
        <v>0.08</v>
      </c>
      <c r="AA39" s="31">
        <f>IFERROR((Table3[[#This Row],[Column16]]/100)*Table3[[#This Row],[Column26]],"Error!!")</f>
        <v>0</v>
      </c>
      <c r="AB39" s="11">
        <v>5</v>
      </c>
      <c r="AC39" s="31">
        <f>IFERROR(Table3[[#This Row],[Column34]] + Table3[[#This Row],[Column26]]-Table3[[#This Row],[Column31]]+Table3[[#This Row],[Column33]]+Table3[[#This Row],[Column41]] * Table3[[#This Row],[Column28]],"Error!!")</f>
        <v>40</v>
      </c>
      <c r="AD39" s="2" t="s">
        <v>52</v>
      </c>
      <c r="AE39" s="2" t="s">
        <v>53</v>
      </c>
      <c r="AF39" s="2" t="s">
        <v>54</v>
      </c>
      <c r="AG39" s="3" t="s">
        <v>324</v>
      </c>
      <c r="AH39" s="2" t="s">
        <v>55</v>
      </c>
      <c r="AI39" s="27">
        <v>0</v>
      </c>
      <c r="AJ39" s="2" t="s">
        <v>81</v>
      </c>
      <c r="AK39" s="2" t="s">
        <v>151</v>
      </c>
      <c r="AL39" s="1">
        <v>4</v>
      </c>
      <c r="AM39" s="1" t="s">
        <v>152</v>
      </c>
      <c r="AN39" s="18"/>
    </row>
    <row r="40" spans="1:40" x14ac:dyDescent="0.25">
      <c r="A40" s="16">
        <v>39</v>
      </c>
      <c r="B40" s="2" t="s">
        <v>367</v>
      </c>
      <c r="C40" s="2" t="s">
        <v>415</v>
      </c>
      <c r="D40" s="3">
        <v>45707</v>
      </c>
      <c r="E40" s="8">
        <v>0.5131944444444444</v>
      </c>
      <c r="F40" s="3">
        <v>45707</v>
      </c>
      <c r="G40" s="2" t="s">
        <v>142</v>
      </c>
      <c r="H40" s="2" t="s">
        <v>422</v>
      </c>
      <c r="I40" s="2" t="s">
        <v>144</v>
      </c>
      <c r="J40" s="2" t="s">
        <v>43</v>
      </c>
      <c r="K40" s="2" t="s">
        <v>61</v>
      </c>
      <c r="L40" s="2" t="s">
        <v>369</v>
      </c>
      <c r="M40" s="2" t="s">
        <v>370</v>
      </c>
      <c r="N40" s="2" t="s">
        <v>63</v>
      </c>
      <c r="O40" s="2" t="s">
        <v>514</v>
      </c>
      <c r="P40" s="2" t="s">
        <v>450</v>
      </c>
      <c r="Q40" s="2" t="s">
        <v>148</v>
      </c>
      <c r="R40" s="2" t="s">
        <v>49</v>
      </c>
      <c r="S40" s="2" t="s">
        <v>489</v>
      </c>
      <c r="T40" s="2" t="s">
        <v>150</v>
      </c>
      <c r="U40" s="9">
        <v>8</v>
      </c>
      <c r="V40" s="9">
        <v>15</v>
      </c>
      <c r="W40" s="2">
        <v>3</v>
      </c>
      <c r="X40" s="14">
        <v>0</v>
      </c>
      <c r="Y40" s="33">
        <f>IFERROR((Table3[[#This Row],[Column16]]/100)*Table3[[#This Row],[Column26]],"Error!!")</f>
        <v>0</v>
      </c>
      <c r="Z40" s="14">
        <v>0.08</v>
      </c>
      <c r="AA40" s="31">
        <f>IFERROR((Table3[[#This Row],[Column16]]/100)*Table3[[#This Row],[Column26]],"Error!!")</f>
        <v>0</v>
      </c>
      <c r="AB40" s="11">
        <v>7</v>
      </c>
      <c r="AC40" s="31">
        <f>IFERROR(Table3[[#This Row],[Column34]] + Table3[[#This Row],[Column26]]-Table3[[#This Row],[Column31]]+Table3[[#This Row],[Column33]]+Table3[[#This Row],[Column41]] * Table3[[#This Row],[Column28]],"Error!!")</f>
        <v>22</v>
      </c>
      <c r="AD40" s="2" t="s">
        <v>67</v>
      </c>
      <c r="AE40" s="2" t="s">
        <v>53</v>
      </c>
      <c r="AF40" s="2" t="s">
        <v>54</v>
      </c>
      <c r="AG40" s="3" t="s">
        <v>324</v>
      </c>
      <c r="AH40" s="2" t="s">
        <v>55</v>
      </c>
      <c r="AI40" s="27">
        <v>0</v>
      </c>
      <c r="AJ40" s="2" t="s">
        <v>94</v>
      </c>
      <c r="AK40" s="2" t="s">
        <v>151</v>
      </c>
      <c r="AL40" s="1">
        <v>5</v>
      </c>
      <c r="AM40" s="1" t="s">
        <v>69</v>
      </c>
      <c r="AN40" s="18"/>
    </row>
    <row r="41" spans="1:40" x14ac:dyDescent="0.25">
      <c r="A41" s="19">
        <v>40</v>
      </c>
      <c r="B41" s="20" t="s">
        <v>372</v>
      </c>
      <c r="C41" s="20" t="s">
        <v>416</v>
      </c>
      <c r="D41" s="21">
        <v>45708</v>
      </c>
      <c r="E41" s="22">
        <v>0.55555555555555558</v>
      </c>
      <c r="F41" s="21">
        <v>45708</v>
      </c>
      <c r="G41" s="20" t="s">
        <v>164</v>
      </c>
      <c r="H41" s="20" t="s">
        <v>308</v>
      </c>
      <c r="I41" s="20" t="s">
        <v>165</v>
      </c>
      <c r="J41" s="20" t="s">
        <v>43</v>
      </c>
      <c r="K41" s="20" t="s">
        <v>44</v>
      </c>
      <c r="L41" s="20" t="s">
        <v>374</v>
      </c>
      <c r="M41" s="20" t="s">
        <v>375</v>
      </c>
      <c r="N41" s="20" t="s">
        <v>46</v>
      </c>
      <c r="O41" s="20" t="s">
        <v>506</v>
      </c>
      <c r="P41" s="20" t="s">
        <v>451</v>
      </c>
      <c r="Q41" s="20" t="s">
        <v>158</v>
      </c>
      <c r="R41" s="20" t="s">
        <v>159</v>
      </c>
      <c r="S41" s="20" t="s">
        <v>490</v>
      </c>
      <c r="T41" s="20" t="s">
        <v>161</v>
      </c>
      <c r="U41" s="23">
        <v>12</v>
      </c>
      <c r="V41" s="23">
        <v>25</v>
      </c>
      <c r="W41" s="20">
        <v>2</v>
      </c>
      <c r="X41" s="14">
        <v>0</v>
      </c>
      <c r="Y41" s="33">
        <f>IFERROR((Table3[[#This Row],[Column16]]/100)*Table3[[#This Row],[Column26]],"Error!!")</f>
        <v>0</v>
      </c>
      <c r="Z41" s="24">
        <v>0.08</v>
      </c>
      <c r="AA41" s="32">
        <f>IFERROR((Table3[[#This Row],[Column16]]/100)*Table3[[#This Row],[Column26]],"Error!!")</f>
        <v>0</v>
      </c>
      <c r="AB41" s="25">
        <v>5</v>
      </c>
      <c r="AC41" s="31">
        <f>IFERROR(Table3[[#This Row],[Column34]] + Table3[[#This Row],[Column26]]-Table3[[#This Row],[Column31]]+Table3[[#This Row],[Column33]]+Table3[[#This Row],[Column41]] * Table3[[#This Row],[Column28]],"Error!!")</f>
        <v>30</v>
      </c>
      <c r="AD41" s="20" t="s">
        <v>52</v>
      </c>
      <c r="AE41" s="20" t="s">
        <v>53</v>
      </c>
      <c r="AF41" s="20" t="s">
        <v>54</v>
      </c>
      <c r="AG41" s="21" t="s">
        <v>324</v>
      </c>
      <c r="AH41" s="20" t="s">
        <v>55</v>
      </c>
      <c r="AI41" s="28">
        <v>0</v>
      </c>
      <c r="AJ41" s="20" t="s">
        <v>108</v>
      </c>
      <c r="AK41" s="20" t="s">
        <v>57</v>
      </c>
      <c r="AL41" s="29">
        <v>4</v>
      </c>
      <c r="AM41" s="29" t="s">
        <v>324</v>
      </c>
      <c r="AN41" s="26"/>
    </row>
  </sheetData>
  <phoneticPr fontId="3" type="noConversion"/>
  <pageMargins left="0.7" right="0.7" top="0.75" bottom="0.75" header="0.3" footer="0.3"/>
  <pageSetup orientation="landscape" r:id="rId1"/>
  <ignoredErrors>
    <ignoredError sqref="L1 O1 O2:O41 AC1 X1:X41 L2:L41 Y1 AA1 AC2:AC41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E75CCDB-8B42-4233-9816-29DC6CFC128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AL1:AM1</xm:sqref>
        </x14:conditionalFormatting>
        <x14:conditionalFormatting xmlns:xm="http://schemas.microsoft.com/office/excel/2006/main">
          <x14:cfRule type="iconSet" priority="2" id="{A6DE94C1-87B2-48F6-BA60-C610DF54C96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AL2:AM41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B41D-E742-4103-A789-A85E83CCF64A}">
  <dimension ref="A1:AN45"/>
  <sheetViews>
    <sheetView workbookViewId="0">
      <selection activeCell="L10" sqref="L10"/>
    </sheetView>
  </sheetViews>
  <sheetFormatPr defaultRowHeight="15" x14ac:dyDescent="0.25"/>
  <cols>
    <col min="4" max="4" width="9.1406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</v>
      </c>
      <c r="B2" t="s">
        <v>293</v>
      </c>
      <c r="C2" t="s">
        <v>294</v>
      </c>
      <c r="D2">
        <v>45669</v>
      </c>
      <c r="E2">
        <v>0.37847222222222221</v>
      </c>
      <c r="F2">
        <v>45669</v>
      </c>
      <c r="G2" t="s">
        <v>295</v>
      </c>
      <c r="H2" t="s">
        <v>41</v>
      </c>
      <c r="I2" t="s">
        <v>42</v>
      </c>
      <c r="J2" t="s">
        <v>296</v>
      </c>
      <c r="K2" t="s">
        <v>297</v>
      </c>
      <c r="L2" t="s">
        <v>298</v>
      </c>
      <c r="M2" t="s">
        <v>45</v>
      </c>
      <c r="N2" t="s">
        <v>46</v>
      </c>
      <c r="O2" t="s">
        <v>299</v>
      </c>
      <c r="P2" t="s">
        <v>47</v>
      </c>
      <c r="Q2" t="s">
        <v>300</v>
      </c>
      <c r="R2" t="s">
        <v>301</v>
      </c>
      <c r="S2" t="s">
        <v>302</v>
      </c>
      <c r="T2" t="s">
        <v>51</v>
      </c>
      <c r="U2" t="s">
        <v>303</v>
      </c>
      <c r="V2">
        <v>15</v>
      </c>
      <c r="W2">
        <v>2</v>
      </c>
      <c r="X2">
        <v>5</v>
      </c>
      <c r="Z2">
        <v>8</v>
      </c>
      <c r="AB2">
        <v>5</v>
      </c>
      <c r="AD2" t="s">
        <v>304</v>
      </c>
      <c r="AE2" t="s">
        <v>305</v>
      </c>
      <c r="AF2" t="s">
        <v>54</v>
      </c>
      <c r="AG2">
        <v>45672</v>
      </c>
      <c r="AH2" t="s">
        <v>306</v>
      </c>
      <c r="AI2">
        <v>0</v>
      </c>
      <c r="AJ2" t="s">
        <v>56</v>
      </c>
      <c r="AK2" t="s">
        <v>57</v>
      </c>
      <c r="AL2">
        <v>5</v>
      </c>
      <c r="AM2" t="s">
        <v>307</v>
      </c>
    </row>
    <row r="3" spans="1:40" x14ac:dyDescent="0.25">
      <c r="A3">
        <v>2</v>
      </c>
      <c r="B3" t="s">
        <v>59</v>
      </c>
      <c r="C3" t="s">
        <v>60</v>
      </c>
      <c r="D3">
        <v>45670</v>
      </c>
      <c r="E3">
        <v>0.4201388888888889</v>
      </c>
      <c r="F3">
        <v>45670</v>
      </c>
      <c r="G3" t="s">
        <v>164</v>
      </c>
      <c r="H3" t="s">
        <v>308</v>
      </c>
      <c r="I3" t="s">
        <v>165</v>
      </c>
      <c r="J3" t="s">
        <v>43</v>
      </c>
      <c r="K3" t="s">
        <v>61</v>
      </c>
      <c r="L3" t="s">
        <v>309</v>
      </c>
      <c r="M3" t="s">
        <v>62</v>
      </c>
      <c r="N3" t="s">
        <v>63</v>
      </c>
      <c r="O3">
        <v>9876543</v>
      </c>
      <c r="P3" t="s">
        <v>310</v>
      </c>
      <c r="Q3" t="s">
        <v>311</v>
      </c>
      <c r="R3" t="s">
        <v>49</v>
      </c>
      <c r="S3" t="s">
        <v>65</v>
      </c>
      <c r="T3" t="s">
        <v>312</v>
      </c>
      <c r="U3" t="s">
        <v>313</v>
      </c>
      <c r="V3">
        <v>9</v>
      </c>
      <c r="W3">
        <v>3</v>
      </c>
      <c r="X3" t="s">
        <v>314</v>
      </c>
      <c r="Z3">
        <v>8</v>
      </c>
      <c r="AB3">
        <v>0</v>
      </c>
      <c r="AD3" t="s">
        <v>67</v>
      </c>
      <c r="AE3" t="s">
        <v>53</v>
      </c>
      <c r="AF3" t="s">
        <v>315</v>
      </c>
      <c r="AG3">
        <v>45673</v>
      </c>
      <c r="AH3" t="s">
        <v>55</v>
      </c>
      <c r="AJ3" t="s">
        <v>68</v>
      </c>
      <c r="AK3" t="s">
        <v>57</v>
      </c>
      <c r="AL3">
        <v>4</v>
      </c>
      <c r="AM3" t="s">
        <v>316</v>
      </c>
    </row>
    <row r="4" spans="1:40" x14ac:dyDescent="0.25">
      <c r="A4">
        <v>3</v>
      </c>
      <c r="B4" t="s">
        <v>70</v>
      </c>
      <c r="C4">
        <v>1003</v>
      </c>
      <c r="D4" t="s">
        <v>317</v>
      </c>
      <c r="E4">
        <v>0.58680555555555558</v>
      </c>
      <c r="F4">
        <v>45671</v>
      </c>
      <c r="G4" t="s">
        <v>71</v>
      </c>
      <c r="H4" t="s">
        <v>72</v>
      </c>
      <c r="I4" t="s">
        <v>73</v>
      </c>
      <c r="J4" t="s">
        <v>43</v>
      </c>
      <c r="K4" t="s">
        <v>14</v>
      </c>
      <c r="L4" t="s">
        <v>74</v>
      </c>
      <c r="M4" t="s">
        <v>75</v>
      </c>
      <c r="N4" t="s">
        <v>46</v>
      </c>
      <c r="O4" t="s">
        <v>318</v>
      </c>
      <c r="P4" t="s">
        <v>319</v>
      </c>
      <c r="Q4" t="s">
        <v>76</v>
      </c>
      <c r="R4" t="s">
        <v>49</v>
      </c>
      <c r="S4" t="s">
        <v>77</v>
      </c>
      <c r="T4" t="s">
        <v>78</v>
      </c>
      <c r="U4">
        <v>70</v>
      </c>
      <c r="V4">
        <v>120</v>
      </c>
      <c r="W4">
        <v>1</v>
      </c>
      <c r="X4">
        <v>0</v>
      </c>
      <c r="Y4">
        <v>0</v>
      </c>
      <c r="Z4">
        <v>8</v>
      </c>
      <c r="AA4" t="s">
        <v>320</v>
      </c>
      <c r="AB4">
        <v>10</v>
      </c>
      <c r="AD4" t="s">
        <v>52</v>
      </c>
      <c r="AE4" t="s">
        <v>79</v>
      </c>
      <c r="AF4" t="s">
        <v>80</v>
      </c>
      <c r="AH4" t="s">
        <v>55</v>
      </c>
      <c r="AI4">
        <v>0</v>
      </c>
      <c r="AJ4" t="s">
        <v>81</v>
      </c>
      <c r="AK4" t="s">
        <v>82</v>
      </c>
      <c r="AL4">
        <v>3</v>
      </c>
    </row>
    <row r="5" spans="1:40" x14ac:dyDescent="0.25">
      <c r="A5">
        <v>4</v>
      </c>
      <c r="B5" t="s">
        <v>84</v>
      </c>
      <c r="C5" t="s">
        <v>85</v>
      </c>
      <c r="D5">
        <v>45672</v>
      </c>
      <c r="E5" t="s">
        <v>321</v>
      </c>
      <c r="F5">
        <v>45672</v>
      </c>
      <c r="G5" t="s">
        <v>86</v>
      </c>
      <c r="H5" t="s">
        <v>72</v>
      </c>
      <c r="I5" t="s">
        <v>87</v>
      </c>
      <c r="J5" t="s">
        <v>43</v>
      </c>
      <c r="K5" t="s">
        <v>44</v>
      </c>
      <c r="L5" t="s">
        <v>88</v>
      </c>
      <c r="M5" t="s">
        <v>89</v>
      </c>
      <c r="N5" t="s">
        <v>63</v>
      </c>
      <c r="O5">
        <v>4444444</v>
      </c>
      <c r="P5" t="s">
        <v>90</v>
      </c>
      <c r="Q5" t="s">
        <v>91</v>
      </c>
      <c r="R5" t="s">
        <v>49</v>
      </c>
      <c r="S5" t="s">
        <v>92</v>
      </c>
      <c r="T5" t="s">
        <v>51</v>
      </c>
      <c r="U5">
        <v>400</v>
      </c>
      <c r="V5">
        <v>550</v>
      </c>
      <c r="W5">
        <v>1</v>
      </c>
      <c r="X5">
        <v>5</v>
      </c>
      <c r="Z5">
        <v>8</v>
      </c>
      <c r="AB5">
        <v>15</v>
      </c>
      <c r="AC5">
        <v>500</v>
      </c>
      <c r="AD5" t="s">
        <v>52</v>
      </c>
      <c r="AE5" t="s">
        <v>53</v>
      </c>
      <c r="AF5" t="s">
        <v>54</v>
      </c>
      <c r="AG5">
        <v>45675</v>
      </c>
      <c r="AH5" t="s">
        <v>93</v>
      </c>
      <c r="AI5">
        <v>50</v>
      </c>
      <c r="AJ5" t="s">
        <v>94</v>
      </c>
      <c r="AK5" t="s">
        <v>82</v>
      </c>
      <c r="AL5">
        <v>5</v>
      </c>
      <c r="AM5" t="s">
        <v>95</v>
      </c>
    </row>
    <row r="6" spans="1:40" x14ac:dyDescent="0.25">
      <c r="A6">
        <v>5</v>
      </c>
      <c r="B6" t="s">
        <v>96</v>
      </c>
      <c r="C6" t="s">
        <v>97</v>
      </c>
      <c r="D6">
        <v>45673</v>
      </c>
      <c r="E6" t="s">
        <v>322</v>
      </c>
      <c r="F6">
        <v>45673</v>
      </c>
      <c r="G6" t="s">
        <v>98</v>
      </c>
      <c r="H6" t="s">
        <v>99</v>
      </c>
      <c r="I6" t="s">
        <v>100</v>
      </c>
      <c r="J6" t="s">
        <v>43</v>
      </c>
      <c r="K6" t="s">
        <v>61</v>
      </c>
      <c r="L6" t="s">
        <v>101</v>
      </c>
      <c r="M6" t="s">
        <v>102</v>
      </c>
      <c r="N6" t="s">
        <v>46</v>
      </c>
      <c r="O6" t="s">
        <v>323</v>
      </c>
      <c r="P6" t="s">
        <v>103</v>
      </c>
      <c r="Q6" t="s">
        <v>104</v>
      </c>
      <c r="R6" t="s">
        <v>49</v>
      </c>
      <c r="S6" t="s">
        <v>105</v>
      </c>
      <c r="T6" t="s">
        <v>106</v>
      </c>
      <c r="U6">
        <v>120</v>
      </c>
      <c r="V6">
        <v>180</v>
      </c>
      <c r="W6">
        <v>2</v>
      </c>
      <c r="X6" t="s">
        <v>324</v>
      </c>
      <c r="Z6">
        <v>8</v>
      </c>
      <c r="AB6">
        <v>20</v>
      </c>
      <c r="AD6" t="s">
        <v>67</v>
      </c>
      <c r="AE6" t="s">
        <v>107</v>
      </c>
      <c r="AF6" t="s">
        <v>79</v>
      </c>
      <c r="AH6" t="s">
        <v>55</v>
      </c>
      <c r="AI6">
        <v>0</v>
      </c>
      <c r="AJ6" t="s">
        <v>108</v>
      </c>
      <c r="AK6" t="s">
        <v>109</v>
      </c>
      <c r="AL6">
        <v>2</v>
      </c>
      <c r="AM6" t="s">
        <v>325</v>
      </c>
    </row>
    <row r="7" spans="1:40" x14ac:dyDescent="0.25">
      <c r="A7">
        <v>6</v>
      </c>
      <c r="B7" t="s">
        <v>111</v>
      </c>
      <c r="C7" t="s">
        <v>112</v>
      </c>
      <c r="D7">
        <v>45674</v>
      </c>
      <c r="E7">
        <v>0.33680555555555558</v>
      </c>
      <c r="F7">
        <v>45674</v>
      </c>
      <c r="G7" t="s">
        <v>98</v>
      </c>
      <c r="H7" t="s">
        <v>99</v>
      </c>
      <c r="I7" t="s">
        <v>113</v>
      </c>
      <c r="J7" t="s">
        <v>43</v>
      </c>
      <c r="K7" t="s">
        <v>44</v>
      </c>
      <c r="L7" t="s">
        <v>114</v>
      </c>
      <c r="M7" t="s">
        <v>115</v>
      </c>
      <c r="N7" t="s">
        <v>46</v>
      </c>
      <c r="O7">
        <v>2222222</v>
      </c>
      <c r="P7" t="s">
        <v>116</v>
      </c>
      <c r="Q7" t="s">
        <v>117</v>
      </c>
      <c r="R7" t="s">
        <v>49</v>
      </c>
      <c r="S7" t="s">
        <v>118</v>
      </c>
      <c r="T7" t="s">
        <v>66</v>
      </c>
      <c r="U7">
        <v>15</v>
      </c>
      <c r="V7">
        <v>25</v>
      </c>
      <c r="W7">
        <v>4</v>
      </c>
      <c r="X7">
        <v>10</v>
      </c>
      <c r="Z7">
        <v>8</v>
      </c>
      <c r="AB7">
        <v>5</v>
      </c>
      <c r="AD7" t="s">
        <v>52</v>
      </c>
      <c r="AE7" t="s">
        <v>53</v>
      </c>
      <c r="AF7" t="s">
        <v>54</v>
      </c>
      <c r="AG7">
        <v>45677</v>
      </c>
      <c r="AH7" t="s">
        <v>55</v>
      </c>
      <c r="AI7">
        <v>0</v>
      </c>
      <c r="AJ7" t="s">
        <v>56</v>
      </c>
      <c r="AK7" t="s">
        <v>109</v>
      </c>
      <c r="AL7" t="s">
        <v>326</v>
      </c>
      <c r="AM7" t="s">
        <v>69</v>
      </c>
    </row>
    <row r="8" spans="1:40" x14ac:dyDescent="0.25">
      <c r="A8">
        <v>7</v>
      </c>
      <c r="B8" t="s">
        <v>119</v>
      </c>
      <c r="C8" t="s">
        <v>120</v>
      </c>
      <c r="D8">
        <v>45675</v>
      </c>
      <c r="E8">
        <v>0.54166666666666663</v>
      </c>
      <c r="F8">
        <v>45675</v>
      </c>
      <c r="G8" t="s">
        <v>327</v>
      </c>
      <c r="H8" t="s">
        <v>122</v>
      </c>
      <c r="I8" t="s">
        <v>123</v>
      </c>
      <c r="J8" t="s">
        <v>43</v>
      </c>
      <c r="K8" t="s">
        <v>61</v>
      </c>
      <c r="L8" t="s">
        <v>124</v>
      </c>
      <c r="M8" t="s">
        <v>125</v>
      </c>
      <c r="N8" t="s">
        <v>63</v>
      </c>
      <c r="O8">
        <v>1111111</v>
      </c>
      <c r="P8" t="s">
        <v>126</v>
      </c>
      <c r="Q8" t="s">
        <v>127</v>
      </c>
      <c r="R8" t="s">
        <v>49</v>
      </c>
      <c r="S8" t="s">
        <v>128</v>
      </c>
      <c r="T8" t="s">
        <v>129</v>
      </c>
      <c r="U8">
        <v>200</v>
      </c>
      <c r="V8">
        <v>320</v>
      </c>
      <c r="W8">
        <v>1</v>
      </c>
      <c r="X8">
        <v>5</v>
      </c>
      <c r="Z8">
        <v>8</v>
      </c>
      <c r="AB8">
        <v>12</v>
      </c>
      <c r="AD8" t="s">
        <v>67</v>
      </c>
      <c r="AE8" t="s">
        <v>53</v>
      </c>
      <c r="AF8" t="s">
        <v>54</v>
      </c>
      <c r="AG8">
        <v>45678</v>
      </c>
      <c r="AH8" t="s">
        <v>55</v>
      </c>
      <c r="AI8">
        <v>0</v>
      </c>
      <c r="AJ8" t="s">
        <v>68</v>
      </c>
      <c r="AK8" t="s">
        <v>130</v>
      </c>
      <c r="AL8">
        <v>5</v>
      </c>
      <c r="AM8" t="s">
        <v>328</v>
      </c>
    </row>
    <row r="9" spans="1:40" x14ac:dyDescent="0.25">
      <c r="A9">
        <v>8</v>
      </c>
      <c r="B9" t="s">
        <v>131</v>
      </c>
      <c r="C9" t="s">
        <v>132</v>
      </c>
      <c r="D9">
        <v>45676</v>
      </c>
      <c r="E9">
        <v>0.63888888888888884</v>
      </c>
      <c r="F9">
        <v>45676</v>
      </c>
      <c r="G9" t="s">
        <v>121</v>
      </c>
      <c r="H9" t="s">
        <v>122</v>
      </c>
      <c r="I9" t="s">
        <v>133</v>
      </c>
      <c r="J9" t="s">
        <v>43</v>
      </c>
      <c r="K9" t="s">
        <v>14</v>
      </c>
      <c r="L9" t="s">
        <v>134</v>
      </c>
      <c r="M9" t="s">
        <v>135</v>
      </c>
      <c r="N9" t="s">
        <v>46</v>
      </c>
      <c r="O9">
        <v>9999999</v>
      </c>
      <c r="P9" t="s">
        <v>136</v>
      </c>
      <c r="Q9" t="s">
        <v>137</v>
      </c>
      <c r="R9" t="s">
        <v>49</v>
      </c>
      <c r="S9" t="s">
        <v>138</v>
      </c>
      <c r="T9" t="s">
        <v>129</v>
      </c>
      <c r="U9">
        <v>20</v>
      </c>
      <c r="V9">
        <v>35</v>
      </c>
      <c r="W9">
        <v>2</v>
      </c>
      <c r="X9">
        <v>0</v>
      </c>
      <c r="Y9">
        <v>0</v>
      </c>
      <c r="Z9">
        <v>8</v>
      </c>
      <c r="AB9">
        <v>5</v>
      </c>
      <c r="AD9" t="s">
        <v>52</v>
      </c>
      <c r="AE9" t="s">
        <v>53</v>
      </c>
      <c r="AF9" t="s">
        <v>80</v>
      </c>
      <c r="AH9" t="s">
        <v>55</v>
      </c>
      <c r="AI9">
        <v>0</v>
      </c>
      <c r="AJ9" t="s">
        <v>81</v>
      </c>
      <c r="AK9" t="s">
        <v>130</v>
      </c>
      <c r="AL9">
        <v>4</v>
      </c>
      <c r="AM9" t="s">
        <v>139</v>
      </c>
    </row>
    <row r="10" spans="1:40" x14ac:dyDescent="0.25">
      <c r="A10">
        <v>9</v>
      </c>
      <c r="B10" t="s">
        <v>329</v>
      </c>
      <c r="C10" t="s">
        <v>141</v>
      </c>
      <c r="D10">
        <v>45677</v>
      </c>
      <c r="E10">
        <v>0.73611111111111116</v>
      </c>
      <c r="F10">
        <v>45677</v>
      </c>
      <c r="G10" t="s">
        <v>142</v>
      </c>
      <c r="H10" t="s">
        <v>143</v>
      </c>
      <c r="I10" t="s">
        <v>144</v>
      </c>
      <c r="J10" t="s">
        <v>43</v>
      </c>
      <c r="K10" t="s">
        <v>44</v>
      </c>
      <c r="L10" t="s">
        <v>145</v>
      </c>
      <c r="M10" t="s">
        <v>146</v>
      </c>
      <c r="N10" t="s">
        <v>63</v>
      </c>
      <c r="O10">
        <v>8888888</v>
      </c>
      <c r="P10" t="s">
        <v>147</v>
      </c>
      <c r="Q10" t="s">
        <v>148</v>
      </c>
      <c r="R10" t="s">
        <v>49</v>
      </c>
      <c r="S10" t="s">
        <v>149</v>
      </c>
      <c r="T10" t="s">
        <v>150</v>
      </c>
      <c r="U10">
        <v>8</v>
      </c>
      <c r="V10">
        <v>15</v>
      </c>
      <c r="W10">
        <v>5</v>
      </c>
      <c r="X10">
        <v>5</v>
      </c>
      <c r="Z10">
        <v>8</v>
      </c>
      <c r="AB10">
        <v>7</v>
      </c>
      <c r="AC10">
        <v>100</v>
      </c>
      <c r="AD10" t="s">
        <v>52</v>
      </c>
      <c r="AE10" t="s">
        <v>53</v>
      </c>
      <c r="AF10" t="s">
        <v>54</v>
      </c>
      <c r="AG10">
        <v>45680</v>
      </c>
      <c r="AH10" t="s">
        <v>55</v>
      </c>
      <c r="AI10">
        <v>0</v>
      </c>
      <c r="AJ10" t="s">
        <v>94</v>
      </c>
      <c r="AK10" t="s">
        <v>151</v>
      </c>
      <c r="AL10">
        <v>5</v>
      </c>
      <c r="AM10" t="s">
        <v>152</v>
      </c>
    </row>
    <row r="11" spans="1:40" x14ac:dyDescent="0.25">
      <c r="A11">
        <v>10</v>
      </c>
      <c r="B11" t="s">
        <v>153</v>
      </c>
      <c r="C11" t="s">
        <v>154</v>
      </c>
      <c r="D11">
        <v>45678</v>
      </c>
      <c r="E11">
        <v>0.4236111111111111</v>
      </c>
      <c r="F11">
        <v>45678</v>
      </c>
      <c r="G11" t="s">
        <v>142</v>
      </c>
      <c r="H11" t="s">
        <v>143</v>
      </c>
      <c r="I11" t="s">
        <v>144</v>
      </c>
      <c r="J11" t="s">
        <v>43</v>
      </c>
      <c r="K11" t="s">
        <v>61</v>
      </c>
      <c r="L11" t="s">
        <v>155</v>
      </c>
      <c r="M11" t="s">
        <v>156</v>
      </c>
      <c r="N11" t="s">
        <v>46</v>
      </c>
      <c r="O11">
        <v>7777777</v>
      </c>
      <c r="P11" t="s">
        <v>157</v>
      </c>
      <c r="Q11" t="s">
        <v>158</v>
      </c>
      <c r="R11" t="s">
        <v>159</v>
      </c>
      <c r="S11" t="s">
        <v>160</v>
      </c>
      <c r="T11" t="s">
        <v>161</v>
      </c>
      <c r="U11">
        <v>12</v>
      </c>
      <c r="V11">
        <v>25</v>
      </c>
      <c r="W11">
        <v>2</v>
      </c>
      <c r="X11">
        <v>0</v>
      </c>
      <c r="Y11">
        <v>0</v>
      </c>
      <c r="Z11">
        <v>8</v>
      </c>
      <c r="AB11">
        <v>5</v>
      </c>
      <c r="AD11" t="s">
        <v>67</v>
      </c>
      <c r="AE11" t="s">
        <v>53</v>
      </c>
      <c r="AF11" t="s">
        <v>54</v>
      </c>
      <c r="AG11">
        <v>45681</v>
      </c>
      <c r="AH11" t="s">
        <v>55</v>
      </c>
      <c r="AI11">
        <v>0</v>
      </c>
      <c r="AJ11" t="s">
        <v>108</v>
      </c>
      <c r="AK11" t="s">
        <v>151</v>
      </c>
      <c r="AL11">
        <v>4</v>
      </c>
      <c r="AM11" t="s">
        <v>69</v>
      </c>
    </row>
    <row r="13" spans="1:40" x14ac:dyDescent="0.25">
      <c r="A13">
        <v>11</v>
      </c>
      <c r="B13" t="s">
        <v>162</v>
      </c>
      <c r="C13" t="s">
        <v>163</v>
      </c>
      <c r="D13">
        <v>45679</v>
      </c>
      <c r="E13">
        <v>0.38124999999999998</v>
      </c>
      <c r="F13">
        <v>45679</v>
      </c>
      <c r="G13" t="s">
        <v>164</v>
      </c>
      <c r="H13" t="s">
        <v>41</v>
      </c>
      <c r="I13" t="s">
        <v>165</v>
      </c>
      <c r="J13" t="s">
        <v>43</v>
      </c>
      <c r="K13" t="s">
        <v>44</v>
      </c>
      <c r="L13" t="s">
        <v>166</v>
      </c>
      <c r="M13" t="s">
        <v>167</v>
      </c>
      <c r="N13" t="s">
        <v>63</v>
      </c>
      <c r="O13">
        <v>6666666</v>
      </c>
      <c r="P13" t="s">
        <v>168</v>
      </c>
      <c r="Q13" t="s">
        <v>48</v>
      </c>
      <c r="R13" t="s">
        <v>49</v>
      </c>
      <c r="S13" t="s">
        <v>50</v>
      </c>
      <c r="T13" t="s">
        <v>51</v>
      </c>
      <c r="U13" t="s">
        <v>314</v>
      </c>
      <c r="V13">
        <v>15</v>
      </c>
      <c r="W13">
        <v>3</v>
      </c>
      <c r="X13">
        <v>5</v>
      </c>
      <c r="Z13">
        <v>8</v>
      </c>
      <c r="AB13">
        <v>5</v>
      </c>
      <c r="AD13" t="s">
        <v>52</v>
      </c>
      <c r="AE13" t="s">
        <v>53</v>
      </c>
      <c r="AF13" t="s">
        <v>54</v>
      </c>
      <c r="AG13">
        <v>45682</v>
      </c>
      <c r="AH13" t="s">
        <v>55</v>
      </c>
      <c r="AI13">
        <v>0</v>
      </c>
      <c r="AJ13" t="s">
        <v>56</v>
      </c>
      <c r="AK13" t="s">
        <v>57</v>
      </c>
      <c r="AL13">
        <v>5</v>
      </c>
      <c r="AM13" t="s">
        <v>58</v>
      </c>
    </row>
    <row r="14" spans="1:40" x14ac:dyDescent="0.25">
      <c r="A14">
        <v>12</v>
      </c>
      <c r="B14" t="s">
        <v>169</v>
      </c>
      <c r="C14" t="s">
        <v>170</v>
      </c>
      <c r="D14">
        <v>45680</v>
      </c>
      <c r="E14">
        <v>0.5</v>
      </c>
      <c r="F14">
        <v>45680</v>
      </c>
      <c r="G14" t="s">
        <v>164</v>
      </c>
      <c r="H14" t="s">
        <v>41</v>
      </c>
      <c r="I14" t="s">
        <v>165</v>
      </c>
      <c r="J14" t="s">
        <v>43</v>
      </c>
      <c r="K14" t="s">
        <v>14</v>
      </c>
      <c r="L14" t="s">
        <v>171</v>
      </c>
      <c r="M14" t="s">
        <v>172</v>
      </c>
      <c r="N14" t="s">
        <v>46</v>
      </c>
      <c r="O14">
        <v>5555555</v>
      </c>
      <c r="P14" t="s">
        <v>173</v>
      </c>
      <c r="Q14" t="s">
        <v>64</v>
      </c>
      <c r="R14" t="s">
        <v>49</v>
      </c>
      <c r="S14" t="s">
        <v>65</v>
      </c>
      <c r="T14" t="s">
        <v>66</v>
      </c>
      <c r="U14">
        <v>5</v>
      </c>
      <c r="V14">
        <v>9</v>
      </c>
      <c r="W14">
        <v>6</v>
      </c>
      <c r="X14">
        <v>10</v>
      </c>
      <c r="Z14">
        <v>8</v>
      </c>
      <c r="AB14">
        <v>0</v>
      </c>
      <c r="AD14" t="s">
        <v>52</v>
      </c>
      <c r="AE14" t="s">
        <v>53</v>
      </c>
      <c r="AF14" t="s">
        <v>54</v>
      </c>
      <c r="AG14">
        <v>45683</v>
      </c>
      <c r="AH14" t="s">
        <v>55</v>
      </c>
      <c r="AI14">
        <v>0</v>
      </c>
      <c r="AJ14" t="s">
        <v>68</v>
      </c>
      <c r="AK14" t="s">
        <v>57</v>
      </c>
      <c r="AL14">
        <v>4</v>
      </c>
      <c r="AM14" t="s">
        <v>83</v>
      </c>
    </row>
    <row r="15" spans="1:40" x14ac:dyDescent="0.25">
      <c r="A15">
        <v>13</v>
      </c>
      <c r="B15" t="s">
        <v>174</v>
      </c>
      <c r="C15" t="s">
        <v>175</v>
      </c>
      <c r="D15">
        <v>45681</v>
      </c>
      <c r="E15">
        <v>0.55069444444444449</v>
      </c>
      <c r="F15">
        <v>45681</v>
      </c>
      <c r="G15" t="s">
        <v>86</v>
      </c>
      <c r="H15" t="s">
        <v>72</v>
      </c>
      <c r="I15" t="s">
        <v>87</v>
      </c>
      <c r="J15" t="s">
        <v>43</v>
      </c>
      <c r="K15" t="s">
        <v>61</v>
      </c>
      <c r="L15" t="s">
        <v>176</v>
      </c>
      <c r="M15" t="s">
        <v>177</v>
      </c>
      <c r="N15" t="s">
        <v>63</v>
      </c>
      <c r="O15">
        <v>4444444</v>
      </c>
      <c r="P15" t="s">
        <v>178</v>
      </c>
      <c r="Q15" t="s">
        <v>76</v>
      </c>
      <c r="R15" t="s">
        <v>49</v>
      </c>
      <c r="S15" t="s">
        <v>77</v>
      </c>
      <c r="T15" t="s">
        <v>78</v>
      </c>
      <c r="U15">
        <v>70</v>
      </c>
      <c r="V15">
        <v>120</v>
      </c>
      <c r="W15">
        <v>1</v>
      </c>
      <c r="X15">
        <v>0</v>
      </c>
      <c r="Y15">
        <v>0</v>
      </c>
      <c r="Z15">
        <v>8</v>
      </c>
      <c r="AB15">
        <v>10</v>
      </c>
      <c r="AD15" t="s">
        <v>67</v>
      </c>
      <c r="AE15" t="s">
        <v>53</v>
      </c>
      <c r="AF15" t="s">
        <v>54</v>
      </c>
      <c r="AG15">
        <v>45684</v>
      </c>
      <c r="AH15" t="s">
        <v>55</v>
      </c>
      <c r="AI15">
        <v>0</v>
      </c>
      <c r="AJ15" t="s">
        <v>81</v>
      </c>
      <c r="AK15" t="s">
        <v>82</v>
      </c>
      <c r="AL15">
        <v>5</v>
      </c>
      <c r="AM15" t="s">
        <v>179</v>
      </c>
    </row>
    <row r="16" spans="1:40" x14ac:dyDescent="0.25">
      <c r="A16">
        <v>14</v>
      </c>
      <c r="B16" t="s">
        <v>180</v>
      </c>
      <c r="C16" t="s">
        <v>181</v>
      </c>
      <c r="D16">
        <v>45682</v>
      </c>
      <c r="E16">
        <v>0.59305555555555556</v>
      </c>
      <c r="F16">
        <v>45682</v>
      </c>
      <c r="G16" t="s">
        <v>86</v>
      </c>
      <c r="H16" t="s">
        <v>72</v>
      </c>
      <c r="I16" t="s">
        <v>330</v>
      </c>
      <c r="J16" t="s">
        <v>43</v>
      </c>
      <c r="K16" t="s">
        <v>44</v>
      </c>
      <c r="L16" t="s">
        <v>182</v>
      </c>
      <c r="M16" t="s">
        <v>183</v>
      </c>
      <c r="N16" t="s">
        <v>46</v>
      </c>
      <c r="O16">
        <v>3333333</v>
      </c>
      <c r="P16" t="s">
        <v>184</v>
      </c>
      <c r="Q16" t="s">
        <v>91</v>
      </c>
      <c r="R16" t="s">
        <v>49</v>
      </c>
      <c r="S16" t="s">
        <v>92</v>
      </c>
      <c r="T16" t="s">
        <v>51</v>
      </c>
      <c r="U16">
        <v>400</v>
      </c>
      <c r="V16">
        <v>550</v>
      </c>
      <c r="W16">
        <v>1</v>
      </c>
      <c r="X16">
        <v>5</v>
      </c>
      <c r="Z16">
        <v>8</v>
      </c>
      <c r="AB16">
        <v>15</v>
      </c>
      <c r="AD16" t="s">
        <v>52</v>
      </c>
      <c r="AE16" t="s">
        <v>53</v>
      </c>
      <c r="AF16" t="s">
        <v>54</v>
      </c>
      <c r="AG16">
        <v>45685</v>
      </c>
      <c r="AH16" t="s">
        <v>55</v>
      </c>
      <c r="AI16">
        <v>0</v>
      </c>
      <c r="AJ16" t="s">
        <v>94</v>
      </c>
      <c r="AK16" t="s">
        <v>82</v>
      </c>
      <c r="AL16">
        <v>5</v>
      </c>
      <c r="AM16" t="s">
        <v>95</v>
      </c>
    </row>
    <row r="17" spans="1:39" x14ac:dyDescent="0.25">
      <c r="A17">
        <v>15</v>
      </c>
      <c r="B17" t="s">
        <v>185</v>
      </c>
      <c r="C17" t="s">
        <v>186</v>
      </c>
      <c r="D17">
        <v>45683</v>
      </c>
      <c r="E17">
        <v>0.63541666666666663</v>
      </c>
      <c r="F17">
        <v>45683</v>
      </c>
      <c r="G17" t="s">
        <v>98</v>
      </c>
      <c r="H17" t="s">
        <v>99</v>
      </c>
      <c r="I17" t="s">
        <v>100</v>
      </c>
      <c r="J17" t="s">
        <v>43</v>
      </c>
      <c r="K17" t="s">
        <v>61</v>
      </c>
      <c r="L17" t="s">
        <v>187</v>
      </c>
      <c r="M17" t="s">
        <v>188</v>
      </c>
      <c r="N17" t="s">
        <v>63</v>
      </c>
      <c r="O17">
        <v>2222222</v>
      </c>
      <c r="P17" t="s">
        <v>189</v>
      </c>
      <c r="Q17" t="s">
        <v>104</v>
      </c>
      <c r="R17" t="s">
        <v>49</v>
      </c>
      <c r="S17" t="s">
        <v>105</v>
      </c>
      <c r="T17" t="s">
        <v>106</v>
      </c>
      <c r="U17">
        <v>120</v>
      </c>
      <c r="V17">
        <v>180</v>
      </c>
      <c r="W17">
        <v>2</v>
      </c>
      <c r="X17" t="s">
        <v>320</v>
      </c>
      <c r="Z17">
        <v>8</v>
      </c>
      <c r="AB17">
        <v>20</v>
      </c>
      <c r="AD17" t="s">
        <v>67</v>
      </c>
      <c r="AE17" t="s">
        <v>53</v>
      </c>
      <c r="AF17" t="s">
        <v>54</v>
      </c>
      <c r="AG17">
        <v>45686</v>
      </c>
      <c r="AH17" t="s">
        <v>55</v>
      </c>
      <c r="AI17">
        <v>0</v>
      </c>
      <c r="AJ17" t="s">
        <v>108</v>
      </c>
      <c r="AK17" t="s">
        <v>109</v>
      </c>
      <c r="AL17">
        <v>3</v>
      </c>
      <c r="AM17" t="s">
        <v>83</v>
      </c>
    </row>
    <row r="18" spans="1:39" x14ac:dyDescent="0.25">
      <c r="A18">
        <v>16</v>
      </c>
      <c r="B18" t="s">
        <v>190</v>
      </c>
      <c r="C18" t="s">
        <v>191</v>
      </c>
      <c r="D18">
        <v>45684</v>
      </c>
      <c r="E18">
        <v>0.67777777777777781</v>
      </c>
      <c r="F18">
        <v>45684</v>
      </c>
      <c r="G18" t="s">
        <v>121</v>
      </c>
      <c r="H18" t="s">
        <v>122</v>
      </c>
      <c r="I18" t="s">
        <v>123</v>
      </c>
      <c r="J18" t="s">
        <v>43</v>
      </c>
      <c r="K18" t="s">
        <v>44</v>
      </c>
      <c r="L18" t="s">
        <v>192</v>
      </c>
      <c r="M18" t="s">
        <v>193</v>
      </c>
      <c r="N18" t="s">
        <v>46</v>
      </c>
      <c r="O18">
        <v>1111111</v>
      </c>
      <c r="P18" t="s">
        <v>194</v>
      </c>
      <c r="Q18" t="s">
        <v>117</v>
      </c>
      <c r="R18" t="s">
        <v>49</v>
      </c>
      <c r="S18" t="s">
        <v>118</v>
      </c>
      <c r="T18" t="s">
        <v>66</v>
      </c>
      <c r="U18">
        <v>15</v>
      </c>
      <c r="V18">
        <v>25</v>
      </c>
      <c r="W18">
        <v>5</v>
      </c>
      <c r="X18">
        <v>10</v>
      </c>
      <c r="Z18">
        <v>8</v>
      </c>
      <c r="AB18">
        <v>5</v>
      </c>
      <c r="AD18" t="s">
        <v>52</v>
      </c>
      <c r="AE18" t="s">
        <v>53</v>
      </c>
      <c r="AF18" t="s">
        <v>54</v>
      </c>
      <c r="AG18">
        <v>45687</v>
      </c>
      <c r="AH18" t="s">
        <v>55</v>
      </c>
      <c r="AI18">
        <v>0</v>
      </c>
      <c r="AJ18" t="s">
        <v>56</v>
      </c>
      <c r="AK18" t="s">
        <v>130</v>
      </c>
      <c r="AL18">
        <v>4</v>
      </c>
      <c r="AM18" t="s">
        <v>69</v>
      </c>
    </row>
    <row r="19" spans="1:39" x14ac:dyDescent="0.25">
      <c r="A19">
        <v>17</v>
      </c>
      <c r="B19" t="s">
        <v>195</v>
      </c>
      <c r="C19" t="s">
        <v>196</v>
      </c>
      <c r="D19">
        <v>45685</v>
      </c>
      <c r="E19">
        <v>0.72013888888888888</v>
      </c>
      <c r="F19">
        <v>45685</v>
      </c>
      <c r="G19" t="s">
        <v>121</v>
      </c>
      <c r="H19" t="s">
        <v>122</v>
      </c>
      <c r="I19" t="s">
        <v>123</v>
      </c>
      <c r="J19" t="s">
        <v>43</v>
      </c>
      <c r="K19" t="s">
        <v>14</v>
      </c>
      <c r="L19" t="s">
        <v>197</v>
      </c>
      <c r="M19" t="s">
        <v>198</v>
      </c>
      <c r="N19" t="s">
        <v>63</v>
      </c>
      <c r="O19">
        <v>9999999</v>
      </c>
      <c r="P19" t="s">
        <v>199</v>
      </c>
      <c r="Q19" t="s">
        <v>127</v>
      </c>
      <c r="R19" t="s">
        <v>49</v>
      </c>
      <c r="S19" t="s">
        <v>128</v>
      </c>
      <c r="T19" t="s">
        <v>129</v>
      </c>
      <c r="U19">
        <v>200</v>
      </c>
      <c r="V19">
        <v>320</v>
      </c>
      <c r="W19">
        <v>1</v>
      </c>
      <c r="X19">
        <v>5</v>
      </c>
      <c r="Z19">
        <v>8</v>
      </c>
      <c r="AB19">
        <v>12</v>
      </c>
      <c r="AD19" t="s">
        <v>52</v>
      </c>
      <c r="AE19" t="s">
        <v>53</v>
      </c>
      <c r="AF19" t="s">
        <v>54</v>
      </c>
      <c r="AG19">
        <v>45688</v>
      </c>
      <c r="AH19" t="s">
        <v>55</v>
      </c>
      <c r="AI19">
        <v>0</v>
      </c>
      <c r="AJ19" t="s">
        <v>68</v>
      </c>
      <c r="AK19" t="s">
        <v>130</v>
      </c>
      <c r="AL19">
        <v>5</v>
      </c>
      <c r="AM19" t="s">
        <v>58</v>
      </c>
    </row>
    <row r="20" spans="1:39" x14ac:dyDescent="0.25">
      <c r="A20">
        <v>18</v>
      </c>
      <c r="B20" t="s">
        <v>200</v>
      </c>
      <c r="C20" t="s">
        <v>201</v>
      </c>
      <c r="D20">
        <v>45686</v>
      </c>
      <c r="E20">
        <v>0.76249999999999996</v>
      </c>
      <c r="F20">
        <v>45686</v>
      </c>
      <c r="G20" t="s">
        <v>142</v>
      </c>
      <c r="H20" t="s">
        <v>143</v>
      </c>
      <c r="I20" t="s">
        <v>144</v>
      </c>
      <c r="J20" t="s">
        <v>43</v>
      </c>
      <c r="K20" t="s">
        <v>44</v>
      </c>
      <c r="L20" t="s">
        <v>202</v>
      </c>
      <c r="M20" t="s">
        <v>203</v>
      </c>
      <c r="N20" t="s">
        <v>46</v>
      </c>
      <c r="O20">
        <v>8888888</v>
      </c>
      <c r="P20" t="s">
        <v>204</v>
      </c>
      <c r="Q20" t="s">
        <v>137</v>
      </c>
      <c r="R20" t="s">
        <v>49</v>
      </c>
      <c r="S20" t="s">
        <v>138</v>
      </c>
      <c r="T20" t="s">
        <v>129</v>
      </c>
      <c r="U20">
        <v>20</v>
      </c>
      <c r="V20">
        <v>35</v>
      </c>
      <c r="W20">
        <v>3</v>
      </c>
      <c r="X20">
        <v>0</v>
      </c>
      <c r="Y20">
        <v>0</v>
      </c>
      <c r="Z20">
        <v>8</v>
      </c>
      <c r="AB20">
        <v>5</v>
      </c>
      <c r="AD20" t="s">
        <v>52</v>
      </c>
      <c r="AE20" t="s">
        <v>53</v>
      </c>
      <c r="AF20" t="s">
        <v>54</v>
      </c>
      <c r="AG20">
        <v>45689</v>
      </c>
      <c r="AH20" t="s">
        <v>55</v>
      </c>
      <c r="AI20">
        <v>0</v>
      </c>
      <c r="AJ20" t="s">
        <v>81</v>
      </c>
      <c r="AK20" t="s">
        <v>151</v>
      </c>
      <c r="AL20">
        <v>4</v>
      </c>
      <c r="AM20" t="s">
        <v>139</v>
      </c>
    </row>
    <row r="21" spans="1:39" x14ac:dyDescent="0.25">
      <c r="A21">
        <v>19</v>
      </c>
      <c r="B21" t="s">
        <v>205</v>
      </c>
      <c r="C21" t="s">
        <v>206</v>
      </c>
      <c r="D21">
        <v>45687</v>
      </c>
      <c r="E21">
        <v>0.80486111111111114</v>
      </c>
      <c r="F21">
        <v>45687</v>
      </c>
      <c r="G21" t="s">
        <v>142</v>
      </c>
      <c r="H21" t="s">
        <v>143</v>
      </c>
      <c r="I21" t="s">
        <v>144</v>
      </c>
      <c r="J21" t="s">
        <v>43</v>
      </c>
      <c r="K21" t="s">
        <v>61</v>
      </c>
      <c r="L21" t="s">
        <v>207</v>
      </c>
      <c r="M21" t="s">
        <v>208</v>
      </c>
      <c r="N21" t="s">
        <v>63</v>
      </c>
      <c r="O21">
        <v>7777777</v>
      </c>
      <c r="P21" t="s">
        <v>209</v>
      </c>
      <c r="Q21" t="s">
        <v>148</v>
      </c>
      <c r="R21" t="s">
        <v>49</v>
      </c>
      <c r="S21" t="s">
        <v>149</v>
      </c>
      <c r="T21" t="s">
        <v>150</v>
      </c>
      <c r="U21">
        <v>8</v>
      </c>
      <c r="V21">
        <v>15</v>
      </c>
      <c r="W21">
        <v>4</v>
      </c>
      <c r="X21">
        <v>5</v>
      </c>
      <c r="Z21">
        <v>8</v>
      </c>
      <c r="AB21">
        <v>7</v>
      </c>
      <c r="AD21" t="s">
        <v>67</v>
      </c>
      <c r="AE21" t="s">
        <v>53</v>
      </c>
      <c r="AF21" t="s">
        <v>54</v>
      </c>
      <c r="AG21">
        <v>45690</v>
      </c>
      <c r="AH21" t="s">
        <v>55</v>
      </c>
      <c r="AI21">
        <v>0</v>
      </c>
      <c r="AJ21" t="s">
        <v>94</v>
      </c>
      <c r="AK21" t="s">
        <v>151</v>
      </c>
      <c r="AL21">
        <v>5</v>
      </c>
      <c r="AM21" t="s">
        <v>152</v>
      </c>
    </row>
    <row r="22" spans="1:39" x14ac:dyDescent="0.25">
      <c r="A22">
        <v>20</v>
      </c>
      <c r="B22" t="s">
        <v>210</v>
      </c>
      <c r="C22" t="s">
        <v>211</v>
      </c>
      <c r="D22">
        <v>45688</v>
      </c>
      <c r="E22">
        <v>0.84722222222222221</v>
      </c>
      <c r="F22">
        <v>45688</v>
      </c>
      <c r="G22" t="s">
        <v>164</v>
      </c>
      <c r="H22" t="s">
        <v>41</v>
      </c>
      <c r="I22" t="s">
        <v>165</v>
      </c>
      <c r="J22" t="s">
        <v>43</v>
      </c>
      <c r="K22" t="s">
        <v>44</v>
      </c>
      <c r="L22" t="s">
        <v>212</v>
      </c>
      <c r="M22" t="s">
        <v>213</v>
      </c>
      <c r="N22" t="s">
        <v>46</v>
      </c>
      <c r="O22">
        <v>6666666</v>
      </c>
      <c r="P22" t="s">
        <v>214</v>
      </c>
      <c r="Q22" t="s">
        <v>158</v>
      </c>
      <c r="R22" t="s">
        <v>159</v>
      </c>
      <c r="S22" t="s">
        <v>160</v>
      </c>
      <c r="T22" t="s">
        <v>161</v>
      </c>
      <c r="U22">
        <v>12</v>
      </c>
      <c r="V22">
        <v>25</v>
      </c>
      <c r="W22">
        <v>2</v>
      </c>
      <c r="X22">
        <v>0</v>
      </c>
      <c r="Y22">
        <v>0</v>
      </c>
      <c r="Z22">
        <v>8</v>
      </c>
      <c r="AB22">
        <v>5</v>
      </c>
      <c r="AD22" t="s">
        <v>52</v>
      </c>
      <c r="AE22" t="s">
        <v>53</v>
      </c>
      <c r="AF22" t="s">
        <v>54</v>
      </c>
      <c r="AG22">
        <v>45691</v>
      </c>
      <c r="AH22" t="s">
        <v>55</v>
      </c>
      <c r="AI22">
        <v>0</v>
      </c>
      <c r="AJ22" t="s">
        <v>108</v>
      </c>
      <c r="AK22" t="s">
        <v>57</v>
      </c>
      <c r="AL22">
        <v>4</v>
      </c>
      <c r="AM22" t="s">
        <v>69</v>
      </c>
    </row>
    <row r="24" spans="1:39" x14ac:dyDescent="0.25">
      <c r="A24">
        <v>21</v>
      </c>
      <c r="B24" t="s">
        <v>215</v>
      </c>
      <c r="C24" t="s">
        <v>216</v>
      </c>
      <c r="D24">
        <v>45689</v>
      </c>
      <c r="E24">
        <v>0.37569444444444444</v>
      </c>
      <c r="F24">
        <v>45689</v>
      </c>
      <c r="G24" t="s">
        <v>164</v>
      </c>
      <c r="H24" t="s">
        <v>41</v>
      </c>
      <c r="I24" t="s">
        <v>165</v>
      </c>
      <c r="J24" t="s">
        <v>43</v>
      </c>
      <c r="K24" t="s">
        <v>61</v>
      </c>
      <c r="L24" t="s">
        <v>217</v>
      </c>
      <c r="M24" t="s">
        <v>218</v>
      </c>
      <c r="N24" t="s">
        <v>63</v>
      </c>
      <c r="O24">
        <v>5555555</v>
      </c>
      <c r="P24" t="s">
        <v>219</v>
      </c>
      <c r="Q24" t="s">
        <v>48</v>
      </c>
      <c r="R24" t="s">
        <v>49</v>
      </c>
      <c r="S24" t="s">
        <v>50</v>
      </c>
      <c r="T24" t="s">
        <v>51</v>
      </c>
      <c r="U24">
        <v>10</v>
      </c>
      <c r="V24">
        <v>15</v>
      </c>
      <c r="W24">
        <v>1</v>
      </c>
      <c r="X24">
        <v>5</v>
      </c>
      <c r="Z24">
        <v>8</v>
      </c>
      <c r="AB24">
        <v>5</v>
      </c>
      <c r="AD24" t="s">
        <v>67</v>
      </c>
      <c r="AE24" t="s">
        <v>53</v>
      </c>
      <c r="AF24" t="s">
        <v>54</v>
      </c>
      <c r="AG24">
        <v>45692</v>
      </c>
      <c r="AH24" t="s">
        <v>55</v>
      </c>
      <c r="AI24">
        <v>0</v>
      </c>
      <c r="AJ24" t="s">
        <v>56</v>
      </c>
      <c r="AK24" t="s">
        <v>57</v>
      </c>
      <c r="AL24">
        <v>5</v>
      </c>
      <c r="AM24" t="s">
        <v>58</v>
      </c>
    </row>
    <row r="25" spans="1:39" x14ac:dyDescent="0.25">
      <c r="A25">
        <v>22</v>
      </c>
      <c r="B25" t="s">
        <v>220</v>
      </c>
      <c r="C25" t="s">
        <v>221</v>
      </c>
      <c r="D25">
        <v>45690</v>
      </c>
      <c r="E25">
        <v>0.41805555555555557</v>
      </c>
      <c r="F25">
        <v>45690</v>
      </c>
      <c r="G25" t="s">
        <v>86</v>
      </c>
      <c r="H25" t="s">
        <v>72</v>
      </c>
      <c r="I25" t="s">
        <v>87</v>
      </c>
      <c r="J25" t="s">
        <v>43</v>
      </c>
      <c r="K25" t="s">
        <v>44</v>
      </c>
      <c r="L25" t="s">
        <v>222</v>
      </c>
      <c r="M25" t="s">
        <v>223</v>
      </c>
      <c r="N25" t="s">
        <v>46</v>
      </c>
      <c r="O25">
        <v>4444444</v>
      </c>
      <c r="P25" t="s">
        <v>224</v>
      </c>
      <c r="Q25" t="s">
        <v>64</v>
      </c>
      <c r="R25" t="s">
        <v>49</v>
      </c>
      <c r="S25" t="s">
        <v>65</v>
      </c>
      <c r="T25" t="s">
        <v>66</v>
      </c>
      <c r="U25">
        <v>5</v>
      </c>
      <c r="V25">
        <v>9</v>
      </c>
      <c r="W25">
        <v>2</v>
      </c>
      <c r="X25">
        <v>10</v>
      </c>
      <c r="Z25">
        <v>8</v>
      </c>
      <c r="AB25">
        <v>0</v>
      </c>
      <c r="AD25" t="s">
        <v>52</v>
      </c>
      <c r="AE25" t="s">
        <v>53</v>
      </c>
      <c r="AF25" t="s">
        <v>54</v>
      </c>
      <c r="AG25">
        <v>45693</v>
      </c>
      <c r="AH25" t="s">
        <v>55</v>
      </c>
      <c r="AI25">
        <v>0</v>
      </c>
      <c r="AJ25" t="s">
        <v>68</v>
      </c>
      <c r="AK25" t="s">
        <v>82</v>
      </c>
      <c r="AL25">
        <v>4</v>
      </c>
      <c r="AM25" t="s">
        <v>83</v>
      </c>
    </row>
    <row r="26" spans="1:39" x14ac:dyDescent="0.25">
      <c r="A26">
        <v>23</v>
      </c>
      <c r="B26" t="s">
        <v>225</v>
      </c>
      <c r="C26" t="s">
        <v>226</v>
      </c>
      <c r="D26">
        <v>45691</v>
      </c>
      <c r="E26">
        <v>0.46041666666666664</v>
      </c>
      <c r="F26">
        <v>45691</v>
      </c>
      <c r="G26" t="s">
        <v>86</v>
      </c>
      <c r="H26" t="s">
        <v>72</v>
      </c>
      <c r="I26" t="s">
        <v>87</v>
      </c>
      <c r="J26" t="s">
        <v>43</v>
      </c>
      <c r="K26" t="s">
        <v>14</v>
      </c>
      <c r="L26" t="s">
        <v>227</v>
      </c>
      <c r="M26" t="s">
        <v>228</v>
      </c>
      <c r="N26" t="s">
        <v>63</v>
      </c>
      <c r="O26">
        <v>3333333</v>
      </c>
      <c r="P26" t="s">
        <v>229</v>
      </c>
      <c r="Q26" t="s">
        <v>76</v>
      </c>
      <c r="R26" t="s">
        <v>49</v>
      </c>
      <c r="S26" t="s">
        <v>77</v>
      </c>
      <c r="T26" t="s">
        <v>78</v>
      </c>
      <c r="U26">
        <v>70</v>
      </c>
      <c r="V26">
        <v>120</v>
      </c>
      <c r="W26">
        <v>1</v>
      </c>
      <c r="X26">
        <v>0</v>
      </c>
      <c r="Y26">
        <v>0</v>
      </c>
      <c r="Z26">
        <v>8</v>
      </c>
      <c r="AB26">
        <v>10</v>
      </c>
      <c r="AD26" t="s">
        <v>52</v>
      </c>
      <c r="AE26" t="s">
        <v>53</v>
      </c>
      <c r="AF26" t="s">
        <v>54</v>
      </c>
      <c r="AG26">
        <v>45694</v>
      </c>
      <c r="AH26" t="s">
        <v>55</v>
      </c>
      <c r="AI26">
        <v>0</v>
      </c>
      <c r="AJ26" t="s">
        <v>81</v>
      </c>
      <c r="AK26" t="s">
        <v>82</v>
      </c>
      <c r="AL26">
        <v>5</v>
      </c>
      <c r="AM26" t="s">
        <v>179</v>
      </c>
    </row>
    <row r="27" spans="1:39" x14ac:dyDescent="0.25">
      <c r="A27">
        <v>24</v>
      </c>
      <c r="B27" t="s">
        <v>230</v>
      </c>
      <c r="C27" t="s">
        <v>231</v>
      </c>
      <c r="D27">
        <v>45692</v>
      </c>
      <c r="E27">
        <v>0.50277777777777777</v>
      </c>
      <c r="F27">
        <v>45692</v>
      </c>
      <c r="G27" t="s">
        <v>98</v>
      </c>
      <c r="H27" t="s">
        <v>99</v>
      </c>
      <c r="I27" t="s">
        <v>100</v>
      </c>
      <c r="J27" t="s">
        <v>43</v>
      </c>
      <c r="K27" t="s">
        <v>44</v>
      </c>
      <c r="L27" t="s">
        <v>232</v>
      </c>
      <c r="M27" t="s">
        <v>233</v>
      </c>
      <c r="N27" t="s">
        <v>46</v>
      </c>
      <c r="O27">
        <v>2222222</v>
      </c>
      <c r="P27" t="s">
        <v>234</v>
      </c>
      <c r="Q27" t="s">
        <v>91</v>
      </c>
      <c r="R27" t="s">
        <v>49</v>
      </c>
      <c r="S27" t="s">
        <v>92</v>
      </c>
      <c r="T27" t="s">
        <v>51</v>
      </c>
      <c r="U27">
        <v>400</v>
      </c>
      <c r="V27">
        <v>550</v>
      </c>
      <c r="W27">
        <v>1</v>
      </c>
      <c r="X27">
        <v>5</v>
      </c>
      <c r="Z27">
        <v>8</v>
      </c>
      <c r="AB27">
        <v>15</v>
      </c>
      <c r="AD27" t="s">
        <v>52</v>
      </c>
      <c r="AE27" t="s">
        <v>53</v>
      </c>
      <c r="AF27" t="s">
        <v>54</v>
      </c>
      <c r="AG27">
        <v>45695</v>
      </c>
      <c r="AH27" t="s">
        <v>55</v>
      </c>
      <c r="AI27">
        <v>0</v>
      </c>
      <c r="AJ27" t="s">
        <v>94</v>
      </c>
      <c r="AK27" t="s">
        <v>109</v>
      </c>
      <c r="AL27">
        <v>5</v>
      </c>
      <c r="AM27" t="s">
        <v>95</v>
      </c>
    </row>
    <row r="28" spans="1:39" x14ac:dyDescent="0.25">
      <c r="A28">
        <v>25</v>
      </c>
      <c r="B28" t="s">
        <v>235</v>
      </c>
      <c r="C28" t="s">
        <v>236</v>
      </c>
      <c r="D28">
        <v>45693</v>
      </c>
      <c r="E28">
        <v>0.54513888888888884</v>
      </c>
      <c r="F28">
        <v>45693</v>
      </c>
      <c r="G28" t="s">
        <v>98</v>
      </c>
      <c r="H28" t="s">
        <v>99</v>
      </c>
      <c r="I28" t="s">
        <v>100</v>
      </c>
      <c r="J28" t="s">
        <v>43</v>
      </c>
      <c r="K28" t="s">
        <v>61</v>
      </c>
      <c r="L28" t="s">
        <v>237</v>
      </c>
      <c r="M28" t="s">
        <v>238</v>
      </c>
      <c r="N28" t="s">
        <v>63</v>
      </c>
      <c r="O28">
        <v>1111111</v>
      </c>
      <c r="P28" t="s">
        <v>239</v>
      </c>
      <c r="Q28" t="s">
        <v>104</v>
      </c>
      <c r="R28" t="s">
        <v>49</v>
      </c>
      <c r="S28" t="s">
        <v>105</v>
      </c>
      <c r="T28" t="s">
        <v>106</v>
      </c>
      <c r="U28">
        <v>120</v>
      </c>
      <c r="V28">
        <v>180</v>
      </c>
      <c r="W28">
        <v>2</v>
      </c>
      <c r="Z28">
        <v>8</v>
      </c>
      <c r="AB28">
        <v>20</v>
      </c>
      <c r="AD28" t="s">
        <v>67</v>
      </c>
      <c r="AE28" t="s">
        <v>53</v>
      </c>
      <c r="AF28" t="s">
        <v>54</v>
      </c>
      <c r="AG28">
        <v>45696</v>
      </c>
      <c r="AH28" t="s">
        <v>55</v>
      </c>
      <c r="AI28">
        <v>0</v>
      </c>
      <c r="AJ28" t="s">
        <v>108</v>
      </c>
      <c r="AK28" t="s">
        <v>109</v>
      </c>
      <c r="AL28">
        <v>3</v>
      </c>
      <c r="AM28" t="s">
        <v>83</v>
      </c>
    </row>
    <row r="30" spans="1:39" x14ac:dyDescent="0.25">
      <c r="A30">
        <v>26</v>
      </c>
      <c r="B30" t="s">
        <v>240</v>
      </c>
      <c r="C30" t="s">
        <v>241</v>
      </c>
      <c r="D30">
        <v>45694</v>
      </c>
      <c r="E30">
        <v>0.58750000000000002</v>
      </c>
      <c r="F30">
        <v>45694</v>
      </c>
      <c r="G30" t="s">
        <v>121</v>
      </c>
      <c r="H30" t="s">
        <v>122</v>
      </c>
      <c r="I30" t="s">
        <v>123</v>
      </c>
      <c r="J30" t="s">
        <v>43</v>
      </c>
      <c r="K30" t="s">
        <v>44</v>
      </c>
      <c r="L30" t="s">
        <v>242</v>
      </c>
      <c r="M30" t="s">
        <v>243</v>
      </c>
      <c r="N30" t="s">
        <v>46</v>
      </c>
      <c r="O30">
        <v>9999999</v>
      </c>
      <c r="P30" t="s">
        <v>244</v>
      </c>
      <c r="Q30" t="s">
        <v>117</v>
      </c>
      <c r="R30" t="s">
        <v>49</v>
      </c>
      <c r="S30" t="s">
        <v>118</v>
      </c>
      <c r="T30" t="s">
        <v>66</v>
      </c>
      <c r="U30">
        <v>15</v>
      </c>
      <c r="V30">
        <v>25</v>
      </c>
      <c r="W30">
        <v>3</v>
      </c>
      <c r="X30">
        <v>10</v>
      </c>
      <c r="Z30">
        <v>8</v>
      </c>
      <c r="AB30">
        <v>5</v>
      </c>
      <c r="AD30" t="s">
        <v>52</v>
      </c>
      <c r="AE30" t="s">
        <v>53</v>
      </c>
      <c r="AF30" t="s">
        <v>54</v>
      </c>
      <c r="AG30">
        <v>45697</v>
      </c>
      <c r="AH30" t="s">
        <v>55</v>
      </c>
      <c r="AI30">
        <v>0</v>
      </c>
      <c r="AJ30" t="s">
        <v>56</v>
      </c>
      <c r="AK30" t="s">
        <v>130</v>
      </c>
      <c r="AL30">
        <v>4</v>
      </c>
      <c r="AM30" t="s">
        <v>69</v>
      </c>
    </row>
    <row r="31" spans="1:39" x14ac:dyDescent="0.25">
      <c r="A31">
        <v>27</v>
      </c>
      <c r="B31" t="s">
        <v>245</v>
      </c>
      <c r="C31" t="s">
        <v>246</v>
      </c>
      <c r="D31">
        <v>45695</v>
      </c>
      <c r="E31">
        <v>0.62986111111111109</v>
      </c>
      <c r="F31">
        <v>45695</v>
      </c>
      <c r="G31" t="s">
        <v>121</v>
      </c>
      <c r="H31" t="s">
        <v>122</v>
      </c>
      <c r="I31" t="s">
        <v>123</v>
      </c>
      <c r="J31" t="s">
        <v>43</v>
      </c>
      <c r="K31" t="s">
        <v>61</v>
      </c>
      <c r="L31" t="s">
        <v>247</v>
      </c>
      <c r="M31" t="s">
        <v>248</v>
      </c>
      <c r="N31" t="s">
        <v>63</v>
      </c>
      <c r="O31">
        <v>8888888</v>
      </c>
      <c r="P31" t="s">
        <v>249</v>
      </c>
      <c r="Q31" t="s">
        <v>127</v>
      </c>
      <c r="R31" t="s">
        <v>49</v>
      </c>
      <c r="S31" t="s">
        <v>128</v>
      </c>
      <c r="T31" t="s">
        <v>129</v>
      </c>
      <c r="U31">
        <v>200</v>
      </c>
      <c r="V31">
        <v>320</v>
      </c>
      <c r="W31">
        <v>1</v>
      </c>
      <c r="X31">
        <v>5</v>
      </c>
      <c r="Z31">
        <v>8</v>
      </c>
      <c r="AB31">
        <v>12</v>
      </c>
      <c r="AD31" t="s">
        <v>67</v>
      </c>
      <c r="AE31" t="s">
        <v>53</v>
      </c>
      <c r="AF31" t="s">
        <v>54</v>
      </c>
      <c r="AG31">
        <v>45698</v>
      </c>
      <c r="AH31" t="s">
        <v>55</v>
      </c>
      <c r="AI31">
        <v>0</v>
      </c>
      <c r="AJ31" t="s">
        <v>68</v>
      </c>
      <c r="AK31" t="s">
        <v>130</v>
      </c>
      <c r="AL31">
        <v>5</v>
      </c>
      <c r="AM31" t="s">
        <v>58</v>
      </c>
    </row>
    <row r="32" spans="1:39" x14ac:dyDescent="0.25">
      <c r="A32">
        <v>28</v>
      </c>
      <c r="B32" t="s">
        <v>250</v>
      </c>
      <c r="C32" t="s">
        <v>251</v>
      </c>
      <c r="D32">
        <v>45696</v>
      </c>
      <c r="E32">
        <v>0.67222222222222228</v>
      </c>
      <c r="F32">
        <v>45696</v>
      </c>
      <c r="G32" t="s">
        <v>142</v>
      </c>
      <c r="H32" t="s">
        <v>143</v>
      </c>
      <c r="I32" t="s">
        <v>144</v>
      </c>
      <c r="J32" t="s">
        <v>43</v>
      </c>
      <c r="K32" t="s">
        <v>44</v>
      </c>
      <c r="L32" t="s">
        <v>252</v>
      </c>
      <c r="M32" t="s">
        <v>253</v>
      </c>
      <c r="N32" t="s">
        <v>46</v>
      </c>
      <c r="O32">
        <v>7777777</v>
      </c>
      <c r="P32" t="s">
        <v>254</v>
      </c>
      <c r="Q32" t="s">
        <v>137</v>
      </c>
      <c r="R32" t="s">
        <v>49</v>
      </c>
      <c r="S32" t="s">
        <v>138</v>
      </c>
      <c r="T32" t="s">
        <v>129</v>
      </c>
      <c r="U32">
        <v>20</v>
      </c>
      <c r="V32">
        <v>35</v>
      </c>
      <c r="W32">
        <v>2</v>
      </c>
      <c r="X32">
        <v>0</v>
      </c>
      <c r="Y32">
        <v>0</v>
      </c>
      <c r="Z32">
        <v>8</v>
      </c>
      <c r="AB32">
        <v>5</v>
      </c>
      <c r="AD32" t="s">
        <v>52</v>
      </c>
      <c r="AE32" t="s">
        <v>53</v>
      </c>
      <c r="AF32" t="s">
        <v>54</v>
      </c>
      <c r="AG32">
        <v>45699</v>
      </c>
      <c r="AH32" t="s">
        <v>55</v>
      </c>
      <c r="AI32">
        <v>0</v>
      </c>
      <c r="AJ32" t="s">
        <v>81</v>
      </c>
      <c r="AK32" t="s">
        <v>151</v>
      </c>
      <c r="AL32">
        <v>4</v>
      </c>
      <c r="AM32" t="s">
        <v>139</v>
      </c>
    </row>
    <row r="33" spans="1:39" x14ac:dyDescent="0.25">
      <c r="A33">
        <v>29</v>
      </c>
      <c r="B33" t="s">
        <v>255</v>
      </c>
      <c r="C33" t="s">
        <v>256</v>
      </c>
      <c r="D33">
        <v>45697</v>
      </c>
      <c r="E33">
        <v>0.71458333333333335</v>
      </c>
      <c r="F33">
        <v>45697</v>
      </c>
      <c r="G33" t="s">
        <v>142</v>
      </c>
      <c r="H33" t="s">
        <v>143</v>
      </c>
      <c r="I33" t="s">
        <v>144</v>
      </c>
      <c r="J33" t="s">
        <v>43</v>
      </c>
      <c r="K33" t="s">
        <v>14</v>
      </c>
      <c r="L33" t="s">
        <v>257</v>
      </c>
      <c r="M33" t="s">
        <v>258</v>
      </c>
      <c r="N33" t="s">
        <v>63</v>
      </c>
      <c r="O33">
        <v>6666666</v>
      </c>
      <c r="P33" t="s">
        <v>259</v>
      </c>
      <c r="Q33" t="s">
        <v>148</v>
      </c>
      <c r="R33" t="s">
        <v>49</v>
      </c>
      <c r="S33" t="s">
        <v>149</v>
      </c>
      <c r="T33" t="s">
        <v>150</v>
      </c>
      <c r="U33">
        <v>8</v>
      </c>
      <c r="V33">
        <v>15</v>
      </c>
      <c r="W33">
        <v>6</v>
      </c>
      <c r="X33">
        <v>5</v>
      </c>
      <c r="Z33">
        <v>8</v>
      </c>
      <c r="AB33">
        <v>7</v>
      </c>
      <c r="AD33" t="s">
        <v>52</v>
      </c>
      <c r="AE33" t="s">
        <v>53</v>
      </c>
      <c r="AF33" t="s">
        <v>54</v>
      </c>
      <c r="AG33">
        <v>45700</v>
      </c>
      <c r="AH33" t="s">
        <v>55</v>
      </c>
      <c r="AI33">
        <v>0</v>
      </c>
      <c r="AJ33" t="s">
        <v>94</v>
      </c>
      <c r="AK33" t="s">
        <v>151</v>
      </c>
      <c r="AL33">
        <v>5</v>
      </c>
      <c r="AM33" t="s">
        <v>152</v>
      </c>
    </row>
    <row r="34" spans="1:39" x14ac:dyDescent="0.25">
      <c r="A34">
        <v>30</v>
      </c>
      <c r="B34" t="s">
        <v>260</v>
      </c>
      <c r="C34" t="s">
        <v>261</v>
      </c>
      <c r="D34">
        <v>45698</v>
      </c>
      <c r="E34">
        <v>0.75694444444444442</v>
      </c>
      <c r="F34">
        <v>45698</v>
      </c>
      <c r="G34" t="s">
        <v>164</v>
      </c>
      <c r="H34" t="s">
        <v>41</v>
      </c>
      <c r="I34" t="s">
        <v>165</v>
      </c>
      <c r="J34" t="s">
        <v>43</v>
      </c>
      <c r="K34" t="s">
        <v>44</v>
      </c>
      <c r="L34" t="s">
        <v>262</v>
      </c>
      <c r="M34" t="s">
        <v>263</v>
      </c>
      <c r="N34" t="s">
        <v>46</v>
      </c>
      <c r="O34">
        <v>5555555</v>
      </c>
      <c r="P34" t="s">
        <v>264</v>
      </c>
      <c r="Q34" t="s">
        <v>158</v>
      </c>
      <c r="R34" t="s">
        <v>159</v>
      </c>
      <c r="S34" t="s">
        <v>160</v>
      </c>
      <c r="T34" t="s">
        <v>161</v>
      </c>
      <c r="U34">
        <v>12</v>
      </c>
      <c r="V34">
        <v>25</v>
      </c>
      <c r="W34">
        <v>3</v>
      </c>
      <c r="X34">
        <v>0</v>
      </c>
      <c r="Y34">
        <v>0</v>
      </c>
      <c r="Z34">
        <v>8</v>
      </c>
      <c r="AB34">
        <v>5</v>
      </c>
      <c r="AD34" t="s">
        <v>52</v>
      </c>
      <c r="AE34" t="s">
        <v>53</v>
      </c>
      <c r="AF34" t="s">
        <v>54</v>
      </c>
      <c r="AG34">
        <v>45701</v>
      </c>
      <c r="AH34" t="s">
        <v>55</v>
      </c>
      <c r="AI34">
        <v>0</v>
      </c>
      <c r="AJ34" t="s">
        <v>108</v>
      </c>
      <c r="AK34" t="s">
        <v>57</v>
      </c>
      <c r="AL34">
        <v>4</v>
      </c>
      <c r="AM34" t="s">
        <v>69</v>
      </c>
    </row>
    <row r="36" spans="1:39" x14ac:dyDescent="0.25">
      <c r="A36">
        <v>31</v>
      </c>
      <c r="B36" t="s">
        <v>331</v>
      </c>
      <c r="C36" t="s">
        <v>332</v>
      </c>
      <c r="D36">
        <v>45699</v>
      </c>
      <c r="E36">
        <v>0.7993055555555556</v>
      </c>
      <c r="F36">
        <v>45699</v>
      </c>
      <c r="G36" t="s">
        <v>164</v>
      </c>
      <c r="H36" t="s">
        <v>41</v>
      </c>
      <c r="I36" t="s">
        <v>165</v>
      </c>
      <c r="J36" t="s">
        <v>43</v>
      </c>
      <c r="K36" t="s">
        <v>61</v>
      </c>
      <c r="L36" t="s">
        <v>333</v>
      </c>
      <c r="M36" t="s">
        <v>334</v>
      </c>
      <c r="N36" t="s">
        <v>63</v>
      </c>
      <c r="O36">
        <v>4444444</v>
      </c>
      <c r="P36" t="s">
        <v>335</v>
      </c>
      <c r="Q36" t="s">
        <v>48</v>
      </c>
      <c r="R36" t="s">
        <v>49</v>
      </c>
      <c r="S36" t="s">
        <v>50</v>
      </c>
      <c r="T36" t="s">
        <v>51</v>
      </c>
      <c r="U36">
        <v>10</v>
      </c>
      <c r="V36">
        <v>15</v>
      </c>
      <c r="W36">
        <v>2</v>
      </c>
      <c r="X36">
        <v>5</v>
      </c>
      <c r="Z36">
        <v>8</v>
      </c>
      <c r="AB36">
        <v>5</v>
      </c>
      <c r="AD36" t="s">
        <v>67</v>
      </c>
      <c r="AE36" t="s">
        <v>53</v>
      </c>
      <c r="AF36" t="s">
        <v>54</v>
      </c>
      <c r="AG36">
        <v>45702</v>
      </c>
      <c r="AH36" t="s">
        <v>55</v>
      </c>
      <c r="AI36">
        <v>0</v>
      </c>
      <c r="AJ36" t="s">
        <v>56</v>
      </c>
      <c r="AK36" t="s">
        <v>57</v>
      </c>
      <c r="AL36">
        <v>5</v>
      </c>
      <c r="AM36" t="s">
        <v>58</v>
      </c>
    </row>
    <row r="37" spans="1:39" x14ac:dyDescent="0.25">
      <c r="A37">
        <v>32</v>
      </c>
      <c r="B37" t="s">
        <v>331</v>
      </c>
      <c r="C37" t="s">
        <v>332</v>
      </c>
      <c r="D37">
        <v>45699</v>
      </c>
      <c r="E37">
        <v>0.7993055555555556</v>
      </c>
      <c r="F37">
        <v>45699</v>
      </c>
      <c r="G37" t="s">
        <v>164</v>
      </c>
      <c r="H37" t="s">
        <v>41</v>
      </c>
      <c r="I37" t="s">
        <v>165</v>
      </c>
      <c r="J37" t="s">
        <v>43</v>
      </c>
      <c r="K37" t="s">
        <v>61</v>
      </c>
      <c r="L37" t="s">
        <v>333</v>
      </c>
      <c r="M37" t="s">
        <v>334</v>
      </c>
      <c r="N37" t="s">
        <v>63</v>
      </c>
      <c r="O37">
        <v>4444444</v>
      </c>
      <c r="P37" t="s">
        <v>335</v>
      </c>
      <c r="Q37" t="s">
        <v>48</v>
      </c>
      <c r="R37" t="s">
        <v>49</v>
      </c>
      <c r="S37" t="s">
        <v>50</v>
      </c>
      <c r="T37" t="s">
        <v>51</v>
      </c>
      <c r="U37">
        <v>10</v>
      </c>
      <c r="V37">
        <v>15</v>
      </c>
      <c r="W37">
        <v>2</v>
      </c>
      <c r="X37">
        <v>5</v>
      </c>
      <c r="Z37">
        <v>8</v>
      </c>
      <c r="AB37">
        <v>5</v>
      </c>
      <c r="AD37" t="s">
        <v>67</v>
      </c>
      <c r="AE37" t="s">
        <v>53</v>
      </c>
      <c r="AF37" t="s">
        <v>54</v>
      </c>
      <c r="AG37">
        <v>45702</v>
      </c>
      <c r="AH37" t="s">
        <v>55</v>
      </c>
      <c r="AI37">
        <v>0</v>
      </c>
      <c r="AJ37" t="s">
        <v>56</v>
      </c>
      <c r="AK37" t="s">
        <v>57</v>
      </c>
      <c r="AL37">
        <v>5</v>
      </c>
      <c r="AM37" t="s">
        <v>336</v>
      </c>
    </row>
    <row r="38" spans="1:39" x14ac:dyDescent="0.25">
      <c r="A38">
        <v>33</v>
      </c>
      <c r="B38" t="s">
        <v>337</v>
      </c>
      <c r="C38" t="s">
        <v>338</v>
      </c>
      <c r="D38">
        <v>45701</v>
      </c>
      <c r="E38">
        <v>0.88402777777777775</v>
      </c>
      <c r="F38">
        <v>45701</v>
      </c>
      <c r="G38" t="s">
        <v>86</v>
      </c>
      <c r="H38" t="s">
        <v>72</v>
      </c>
      <c r="I38" t="s">
        <v>87</v>
      </c>
      <c r="J38" t="s">
        <v>43</v>
      </c>
      <c r="K38" t="s">
        <v>61</v>
      </c>
      <c r="L38" t="s">
        <v>339</v>
      </c>
      <c r="M38" t="s">
        <v>340</v>
      </c>
      <c r="N38" t="s">
        <v>63</v>
      </c>
      <c r="O38">
        <v>2222222</v>
      </c>
      <c r="P38" t="s">
        <v>341</v>
      </c>
      <c r="Q38" t="s">
        <v>76</v>
      </c>
      <c r="R38" t="s">
        <v>49</v>
      </c>
      <c r="S38" t="s">
        <v>77</v>
      </c>
      <c r="T38" t="s">
        <v>78</v>
      </c>
      <c r="U38">
        <v>70</v>
      </c>
      <c r="V38">
        <v>120</v>
      </c>
      <c r="W38">
        <v>1</v>
      </c>
      <c r="X38">
        <v>0</v>
      </c>
      <c r="Y38">
        <v>0</v>
      </c>
      <c r="Z38">
        <v>8</v>
      </c>
      <c r="AB38">
        <v>10</v>
      </c>
      <c r="AD38" t="s">
        <v>67</v>
      </c>
      <c r="AE38" t="s">
        <v>53</v>
      </c>
      <c r="AF38" t="s">
        <v>54</v>
      </c>
      <c r="AG38">
        <v>45704</v>
      </c>
      <c r="AH38" t="s">
        <v>55</v>
      </c>
      <c r="AI38">
        <v>0</v>
      </c>
      <c r="AJ38" t="s">
        <v>81</v>
      </c>
      <c r="AK38" t="s">
        <v>82</v>
      </c>
      <c r="AL38">
        <v>5</v>
      </c>
      <c r="AM38" t="s">
        <v>179</v>
      </c>
    </row>
    <row r="39" spans="1:39" x14ac:dyDescent="0.25">
      <c r="A39">
        <v>34</v>
      </c>
      <c r="B39" t="s">
        <v>342</v>
      </c>
      <c r="C39" t="s">
        <v>343</v>
      </c>
      <c r="D39">
        <v>45702</v>
      </c>
      <c r="E39">
        <v>0.92638888888888893</v>
      </c>
      <c r="F39">
        <v>45702</v>
      </c>
      <c r="G39" t="s">
        <v>98</v>
      </c>
      <c r="H39" t="s">
        <v>99</v>
      </c>
      <c r="I39" t="s">
        <v>100</v>
      </c>
      <c r="J39" t="s">
        <v>43</v>
      </c>
      <c r="K39" t="s">
        <v>44</v>
      </c>
      <c r="L39" t="s">
        <v>344</v>
      </c>
      <c r="M39" t="s">
        <v>345</v>
      </c>
      <c r="N39" t="s">
        <v>46</v>
      </c>
      <c r="O39">
        <v>1111111</v>
      </c>
      <c r="P39" t="s">
        <v>346</v>
      </c>
      <c r="Q39" t="s">
        <v>91</v>
      </c>
      <c r="R39" t="s">
        <v>49</v>
      </c>
      <c r="S39" t="s">
        <v>92</v>
      </c>
      <c r="T39" t="s">
        <v>51</v>
      </c>
      <c r="U39">
        <v>400</v>
      </c>
      <c r="V39">
        <v>550</v>
      </c>
      <c r="W39">
        <v>1</v>
      </c>
      <c r="X39">
        <v>5</v>
      </c>
      <c r="Z39">
        <v>8</v>
      </c>
      <c r="AB39">
        <v>15</v>
      </c>
      <c r="AD39" t="s">
        <v>52</v>
      </c>
      <c r="AE39" t="s">
        <v>53</v>
      </c>
      <c r="AF39" t="s">
        <v>54</v>
      </c>
      <c r="AG39">
        <v>45705</v>
      </c>
      <c r="AH39" t="s">
        <v>55</v>
      </c>
      <c r="AI39">
        <v>0</v>
      </c>
      <c r="AJ39" t="s">
        <v>94</v>
      </c>
      <c r="AK39" t="s">
        <v>109</v>
      </c>
      <c r="AL39">
        <v>5</v>
      </c>
      <c r="AM39" t="s">
        <v>95</v>
      </c>
    </row>
    <row r="40" spans="1:39" x14ac:dyDescent="0.25">
      <c r="A40">
        <v>35</v>
      </c>
      <c r="B40" t="s">
        <v>347</v>
      </c>
      <c r="C40" t="s">
        <v>348</v>
      </c>
      <c r="D40">
        <v>45703</v>
      </c>
      <c r="E40">
        <v>0.34375</v>
      </c>
      <c r="F40">
        <v>45703</v>
      </c>
      <c r="G40" t="s">
        <v>98</v>
      </c>
      <c r="H40" t="s">
        <v>99</v>
      </c>
      <c r="I40" t="s">
        <v>100</v>
      </c>
      <c r="J40" t="s">
        <v>43</v>
      </c>
      <c r="K40" t="s">
        <v>61</v>
      </c>
      <c r="L40" t="s">
        <v>349</v>
      </c>
      <c r="M40" t="s">
        <v>350</v>
      </c>
      <c r="N40" t="s">
        <v>63</v>
      </c>
      <c r="O40">
        <v>9999999</v>
      </c>
      <c r="P40" t="s">
        <v>351</v>
      </c>
      <c r="Q40" t="s">
        <v>104</v>
      </c>
      <c r="R40" t="s">
        <v>49</v>
      </c>
      <c r="S40" t="s">
        <v>105</v>
      </c>
      <c r="T40" t="s">
        <v>106</v>
      </c>
      <c r="U40">
        <v>120</v>
      </c>
      <c r="V40">
        <v>180</v>
      </c>
      <c r="W40">
        <v>2</v>
      </c>
      <c r="Z40">
        <v>8</v>
      </c>
      <c r="AB40">
        <v>20</v>
      </c>
      <c r="AD40" t="s">
        <v>67</v>
      </c>
      <c r="AE40" t="s">
        <v>53</v>
      </c>
      <c r="AF40" t="s">
        <v>54</v>
      </c>
      <c r="AG40">
        <v>45706</v>
      </c>
      <c r="AH40" t="s">
        <v>55</v>
      </c>
      <c r="AI40">
        <v>0</v>
      </c>
      <c r="AJ40" t="s">
        <v>108</v>
      </c>
      <c r="AK40" t="s">
        <v>109</v>
      </c>
      <c r="AL40">
        <v>3</v>
      </c>
      <c r="AM40" t="s">
        <v>83</v>
      </c>
    </row>
    <row r="41" spans="1:39" x14ac:dyDescent="0.25">
      <c r="A41">
        <v>36</v>
      </c>
      <c r="B41" t="s">
        <v>352</v>
      </c>
      <c r="C41" t="s">
        <v>353</v>
      </c>
      <c r="D41">
        <v>45704</v>
      </c>
      <c r="E41">
        <v>0.38611111111111113</v>
      </c>
      <c r="F41">
        <v>45704</v>
      </c>
      <c r="G41" t="s">
        <v>121</v>
      </c>
      <c r="H41" t="s">
        <v>122</v>
      </c>
      <c r="I41" t="s">
        <v>123</v>
      </c>
      <c r="J41" t="s">
        <v>43</v>
      </c>
      <c r="K41" t="s">
        <v>44</v>
      </c>
      <c r="L41" t="s">
        <v>354</v>
      </c>
      <c r="M41" t="s">
        <v>355</v>
      </c>
      <c r="N41" t="s">
        <v>46</v>
      </c>
      <c r="O41">
        <v>8888888</v>
      </c>
      <c r="P41" t="s">
        <v>356</v>
      </c>
      <c r="Q41" t="s">
        <v>117</v>
      </c>
      <c r="R41" t="s">
        <v>49</v>
      </c>
      <c r="S41" t="s">
        <v>118</v>
      </c>
      <c r="T41" t="s">
        <v>66</v>
      </c>
      <c r="U41">
        <v>15</v>
      </c>
      <c r="V41">
        <v>25</v>
      </c>
      <c r="W41">
        <v>4</v>
      </c>
      <c r="X41">
        <v>10</v>
      </c>
      <c r="Z41">
        <v>8</v>
      </c>
      <c r="AB41">
        <v>5</v>
      </c>
      <c r="AD41" t="s">
        <v>52</v>
      </c>
      <c r="AE41" t="s">
        <v>53</v>
      </c>
      <c r="AF41" t="s">
        <v>54</v>
      </c>
      <c r="AG41">
        <v>45707</v>
      </c>
      <c r="AH41" t="s">
        <v>55</v>
      </c>
      <c r="AI41">
        <v>0</v>
      </c>
      <c r="AJ41" t="s">
        <v>56</v>
      </c>
      <c r="AK41" t="s">
        <v>130</v>
      </c>
      <c r="AL41">
        <v>4</v>
      </c>
      <c r="AM41" t="s">
        <v>69</v>
      </c>
    </row>
    <row r="42" spans="1:39" x14ac:dyDescent="0.25">
      <c r="A42">
        <v>37</v>
      </c>
      <c r="B42" t="s">
        <v>357</v>
      </c>
      <c r="C42" t="s">
        <v>358</v>
      </c>
      <c r="D42">
        <v>45705</v>
      </c>
      <c r="E42">
        <v>0.4284722222222222</v>
      </c>
      <c r="F42">
        <v>45705</v>
      </c>
      <c r="G42" t="s">
        <v>121</v>
      </c>
      <c r="H42" t="s">
        <v>122</v>
      </c>
      <c r="I42" t="s">
        <v>123</v>
      </c>
      <c r="J42" t="s">
        <v>43</v>
      </c>
      <c r="K42" t="s">
        <v>61</v>
      </c>
      <c r="L42" t="s">
        <v>359</v>
      </c>
      <c r="M42" t="s">
        <v>360</v>
      </c>
      <c r="N42" t="s">
        <v>63</v>
      </c>
      <c r="O42">
        <v>7777777</v>
      </c>
      <c r="P42" t="s">
        <v>361</v>
      </c>
      <c r="Q42" t="s">
        <v>127</v>
      </c>
      <c r="R42" t="s">
        <v>49</v>
      </c>
      <c r="S42" t="s">
        <v>128</v>
      </c>
      <c r="T42" t="s">
        <v>129</v>
      </c>
      <c r="U42">
        <v>200</v>
      </c>
      <c r="V42">
        <v>320</v>
      </c>
      <c r="W42">
        <v>1</v>
      </c>
      <c r="X42">
        <v>5</v>
      </c>
      <c r="Z42">
        <v>8</v>
      </c>
      <c r="AB42">
        <v>12</v>
      </c>
      <c r="AD42" t="s">
        <v>67</v>
      </c>
      <c r="AE42" t="s">
        <v>53</v>
      </c>
      <c r="AF42" t="s">
        <v>54</v>
      </c>
      <c r="AG42">
        <v>45708</v>
      </c>
      <c r="AH42" t="s">
        <v>55</v>
      </c>
      <c r="AI42">
        <v>0</v>
      </c>
      <c r="AJ42" t="s">
        <v>68</v>
      </c>
      <c r="AK42" t="s">
        <v>130</v>
      </c>
      <c r="AL42">
        <v>5</v>
      </c>
      <c r="AM42" t="s">
        <v>58</v>
      </c>
    </row>
    <row r="43" spans="1:39" x14ac:dyDescent="0.25">
      <c r="A43">
        <v>38</v>
      </c>
      <c r="B43" t="s">
        <v>362</v>
      </c>
      <c r="C43" t="s">
        <v>363</v>
      </c>
      <c r="D43">
        <v>45706</v>
      </c>
      <c r="E43">
        <v>0.47083333333333333</v>
      </c>
      <c r="F43">
        <v>45706</v>
      </c>
      <c r="G43" t="s">
        <v>142</v>
      </c>
      <c r="H43" t="s">
        <v>143</v>
      </c>
      <c r="I43" t="s">
        <v>144</v>
      </c>
      <c r="J43" t="s">
        <v>43</v>
      </c>
      <c r="K43" t="s">
        <v>44</v>
      </c>
      <c r="L43" t="s">
        <v>364</v>
      </c>
      <c r="M43" t="s">
        <v>365</v>
      </c>
      <c r="N43" t="s">
        <v>46</v>
      </c>
      <c r="O43">
        <v>6666666</v>
      </c>
      <c r="P43" t="s">
        <v>366</v>
      </c>
      <c r="Q43" t="s">
        <v>137</v>
      </c>
      <c r="R43" t="s">
        <v>49</v>
      </c>
      <c r="S43" t="s">
        <v>138</v>
      </c>
      <c r="T43" t="s">
        <v>129</v>
      </c>
      <c r="U43">
        <v>20</v>
      </c>
      <c r="V43">
        <v>35</v>
      </c>
      <c r="W43">
        <v>5</v>
      </c>
      <c r="X43">
        <v>0</v>
      </c>
      <c r="Y43">
        <v>0</v>
      </c>
      <c r="Z43">
        <v>8</v>
      </c>
      <c r="AB43">
        <v>5</v>
      </c>
      <c r="AD43" t="s">
        <v>52</v>
      </c>
      <c r="AE43" t="s">
        <v>53</v>
      </c>
      <c r="AF43" t="s">
        <v>54</v>
      </c>
      <c r="AG43">
        <v>45709</v>
      </c>
      <c r="AH43" t="s">
        <v>55</v>
      </c>
      <c r="AI43">
        <v>0</v>
      </c>
      <c r="AJ43" t="s">
        <v>81</v>
      </c>
      <c r="AK43" t="s">
        <v>151</v>
      </c>
      <c r="AL43">
        <v>4</v>
      </c>
      <c r="AM43" t="s">
        <v>139</v>
      </c>
    </row>
    <row r="44" spans="1:39" x14ac:dyDescent="0.25">
      <c r="A44">
        <v>39</v>
      </c>
      <c r="B44" t="s">
        <v>367</v>
      </c>
      <c r="C44" t="s">
        <v>368</v>
      </c>
      <c r="D44">
        <v>45707</v>
      </c>
      <c r="E44">
        <v>0.5131944444444444</v>
      </c>
      <c r="F44">
        <v>45707</v>
      </c>
      <c r="G44" t="s">
        <v>142</v>
      </c>
      <c r="H44" t="s">
        <v>143</v>
      </c>
      <c r="I44" t="s">
        <v>144</v>
      </c>
      <c r="J44" t="s">
        <v>43</v>
      </c>
      <c r="K44" t="s">
        <v>61</v>
      </c>
      <c r="L44" t="s">
        <v>369</v>
      </c>
      <c r="M44" t="s">
        <v>370</v>
      </c>
      <c r="N44" t="s">
        <v>63</v>
      </c>
      <c r="O44">
        <v>5555555</v>
      </c>
      <c r="P44" t="s">
        <v>371</v>
      </c>
      <c r="Q44" t="s">
        <v>148</v>
      </c>
      <c r="R44" t="s">
        <v>49</v>
      </c>
      <c r="S44" t="s">
        <v>149</v>
      </c>
      <c r="T44" t="s">
        <v>150</v>
      </c>
      <c r="U44">
        <v>8</v>
      </c>
      <c r="V44">
        <v>15</v>
      </c>
      <c r="W44">
        <v>3</v>
      </c>
      <c r="X44">
        <v>5</v>
      </c>
      <c r="Z44">
        <v>8</v>
      </c>
      <c r="AB44">
        <v>7</v>
      </c>
      <c r="AD44" t="s">
        <v>67</v>
      </c>
      <c r="AE44" t="s">
        <v>53</v>
      </c>
      <c r="AF44" t="s">
        <v>54</v>
      </c>
      <c r="AG44">
        <v>45710</v>
      </c>
      <c r="AH44" t="s">
        <v>55</v>
      </c>
      <c r="AI44">
        <v>0</v>
      </c>
      <c r="AJ44" t="s">
        <v>94</v>
      </c>
      <c r="AK44" t="s">
        <v>151</v>
      </c>
      <c r="AL44">
        <v>5</v>
      </c>
      <c r="AM44" t="s">
        <v>152</v>
      </c>
    </row>
    <row r="45" spans="1:39" x14ac:dyDescent="0.25">
      <c r="A45">
        <v>40</v>
      </c>
      <c r="B45" t="s">
        <v>372</v>
      </c>
      <c r="C45" t="s">
        <v>373</v>
      </c>
      <c r="D45">
        <v>45708</v>
      </c>
      <c r="E45">
        <v>0.55555555555555558</v>
      </c>
      <c r="F45">
        <v>45708</v>
      </c>
      <c r="G45" t="s">
        <v>164</v>
      </c>
      <c r="H45" t="s">
        <v>41</v>
      </c>
      <c r="I45" t="s">
        <v>165</v>
      </c>
      <c r="J45" t="s">
        <v>43</v>
      </c>
      <c r="K45" t="s">
        <v>44</v>
      </c>
      <c r="L45" t="s">
        <v>374</v>
      </c>
      <c r="M45" t="s">
        <v>375</v>
      </c>
      <c r="N45" t="s">
        <v>46</v>
      </c>
      <c r="O45">
        <v>4444444</v>
      </c>
      <c r="P45" t="s">
        <v>376</v>
      </c>
      <c r="Q45" t="s">
        <v>158</v>
      </c>
      <c r="R45" t="s">
        <v>159</v>
      </c>
      <c r="S45" t="s">
        <v>160</v>
      </c>
      <c r="T45" t="s">
        <v>161</v>
      </c>
      <c r="U45">
        <v>12</v>
      </c>
      <c r="V45">
        <v>25</v>
      </c>
      <c r="W45">
        <v>2</v>
      </c>
      <c r="X45">
        <v>0</v>
      </c>
      <c r="Y45">
        <v>0</v>
      </c>
      <c r="Z45">
        <v>8</v>
      </c>
      <c r="AB45">
        <v>5</v>
      </c>
      <c r="AD45" t="s">
        <v>52</v>
      </c>
      <c r="AE45" t="s">
        <v>53</v>
      </c>
      <c r="AF45" t="s">
        <v>54</v>
      </c>
      <c r="AG45">
        <v>45711</v>
      </c>
      <c r="AH45" t="s">
        <v>55</v>
      </c>
      <c r="AI45">
        <v>0</v>
      </c>
      <c r="AJ45" t="s">
        <v>108</v>
      </c>
      <c r="AK45" t="s">
        <v>57</v>
      </c>
      <c r="AL45">
        <v>4</v>
      </c>
      <c r="AM4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Boy</dc:creator>
  <cp:lastModifiedBy>Digital Boy</cp:lastModifiedBy>
  <cp:lastPrinted>2026-01-31T16:52:19Z</cp:lastPrinted>
  <dcterms:created xsi:type="dcterms:W3CDTF">2026-01-29T16:12:02Z</dcterms:created>
  <dcterms:modified xsi:type="dcterms:W3CDTF">2026-02-01T19:03:10Z</dcterms:modified>
</cp:coreProperties>
</file>