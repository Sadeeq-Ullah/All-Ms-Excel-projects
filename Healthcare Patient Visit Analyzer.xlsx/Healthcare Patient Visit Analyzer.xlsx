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R COMPUTER\Downloads\Documents\Excel space\"/>
    </mc:Choice>
  </mc:AlternateContent>
  <bookViews>
    <workbookView xWindow="-120" yWindow="-120" windowWidth="20730" windowHeight="11760" activeTab="0"/>
  </bookViews>
  <sheets>
    <sheet name="Dummy-data" sheetId="1" r:id="rId3"/>
    <sheet name="Working-data" sheetId="2" r:id="rId4"/>
    <sheet name="Cleaned-data" sheetId="3" r:id="rId5"/>
    <sheet name="Filtered-data" sheetId="4" r:id="rId6"/>
  </sheets>
  <definedNames>
    <definedName name="_xlnm._FilterDatabase" localSheetId="3" hidden="1">'Filtered-data'!$A$1:$AO$100</definedName>
    <definedName name="_xlnm._FilterDatabase" localSheetId="1" hidden="1" comment="">'Working-data'!$A$1:$AS$101</definedName>
    <definedName name="_xlfn.AVERAGEIF" hidden="1">#NAME?</definedName>
    <definedName name="_xlnm.Criteria" localSheetId="3">'Filtered-data'!#REF!</definedName>
    <definedName name="_xlnm.Criteria" localSheetId="1">'Working-data'!#REF!</definedName>
    <definedName name="_xlnm.Extract" localSheetId="3">'Filtered-data'!#REF!</definedName>
    <definedName name="_xlnm.Extract" localSheetId="1">'Working-data'!#REF!</definedName>
    <definedName name="Full_data">Table1[#All]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2" i="3" l="1"/>
</calcChain>
</file>

<file path=xl/sharedStrings.xml><?xml version="1.0" encoding="utf-8"?>
<sst xmlns="http://schemas.openxmlformats.org/spreadsheetml/2006/main" count="9464" uniqueCount="1499">
  <si>
    <t>DataQualityScore</t>
  </si>
  <si>
    <t>Data Quality Score</t>
  </si>
  <si>
    <t>PatientID</t>
  </si>
  <si>
    <t>FirstName</t>
  </si>
  <si>
    <t>LastName</t>
  </si>
  <si>
    <t>DOB</t>
  </si>
  <si>
    <t>Gender</t>
  </si>
  <si>
    <t>InsuranceID</t>
  </si>
  <si>
    <t>InsuranceType</t>
  </si>
  <si>
    <t>PCP_ID</t>
  </si>
  <si>
    <t>VisitDate</t>
  </si>
  <si>
    <t>VisitTime</t>
  </si>
  <si>
    <t>VisitType</t>
  </si>
  <si>
    <t>Department</t>
  </si>
  <si>
    <t>DoctorID</t>
  </si>
  <si>
    <t>PrimaryDiagnosis</t>
  </si>
  <si>
    <t>SecondaryDiagnosis</t>
  </si>
  <si>
    <t>TreatmentCode</t>
  </si>
  <si>
    <t>MedicationPrescribed</t>
  </si>
  <si>
    <t>LabTestOrdered</t>
  </si>
  <si>
    <t>ImagingOrdered</t>
  </si>
  <si>
    <t>ProcedureCode</t>
  </si>
  <si>
    <t>VisitDuration_Mins</t>
  </si>
  <si>
    <t>VisitCost</t>
  </si>
  <si>
    <t>InsuranceCoveragePct</t>
  </si>
  <si>
    <t>CopayAmount</t>
  </si>
  <si>
    <t>DeductibleApplied</t>
  </si>
  <si>
    <t>OutOfPocket</t>
  </si>
  <si>
    <t>TotalPaid</t>
  </si>
  <si>
    <t>PaymentMethod</t>
  </si>
  <si>
    <t>FollowupRequired</t>
  </si>
  <si>
    <t>FollowupDate</t>
  </si>
  <si>
    <t>Readmission_30Days</t>
  </si>
  <si>
    <t>EmergencyFlag</t>
  </si>
  <si>
    <t>ReferralFlag</t>
  </si>
  <si>
    <t>NoShowFlag</t>
  </si>
  <si>
    <t>CancellationReason</t>
  </si>
  <si>
    <t>PatientSatisfaction</t>
  </si>
  <si>
    <t>Notes</t>
  </si>
  <si>
    <t>BillingStatus</t>
  </si>
  <si>
    <t>ClaimID</t>
  </si>
  <si>
    <t>PT1001</t>
  </si>
  <si>
    <t>John</t>
  </si>
  <si>
    <t>Smith</t>
  </si>
  <si>
    <t>05/15/1978</t>
  </si>
  <si>
    <t>M</t>
  </si>
  <si>
    <t>INS-78901</t>
  </si>
  <si>
    <t>PPO</t>
  </si>
  <si>
    <t>DR451</t>
  </si>
  <si>
    <t>01/15/2024</t>
  </si>
  <si>
    <t>Checkup</t>
  </si>
  <si>
    <t>Primary Care</t>
  </si>
  <si>
    <t>DR101</t>
  </si>
  <si>
    <t>Hypertension</t>
  </si>
  <si>
    <t>I10</t>
  </si>
  <si>
    <t>Lisinopril 10mg</t>
  </si>
  <si>
    <t>CBC</t>
  </si>
  <si>
    <t>None</t>
  </si>
  <si>
    <t>Credit Card</t>
  </si>
  <si>
    <t>02/15/2024</t>
  </si>
  <si>
    <t>Stable BP 130/85</t>
  </si>
  <si>
    <t>Paid</t>
  </si>
  <si>
    <t>CLM-2024-001</t>
  </si>
  <si>
    <t>PT1002</t>
  </si>
  <si>
    <t>Maria</t>
  </si>
  <si>
    <t>Garcia</t>
  </si>
  <si>
    <t>11/22/1985</t>
  </si>
  <si>
    <t>F</t>
  </si>
  <si>
    <t>INS-78902</t>
  </si>
  <si>
    <t>HMO</t>
  </si>
  <si>
    <t>DR452</t>
  </si>
  <si>
    <t>01/16/2024</t>
  </si>
  <si>
    <t>Follow-up</t>
  </si>
  <si>
    <t>Cardiology</t>
  </si>
  <si>
    <t>DR102</t>
  </si>
  <si>
    <t>CAD</t>
  </si>
  <si>
    <t>I25</t>
  </si>
  <si>
    <t>Atorvastatin 20mg</t>
  </si>
  <si>
    <t>Lipid Panel</t>
  </si>
  <si>
    <t>ECHO</t>
  </si>
  <si>
    <t>Insurance</t>
  </si>
  <si>
    <t>02/16/2024</t>
  </si>
  <si>
    <t>Echo normal EF 55%</t>
  </si>
  <si>
    <t>Pending</t>
  </si>
  <si>
    <t>CLM-2024-002</t>
  </si>
  <si>
    <t>PT1003</t>
  </si>
  <si>
    <t>Robert</t>
  </si>
  <si>
    <t>Johnson</t>
  </si>
  <si>
    <t>INS-78903</t>
  </si>
  <si>
    <t>Medicare</t>
  </si>
  <si>
    <t>DR453</t>
  </si>
  <si>
    <t>01/17/2024</t>
  </si>
  <si>
    <t>New Patient</t>
  </si>
  <si>
    <t>Orthopedics</t>
  </si>
  <si>
    <t>DR103</t>
  </si>
  <si>
    <t>Osteoarthritis</t>
  </si>
  <si>
    <t>M19</t>
  </si>
  <si>
    <t>Meloxicam 15mg</t>
  </si>
  <si>
    <t>X-Ray Knee</t>
  </si>
  <si>
    <t>X-Ray</t>
  </si>
  <si>
    <t>Insurance pre-auth delayed</t>
  </si>
  <si>
    <t>Pain management started</t>
  </si>
  <si>
    <t>Rejected</t>
  </si>
  <si>
    <t>CLM-2024-003</t>
  </si>
  <si>
    <t>PT1004</t>
  </si>
  <si>
    <t>Emily</t>
  </si>
  <si>
    <t>Wang</t>
  </si>
  <si>
    <t>07/30/1992</t>
  </si>
  <si>
    <t>INS-78904</t>
  </si>
  <si>
    <t>DR454</t>
  </si>
  <si>
    <t>01/18/2024</t>
  </si>
  <si>
    <t>Urgent Care</t>
  </si>
  <si>
    <t>ER</t>
  </si>
  <si>
    <t>DR104</t>
  </si>
  <si>
    <t>Upper Respiratory</t>
  </si>
  <si>
    <t xml:space="preserve"> J06</t>
  </si>
  <si>
    <t>Amoxicillin 500mg</t>
  </si>
  <si>
    <t>Chest X-Ray</t>
  </si>
  <si>
    <t>Debit Card</t>
  </si>
  <si>
    <t>01/25/2024</t>
  </si>
  <si>
    <t>Fever 101.2 resolved</t>
  </si>
  <si>
    <t>CLM-2024-004</t>
  </si>
  <si>
    <t>PT1005</t>
  </si>
  <si>
    <t>James</t>
  </si>
  <si>
    <t>Miller</t>
  </si>
  <si>
    <t>09/14/1952</t>
  </si>
  <si>
    <t>INS-78905</t>
  </si>
  <si>
    <t>Medicaid</t>
  </si>
  <si>
    <t>DR455</t>
  </si>
  <si>
    <t>01/19/2024</t>
  </si>
  <si>
    <t>Endocrinology</t>
  </si>
  <si>
    <t>DR105</t>
  </si>
  <si>
    <t>Diabetes Type2</t>
  </si>
  <si>
    <t>E11</t>
  </si>
  <si>
    <t>Metformin 1000mg</t>
  </si>
  <si>
    <t>HbA1c</t>
  </si>
  <si>
    <t>A1c 7.2% improved</t>
  </si>
  <si>
    <t>CLM-2024-005</t>
  </si>
  <si>
    <t>PT1006</t>
  </si>
  <si>
    <t>Sarah</t>
  </si>
  <si>
    <t>Williams</t>
  </si>
  <si>
    <t>INS-78906</t>
  </si>
  <si>
    <t>DR456</t>
  </si>
  <si>
    <t>01/22/2024</t>
  </si>
  <si>
    <t>Surgery</t>
  </si>
  <si>
    <t>General Surgery</t>
  </si>
  <si>
    <t>DR106</t>
  </si>
  <si>
    <t>Appendicitis</t>
  </si>
  <si>
    <t>K35</t>
  </si>
  <si>
    <t>Laparoscopic Appendectomy</t>
  </si>
  <si>
    <t>CT Abdomen</t>
  </si>
  <si>
    <t>02/22/2024</t>
  </si>
  <si>
    <t>Surgery successful</t>
  </si>
  <si>
    <t>Processing</t>
  </si>
  <si>
    <t>CLM-2024-006</t>
  </si>
  <si>
    <t>PT1007</t>
  </si>
  <si>
    <t>David</t>
  </si>
  <si>
    <t>Brown</t>
  </si>
  <si>
    <t>06/19/1973</t>
  </si>
  <si>
    <t>INS-78907</t>
  </si>
  <si>
    <t>DR457</t>
  </si>
  <si>
    <t>01/23/2024</t>
  </si>
  <si>
    <t>Pulmonology</t>
  </si>
  <si>
    <t>DR107</t>
  </si>
  <si>
    <t>Asthma</t>
  </si>
  <si>
    <t>J45</t>
  </si>
  <si>
    <t>Albuterol Inhaler</t>
  </si>
  <si>
    <t>PFT</t>
  </si>
  <si>
    <t>02/23/2024</t>
  </si>
  <si>
    <t>Patient sick</t>
  </si>
  <si>
    <t>Patient rescheduled</t>
  </si>
  <si>
    <t>PFT normal</t>
  </si>
  <si>
    <t>Scheduled</t>
  </si>
  <si>
    <t>CLM-2024-007</t>
  </si>
  <si>
    <t>PT1008</t>
  </si>
  <si>
    <t>Lisa</t>
  </si>
  <si>
    <t>Martinez</t>
  </si>
  <si>
    <t>INS-78908</t>
  </si>
  <si>
    <t>DR458</t>
  </si>
  <si>
    <t>01/24/2024</t>
  </si>
  <si>
    <t>Pediatric</t>
  </si>
  <si>
    <t>Pediatrics</t>
  </si>
  <si>
    <t>DR108</t>
  </si>
  <si>
    <t>Otitis Media</t>
  </si>
  <si>
    <t>H66</t>
  </si>
  <si>
    <t>Amoxicillin 250mg</t>
  </si>
  <si>
    <t>Ear infection resolved</t>
  </si>
  <si>
    <t>CLM-2024-008</t>
  </si>
  <si>
    <t>PT1009</t>
  </si>
  <si>
    <t>Michael</t>
  </si>
  <si>
    <t>Davis</t>
  </si>
  <si>
    <t>08/25/1960</t>
  </si>
  <si>
    <t>INS-78909</t>
  </si>
  <si>
    <t>DR459</t>
  </si>
  <si>
    <t>Neurology</t>
  </si>
  <si>
    <t>DR109</t>
  </si>
  <si>
    <t>Migraine</t>
  </si>
  <si>
    <t>G43</t>
  </si>
  <si>
    <t>Sumatriptan 50mg</t>
  </si>
  <si>
    <t>MRI Head</t>
  </si>
  <si>
    <t>MRI</t>
  </si>
  <si>
    <t>02/25/2024</t>
  </si>
  <si>
    <t>MRI clear, tension headache</t>
  </si>
  <si>
    <t>Appealing</t>
  </si>
  <si>
    <t>CLM-2024-009</t>
  </si>
  <si>
    <t>PT1010</t>
  </si>
  <si>
    <t>Jennifer</t>
  </si>
  <si>
    <t>Taylor</t>
  </si>
  <si>
    <t>02/17/1982</t>
  </si>
  <si>
    <t>INS-78910</t>
  </si>
  <si>
    <t>DR460</t>
  </si>
  <si>
    <t>01/26/2024</t>
  </si>
  <si>
    <t>Prenatal</t>
  </si>
  <si>
    <t>OB/GYN</t>
  </si>
  <si>
    <t>DR110</t>
  </si>
  <si>
    <t>Pregnancy</t>
  </si>
  <si>
    <t>O09</t>
  </si>
  <si>
    <t>Prenatal Vitamins</t>
  </si>
  <si>
    <t>Ultrasound</t>
  </si>
  <si>
    <t>02/26/2024</t>
  </si>
  <si>
    <t>12 weeks gestation normal</t>
  </si>
  <si>
    <t>CLM-2024-010</t>
  </si>
  <si>
    <t>PT1011</t>
  </si>
  <si>
    <t>Thomas</t>
  </si>
  <si>
    <t>Anderson</t>
  </si>
  <si>
    <t>INS-78911</t>
  </si>
  <si>
    <t>DR461</t>
  </si>
  <si>
    <t>01/29/2024</t>
  </si>
  <si>
    <t>Oncology</t>
  </si>
  <si>
    <t>DR111</t>
  </si>
  <si>
    <t>Prostate Cancer</t>
  </si>
  <si>
    <t>C61</t>
  </si>
  <si>
    <t>Leuprolide Injection</t>
  </si>
  <si>
    <t>PSA Test</t>
  </si>
  <si>
    <t>CT Scan</t>
  </si>
  <si>
    <t>02/29/2024</t>
  </si>
  <si>
    <t>PSA decreased to 3.2</t>
  </si>
  <si>
    <t>CLM-2024-011</t>
  </si>
  <si>
    <t>PT1012</t>
  </si>
  <si>
    <t>Amanda</t>
  </si>
  <si>
    <t>Wilson</t>
  </si>
  <si>
    <t>03/14/1990</t>
  </si>
  <si>
    <t>INS-78912</t>
  </si>
  <si>
    <t>DR462</t>
  </si>
  <si>
    <t>01/30/2024</t>
  </si>
  <si>
    <t>Dermatology</t>
  </si>
  <si>
    <t>DR112</t>
  </si>
  <si>
    <t>Contact Dermatitis</t>
  </si>
  <si>
    <t>L23</t>
  </si>
  <si>
    <t>Triamcinolone Cream</t>
  </si>
  <si>
    <t>Rash improving</t>
  </si>
  <si>
    <t>CLM-2024-012</t>
  </si>
  <si>
    <t>PT1013</t>
  </si>
  <si>
    <t>Christopher</t>
  </si>
  <si>
    <t>Lee</t>
  </si>
  <si>
    <t>INS-78913</t>
  </si>
  <si>
    <t>DR463</t>
  </si>
  <si>
    <t>01/31/2024</t>
  </si>
  <si>
    <t>Gastroenterology</t>
  </si>
  <si>
    <t>DR113</t>
  </si>
  <si>
    <t>GERD</t>
  </si>
  <si>
    <t>K21</t>
  </si>
  <si>
    <t>Omeprazole 40mg</t>
  </si>
  <si>
    <t>Endoscopy</t>
  </si>
  <si>
    <t>03/15/2024</t>
  </si>
  <si>
    <t>Mild esophagitis noted</t>
  </si>
  <si>
    <t>CLM-2024-013</t>
  </si>
  <si>
    <t>PT1014</t>
  </si>
  <si>
    <t>Jessica</t>
  </si>
  <si>
    <t>Moore</t>
  </si>
  <si>
    <t>05/29/1986</t>
  </si>
  <si>
    <t>INS-78914</t>
  </si>
  <si>
    <t>DR464</t>
  </si>
  <si>
    <t>Rheumatology</t>
  </si>
  <si>
    <t>DR114</t>
  </si>
  <si>
    <t>Rheumatoid Arthritis</t>
  </si>
  <si>
    <t>M05</t>
  </si>
  <si>
    <t>Methotrexate 10mg</t>
  </si>
  <si>
    <t>Rheumatoid Factor</t>
  </si>
  <si>
    <t>Starting DMARD therapy</t>
  </si>
  <si>
    <t>CLM-2024-014</t>
  </si>
  <si>
    <t>PT1015</t>
  </si>
  <si>
    <t>William</t>
  </si>
  <si>
    <t>Thompson</t>
  </si>
  <si>
    <t>INS-78915</t>
  </si>
  <si>
    <t>DR465</t>
  </si>
  <si>
    <t>Ophthalmology</t>
  </si>
  <si>
    <t>DR115</t>
  </si>
  <si>
    <t>Cataract</t>
  </si>
  <si>
    <t>H25</t>
  </si>
  <si>
    <t>Cataract Surgery</t>
  </si>
  <si>
    <t>Scheduled for right eye</t>
  </si>
  <si>
    <t>CLM-2024-015</t>
  </si>
  <si>
    <t>PT1016</t>
  </si>
  <si>
    <t>Nicole</t>
  </si>
  <si>
    <t>Harris</t>
  </si>
  <si>
    <t>INS-78916</t>
  </si>
  <si>
    <t>DR466</t>
  </si>
  <si>
    <t>Well Child Visit</t>
  </si>
  <si>
    <t>Z00</t>
  </si>
  <si>
    <t>Vaccines</t>
  </si>
  <si>
    <t>DTaP and MMR given</t>
  </si>
  <si>
    <t>CLM-2024-016</t>
  </si>
  <si>
    <t>PT1017</t>
  </si>
  <si>
    <t>Joseph</t>
  </si>
  <si>
    <t>Clark</t>
  </si>
  <si>
    <t>01/20/1968</t>
  </si>
  <si>
    <t>INS-78917</t>
  </si>
  <si>
    <t>DR467</t>
  </si>
  <si>
    <t>Urology</t>
  </si>
  <si>
    <t>DR116</t>
  </si>
  <si>
    <t>BPH</t>
  </si>
  <si>
    <t>N40</t>
  </si>
  <si>
    <t>Tamsulosin 0.4mg</t>
  </si>
  <si>
    <t>Symptoms improved</t>
  </si>
  <si>
    <t>CLM-2024-017</t>
  </si>
  <si>
    <t>PT1018</t>
  </si>
  <si>
    <t>Megan</t>
  </si>
  <si>
    <t>Robinson</t>
  </si>
  <si>
    <t>INS-78918</t>
  </si>
  <si>
    <t>DR468</t>
  </si>
  <si>
    <t>Psychiatry</t>
  </si>
  <si>
    <t>DR117</t>
  </si>
  <si>
    <t>Depression</t>
  </si>
  <si>
    <t>F32</t>
  </si>
  <si>
    <t>Sertraline 50mg</t>
  </si>
  <si>
    <t>PHQ-9 score decreased</t>
  </si>
  <si>
    <t>CLM-2024-018</t>
  </si>
  <si>
    <t>PT1019</t>
  </si>
  <si>
    <t>Daniel</t>
  </si>
  <si>
    <t>Lewis</t>
  </si>
  <si>
    <t>11/30/1975</t>
  </si>
  <si>
    <t>INS-78919</t>
  </si>
  <si>
    <t>DR469</t>
  </si>
  <si>
    <t>Ankle Sprain</t>
  </si>
  <si>
    <t>S93</t>
  </si>
  <si>
    <t>Ibuprofen 600mg</t>
  </si>
  <si>
    <t>X-Ray Ankle</t>
  </si>
  <si>
    <t>Grade 1 sprain, RICE advised</t>
  </si>
  <si>
    <t>CLM-2024-019</t>
  </si>
  <si>
    <t>PT1020</t>
  </si>
  <si>
    <t>Ashley</t>
  </si>
  <si>
    <t>Walker</t>
  </si>
  <si>
    <t>04/18/1996</t>
  </si>
  <si>
    <t>INS-78920</t>
  </si>
  <si>
    <t>DR470</t>
  </si>
  <si>
    <t>Allergy</t>
  </si>
  <si>
    <t>DR118</t>
  </si>
  <si>
    <t>Allergic Rhinitis</t>
  </si>
  <si>
    <t>J30</t>
  </si>
  <si>
    <t>Cetirizine 10mg</t>
  </si>
  <si>
    <t>Allergy Testing</t>
  </si>
  <si>
    <t>Allergy testing scheduled</t>
  </si>
  <si>
    <t>CLM-2024-020</t>
  </si>
  <si>
    <t>PT1021</t>
  </si>
  <si>
    <t>Matthew</t>
  </si>
  <si>
    <t>Allen</t>
  </si>
  <si>
    <t>08/14/1981</t>
  </si>
  <si>
    <t>INS-78921</t>
  </si>
  <si>
    <t>DR471</t>
  </si>
  <si>
    <t>Lisinopril 20mg</t>
  </si>
  <si>
    <t>EKG</t>
  </si>
  <si>
    <t>BP controlled 128/82</t>
  </si>
  <si>
    <t>CLM-2024-021</t>
  </si>
  <si>
    <t>PT1022</t>
  </si>
  <si>
    <t>Elizabeth</t>
  </si>
  <si>
    <t>Young</t>
  </si>
  <si>
    <t>03/22/1979</t>
  </si>
  <si>
    <t>INS-78922</t>
  </si>
  <si>
    <t>DR472</t>
  </si>
  <si>
    <t>02/13/2024</t>
  </si>
  <si>
    <t>Cholecystitis</t>
  </si>
  <si>
    <t>K80</t>
  </si>
  <si>
    <t>Laparoscopic Cholecystectomy</t>
  </si>
  <si>
    <t>Ultrasound Abdomen</t>
  </si>
  <si>
    <t>03/13/2024</t>
  </si>
  <si>
    <t>Gallbladder removed successfully</t>
  </si>
  <si>
    <t>CLM-2024-022</t>
  </si>
  <si>
    <t>PT1023</t>
  </si>
  <si>
    <t>Kevin</t>
  </si>
  <si>
    <t>King</t>
  </si>
  <si>
    <t>INS-78923</t>
  </si>
  <si>
    <t>DR473</t>
  </si>
  <si>
    <t>02/14/2024</t>
  </si>
  <si>
    <t>Diabetes Type1</t>
  </si>
  <si>
    <t>E10</t>
  </si>
  <si>
    <t>Insulin Glargine</t>
  </si>
  <si>
    <t>03/14/2024</t>
  </si>
  <si>
    <t>A1c 7.8% stable</t>
  </si>
  <si>
    <t>CLM-2024-023</t>
  </si>
  <si>
    <t>PT1024</t>
  </si>
  <si>
    <t>Samantha</t>
  </si>
  <si>
    <t>Wright</t>
  </si>
  <si>
    <t>07/19/1991</t>
  </si>
  <si>
    <t>INS-78924</t>
  </si>
  <si>
    <t>DR474</t>
  </si>
  <si>
    <t>Acne</t>
  </si>
  <si>
    <t>L70</t>
  </si>
  <si>
    <t>Doxycycline 100mg</t>
  </si>
  <si>
    <t>Moderate inflammatory acne</t>
  </si>
  <si>
    <t>CLM-2024-024</t>
  </si>
  <si>
    <t>PT1025</t>
  </si>
  <si>
    <t>Andrew</t>
  </si>
  <si>
    <t>Scott</t>
  </si>
  <si>
    <t>INS-78925</t>
  </si>
  <si>
    <t>DR475</t>
  </si>
  <si>
    <t>Pneumonia</t>
  </si>
  <si>
    <t>J18</t>
  </si>
  <si>
    <t>Levofloxacin 750mg</t>
  </si>
  <si>
    <t>CXR shows right lower lobe infiltrate</t>
  </si>
  <si>
    <t>CLM-2024-025</t>
  </si>
  <si>
    <t>PT1026</t>
  </si>
  <si>
    <t>Lauren</t>
  </si>
  <si>
    <t>Green</t>
  </si>
  <si>
    <t>05/27/1984</t>
  </si>
  <si>
    <t>INS-78926</t>
  </si>
  <si>
    <t>DR476</t>
  </si>
  <si>
    <t>02/19/2024</t>
  </si>
  <si>
    <t>03/19/2024</t>
  </si>
  <si>
    <t>20 weeks anatomy scan normal</t>
  </si>
  <si>
    <t>CLM-2024-026</t>
  </si>
  <si>
    <t>PT1027</t>
  </si>
  <si>
    <t>Edward</t>
  </si>
  <si>
    <t>Baker</t>
  </si>
  <si>
    <t>INS-78927</t>
  </si>
  <si>
    <t>DR477</t>
  </si>
  <si>
    <t>02/20/2024</t>
  </si>
  <si>
    <t>Epilepsy</t>
  </si>
  <si>
    <t>G40</t>
  </si>
  <si>
    <t>Levetiracetam 500mg</t>
  </si>
  <si>
    <t>EEG</t>
  </si>
  <si>
    <t>03/20/2024</t>
  </si>
  <si>
    <t>Transportation issues</t>
  </si>
  <si>
    <t>Seizure free 6 months</t>
  </si>
  <si>
    <t>CLM-2024-027</t>
  </si>
  <si>
    <t>PT1028</t>
  </si>
  <si>
    <t>Rebecca</t>
  </si>
  <si>
    <t>Nelson</t>
  </si>
  <si>
    <t>INS-78928</t>
  </si>
  <si>
    <t>DR478</t>
  </si>
  <si>
    <t>02/21/2024</t>
  </si>
  <si>
    <t>Mild intermittent asthma</t>
  </si>
  <si>
    <t>CLM-2024-028</t>
  </si>
  <si>
    <t>PT1029</t>
  </si>
  <si>
    <t>George</t>
  </si>
  <si>
    <t>Carter</t>
  </si>
  <si>
    <t>06/25/1947</t>
  </si>
  <si>
    <t>INS-78929</t>
  </si>
  <si>
    <t>DR479</t>
  </si>
  <si>
    <t>Left eye scheduled</t>
  </si>
  <si>
    <t>CLM-2024-029</t>
  </si>
  <si>
    <t>PT1030</t>
  </si>
  <si>
    <t>Stephanie</t>
  </si>
  <si>
    <t>Mitchell</t>
  </si>
  <si>
    <t>11/14/1990</t>
  </si>
  <si>
    <t>INS-78930</t>
  </si>
  <si>
    <t>DR480</t>
  </si>
  <si>
    <t>Lupus</t>
  </si>
  <si>
    <t>M32</t>
  </si>
  <si>
    <t>Hydroxychloroquine 200mg</t>
  </si>
  <si>
    <t>ANA Test</t>
  </si>
  <si>
    <t>03/23/2024</t>
  </si>
  <si>
    <t>New SLE diagnosis</t>
  </si>
  <si>
    <t>CLM-2024-030</t>
  </si>
  <si>
    <t>PT1031</t>
  </si>
  <si>
    <t>Brian</t>
  </si>
  <si>
    <t>Roberts</t>
  </si>
  <si>
    <t>INS-78931</t>
  </si>
  <si>
    <t>DR481</t>
  </si>
  <si>
    <t>Kidney Stones</t>
  </si>
  <si>
    <t>N20</t>
  </si>
  <si>
    <t>CT KUB</t>
  </si>
  <si>
    <t>03/26/2024</t>
  </si>
  <si>
    <t>5mm stone right ureter</t>
  </si>
  <si>
    <t>CLM-2024-031</t>
  </si>
  <si>
    <t>PT1032</t>
  </si>
  <si>
    <t>Cynthia</t>
  </si>
  <si>
    <t>Parker</t>
  </si>
  <si>
    <t>08/29/1983</t>
  </si>
  <si>
    <t>INS-78932</t>
  </si>
  <si>
    <t>DR482</t>
  </si>
  <si>
    <t>02/27/2024</t>
  </si>
  <si>
    <t>Gastroenteritis</t>
  </si>
  <si>
    <t>A09</t>
  </si>
  <si>
    <t>Ondansetron 4mg</t>
  </si>
  <si>
    <t>Viral gastroenteritis</t>
  </si>
  <si>
    <t>CLM-2024-032</t>
  </si>
  <si>
    <t>PT1033</t>
  </si>
  <si>
    <t>Timothy</t>
  </si>
  <si>
    <t>Evans</t>
  </si>
  <si>
    <t>INS-78933</t>
  </si>
  <si>
    <t>DR483</t>
  </si>
  <si>
    <t>02/28/2024</t>
  </si>
  <si>
    <t>Colon Cancer</t>
  </si>
  <si>
    <t>C18</t>
  </si>
  <si>
    <t>CAPOX Chemotherapy</t>
  </si>
  <si>
    <t>CEA Test</t>
  </si>
  <si>
    <t>03/28/2024</t>
  </si>
  <si>
    <t>Cycle 3 completed</t>
  </si>
  <si>
    <t>CLM-2024-033</t>
  </si>
  <si>
    <t>PT1034</t>
  </si>
  <si>
    <t>Victoria</t>
  </si>
  <si>
    <t>Edwards</t>
  </si>
  <si>
    <t>INS-78934</t>
  </si>
  <si>
    <t>DR484</t>
  </si>
  <si>
    <t>Food Allergy</t>
  </si>
  <si>
    <t>T78</t>
  </si>
  <si>
    <t>EpiPen Prescription</t>
  </si>
  <si>
    <t>03/29/2024</t>
  </si>
  <si>
    <t>Peanut allergy confirmed</t>
  </si>
  <si>
    <t>CLM-2024-034</t>
  </si>
  <si>
    <t>PT1035</t>
  </si>
  <si>
    <t>Patrick</t>
  </si>
  <si>
    <t>Stewart</t>
  </si>
  <si>
    <t>INS-78935</t>
  </si>
  <si>
    <t>DR485</t>
  </si>
  <si>
    <t>Hip Osteoarthritis</t>
  </si>
  <si>
    <t>M16</t>
  </si>
  <si>
    <t>Total Hip Replacement</t>
  </si>
  <si>
    <t>X-Ray Hip</t>
  </si>
  <si>
    <t>Scheduled for right hip</t>
  </si>
  <si>
    <t>CLM-2024-035</t>
  </si>
  <si>
    <t>PT1036</t>
  </si>
  <si>
    <t>Alexis</t>
  </si>
  <si>
    <t>Morris</t>
  </si>
  <si>
    <t>12/21/1988</t>
  </si>
  <si>
    <t>INS-78936</t>
  </si>
  <si>
    <t>DR486</t>
  </si>
  <si>
    <t>Ear Infection</t>
  </si>
  <si>
    <t>Bilateral otitis media</t>
  </si>
  <si>
    <t>CLM-2024-036</t>
  </si>
  <si>
    <t>PT1037</t>
  </si>
  <si>
    <t>Jeffrey</t>
  </si>
  <si>
    <t>Cook</t>
  </si>
  <si>
    <t>INS-78937</t>
  </si>
  <si>
    <t>DR487</t>
  </si>
  <si>
    <t>Anxiety</t>
  </si>
  <si>
    <t>F41</t>
  </si>
  <si>
    <t>Escitalopram 10mg</t>
  </si>
  <si>
    <t>GAD-7 score improved</t>
  </si>
  <si>
    <t>CLM-2024-037</t>
  </si>
  <si>
    <t>PT1038</t>
  </si>
  <si>
    <t>Danielle</t>
  </si>
  <si>
    <t>Murphy</t>
  </si>
  <si>
    <t>10/17/1986</t>
  </si>
  <si>
    <t>INS-78938</t>
  </si>
  <si>
    <t>DR488</t>
  </si>
  <si>
    <t>COPD</t>
  </si>
  <si>
    <t>J44</t>
  </si>
  <si>
    <t>Tiotropium Inhaler</t>
  </si>
  <si>
    <t>Childcare issue</t>
  </si>
  <si>
    <t>FEV1 65% predicted</t>
  </si>
  <si>
    <t>CLM-2024-038</t>
  </si>
  <si>
    <t>PT1039</t>
  </si>
  <si>
    <t>Gregory</t>
  </si>
  <si>
    <t>Rivera</t>
  </si>
  <si>
    <t>02/14/1969</t>
  </si>
  <si>
    <t>INS-78939</t>
  </si>
  <si>
    <t>DR489</t>
  </si>
  <si>
    <t>Cellulitis</t>
  </si>
  <si>
    <t>L03</t>
  </si>
  <si>
    <t>Cephalexin 500mg</t>
  </si>
  <si>
    <t>Left lower leg cellulitis</t>
  </si>
  <si>
    <t>CLM-2024-039</t>
  </si>
  <si>
    <t>PT1040</t>
  </si>
  <si>
    <t>Hannah</t>
  </si>
  <si>
    <t>Bell</t>
  </si>
  <si>
    <t>INS-78940</t>
  </si>
  <si>
    <t>DR490</t>
  </si>
  <si>
    <t>Thyroid Disorder</t>
  </si>
  <si>
    <t>E07</t>
  </si>
  <si>
    <t>Levothyroxine 50mcg</t>
  </si>
  <si>
    <t>TSH Test</t>
  </si>
  <si>
    <t>TSH 8.5, start replacement</t>
  </si>
  <si>
    <t>CLM-2024-040</t>
  </si>
  <si>
    <t>PT1041</t>
  </si>
  <si>
    <t>Peter</t>
  </si>
  <si>
    <t>Cooper</t>
  </si>
  <si>
    <t>03/27/1980</t>
  </si>
  <si>
    <t>INS-78941</t>
  </si>
  <si>
    <t>DR491</t>
  </si>
  <si>
    <t>Heart Failure</t>
  </si>
  <si>
    <t>I50</t>
  </si>
  <si>
    <t>Furosemide 40mg</t>
  </si>
  <si>
    <t>BNP Test</t>
  </si>
  <si>
    <t>Echo</t>
  </si>
  <si>
    <t>EF improved to 45%</t>
  </si>
  <si>
    <t>CLM-2024-041</t>
  </si>
  <si>
    <t>PT1042</t>
  </si>
  <si>
    <t>Christine</t>
  </si>
  <si>
    <t>Richardson</t>
  </si>
  <si>
    <t>INS-78942</t>
  </si>
  <si>
    <t>DR492</t>
  </si>
  <si>
    <t>Hernia</t>
  </si>
  <si>
    <t>K40</t>
  </si>
  <si>
    <t>Hernia Repair</t>
  </si>
  <si>
    <t>Umbilical hernia repaired</t>
  </si>
  <si>
    <t>CLM-2024-042</t>
  </si>
  <si>
    <t>PT1043</t>
  </si>
  <si>
    <t>Jerry</t>
  </si>
  <si>
    <t>Ward</t>
  </si>
  <si>
    <t>08/19/1953</t>
  </si>
  <si>
    <t>INS-78943</t>
  </si>
  <si>
    <t>DR493</t>
  </si>
  <si>
    <t>Parkinson's</t>
  </si>
  <si>
    <t>G20</t>
  </si>
  <si>
    <t>Carbidopa-Levodopa</t>
  </si>
  <si>
    <t>04/13/2024</t>
  </si>
  <si>
    <t>Tremor controlled</t>
  </si>
  <si>
    <t>CLM-2024-043</t>
  </si>
  <si>
    <t>PT1044</t>
  </si>
  <si>
    <t>Rachel</t>
  </si>
  <si>
    <t>Foster</t>
  </si>
  <si>
    <t>01/14/1992</t>
  </si>
  <si>
    <t>INS-78944</t>
  </si>
  <si>
    <t>DR494</t>
  </si>
  <si>
    <t>Psoriasis</t>
  </si>
  <si>
    <t>L40</t>
  </si>
  <si>
    <t>Methotrexate 7.5mg</t>
  </si>
  <si>
    <t>04/14/2024</t>
  </si>
  <si>
    <t>Plaque psoriasis moderate</t>
  </si>
  <si>
    <t>CLM-2024-044</t>
  </si>
  <si>
    <t>PT1045</t>
  </si>
  <si>
    <t>Keith</t>
  </si>
  <si>
    <t>Brooks</t>
  </si>
  <si>
    <t>05/22/1961</t>
  </si>
  <si>
    <t>INS-78945</t>
  </si>
  <si>
    <t>DR495</t>
  </si>
  <si>
    <t>Appendectomy</t>
  </si>
  <si>
    <t>03/22/2024</t>
  </si>
  <si>
    <t>Acute appendicitis confirmed</t>
  </si>
  <si>
    <t>CLM-2024-045</t>
  </si>
  <si>
    <t>PT1046</t>
  </si>
  <si>
    <t>Abigail</t>
  </si>
  <si>
    <t>Sanders</t>
  </si>
  <si>
    <t>09/30/1985</t>
  </si>
  <si>
    <t>INS-78946</t>
  </si>
  <si>
    <t>DR496</t>
  </si>
  <si>
    <t>03/18/2024</t>
  </si>
  <si>
    <t>04/18/2024</t>
  </si>
  <si>
    <t>28 weeks growth scan normal</t>
  </si>
  <si>
    <t>CLM-2024-046</t>
  </si>
  <si>
    <t>PT1047</t>
  </si>
  <si>
    <t>Price</t>
  </si>
  <si>
    <t>INS-78947</t>
  </si>
  <si>
    <t>DR497</t>
  </si>
  <si>
    <t>IBD</t>
  </si>
  <si>
    <t>K50</t>
  </si>
  <si>
    <t>Mesalamine 1.2g</t>
  </si>
  <si>
    <t>Calprotectin</t>
  </si>
  <si>
    <t>Colonoscopy</t>
  </si>
  <si>
    <t>04/19/2024</t>
  </si>
  <si>
    <t>Work conflict</t>
  </si>
  <si>
    <t>Colonoscopy scheduled</t>
  </si>
  <si>
    <t>CLM-2024-047</t>
  </si>
  <si>
    <t>PT1048</t>
  </si>
  <si>
    <t>Kimberly</t>
  </si>
  <si>
    <t>Bennett</t>
  </si>
  <si>
    <t>INS-78948</t>
  </si>
  <si>
    <t>DR498</t>
  </si>
  <si>
    <t>ADHD</t>
  </si>
  <si>
    <t>F90</t>
  </si>
  <si>
    <t>Methylphenidate 10mg</t>
  </si>
  <si>
    <t>Parent training provided</t>
  </si>
  <si>
    <t>CLM-2024-048</t>
  </si>
  <si>
    <t>PT1049</t>
  </si>
  <si>
    <t>Jonathan</t>
  </si>
  <si>
    <t>Wood</t>
  </si>
  <si>
    <t>12/28/1949</t>
  </si>
  <si>
    <t>INS-78949</t>
  </si>
  <si>
    <t>DR499</t>
  </si>
  <si>
    <t>03/21/2024</t>
  </si>
  <si>
    <t>Glaucoma</t>
  </si>
  <si>
    <t>H40</t>
  </si>
  <si>
    <t>Trabeculectomy</t>
  </si>
  <si>
    <t>IOP reduced from 28 to 16</t>
  </si>
  <si>
    <t>CLM-2024-049</t>
  </si>
  <si>
    <t>PT1050</t>
  </si>
  <si>
    <t>Linda</t>
  </si>
  <si>
    <t>Barnes</t>
  </si>
  <si>
    <t>02/17/1991</t>
  </si>
  <si>
    <t>INS-78950</t>
  </si>
  <si>
    <t>DR500</t>
  </si>
  <si>
    <t>Gout</t>
  </si>
  <si>
    <t>M10</t>
  </si>
  <si>
    <t>Allopurinol 100mg</t>
  </si>
  <si>
    <t>Uric Acid Test</t>
  </si>
  <si>
    <t>04/22/2024</t>
  </si>
  <si>
    <t>Uric acid 8.9 mg/dL</t>
  </si>
  <si>
    <t>CLM-2024-050</t>
  </si>
  <si>
    <t>PT1051</t>
  </si>
  <si>
    <t>Brandon</t>
  </si>
  <si>
    <t>Ross</t>
  </si>
  <si>
    <t>06/24/1979</t>
  </si>
  <si>
    <t>INS-78951</t>
  </si>
  <si>
    <t>DR501</t>
  </si>
  <si>
    <t>03/25/2024</t>
  </si>
  <si>
    <t>UTI</t>
  </si>
  <si>
    <t>N39</t>
  </si>
  <si>
    <t>Ciprofloxacin 500mg</t>
  </si>
  <si>
    <t>Urine Culture</t>
  </si>
  <si>
    <t>E. coli sensitive to Cipro</t>
  </si>
  <si>
    <t>CLM-2024-051</t>
  </si>
  <si>
    <t>PT1052</t>
  </si>
  <si>
    <t>Katherine</t>
  </si>
  <si>
    <t>Henderson</t>
  </si>
  <si>
    <t>INS-78952</t>
  </si>
  <si>
    <t>DR502</t>
  </si>
  <si>
    <t>Anaphylaxis</t>
  </si>
  <si>
    <t>Epinephrine Injection</t>
  </si>
  <si>
    <t>Bee sting reaction</t>
  </si>
  <si>
    <t>CLM-2024-052</t>
  </si>
  <si>
    <t>PT1053</t>
  </si>
  <si>
    <t>Raymond</t>
  </si>
  <si>
    <t>Coleman</t>
  </si>
  <si>
    <t>03/19/1964</t>
  </si>
  <si>
    <t>INS-78953</t>
  </si>
  <si>
    <t>DR503</t>
  </si>
  <si>
    <t>03/27/2024</t>
  </si>
  <si>
    <t>Lung Cancer</t>
  </si>
  <si>
    <t>C34</t>
  </si>
  <si>
    <t>Pembrolizumab</t>
  </si>
  <si>
    <t>CT Chest</t>
  </si>
  <si>
    <t>04/27/2024</t>
  </si>
  <si>
    <t>Immunotherapy cycle 4</t>
  </si>
  <si>
    <t>CLM-2024-053</t>
  </si>
  <si>
    <t>PT1054</t>
  </si>
  <si>
    <t>Patricia</t>
  </si>
  <si>
    <t>Jenkins</t>
  </si>
  <si>
    <t>INS-78954</t>
  </si>
  <si>
    <t>DR504</t>
  </si>
  <si>
    <t>Fluticasone Inhaler</t>
  </si>
  <si>
    <t>04/28/2024</t>
  </si>
  <si>
    <t>FEV1 78% predicted</t>
  </si>
  <si>
    <t>CLM-2024-054</t>
  </si>
  <si>
    <t>PT1055</t>
  </si>
  <si>
    <t>Samuel</t>
  </si>
  <si>
    <t>Powell</t>
  </si>
  <si>
    <t>01/26/1957</t>
  </si>
  <si>
    <t>INS-78955</t>
  </si>
  <si>
    <t>DR505</t>
  </si>
  <si>
    <t>Knee Replacement</t>
  </si>
  <si>
    <t>M17</t>
  </si>
  <si>
    <t>Total Knee Replacement</t>
  </si>
  <si>
    <t>Severe osteoarthritis</t>
  </si>
  <si>
    <t>CLM-2024-055</t>
  </si>
  <si>
    <t>PT1056</t>
  </si>
  <si>
    <t>Jennie</t>
  </si>
  <si>
    <t>Long</t>
  </si>
  <si>
    <t>05/14/1989</t>
  </si>
  <si>
    <t>INS-78956</t>
  </si>
  <si>
    <t>DR506</t>
  </si>
  <si>
    <t>Conjunctivitis</t>
  </si>
  <si>
    <t>H10</t>
  </si>
  <si>
    <t>Erythromycin Ointment</t>
  </si>
  <si>
    <t>Bacterial conjunctivitis</t>
  </si>
  <si>
    <t>CLM-2024-056</t>
  </si>
  <si>
    <t>PT1057</t>
  </si>
  <si>
    <t>Benjamin</t>
  </si>
  <si>
    <t>Hughes</t>
  </si>
  <si>
    <t>INS-78957</t>
  </si>
  <si>
    <t>DR507</t>
  </si>
  <si>
    <t>Bipolar</t>
  </si>
  <si>
    <t>F31</t>
  </si>
  <si>
    <t>Lithium 300mg</t>
  </si>
  <si>
    <t>Lithium Level</t>
  </si>
  <si>
    <t>Mood stable</t>
  </si>
  <si>
    <t>CLM-2024-057</t>
  </si>
  <si>
    <t>PT1058</t>
  </si>
  <si>
    <t>Shirley</t>
  </si>
  <si>
    <t>Flores</t>
  </si>
  <si>
    <t>INS-78958</t>
  </si>
  <si>
    <t>DR508</t>
  </si>
  <si>
    <t>Metformin 850mg</t>
  </si>
  <si>
    <t>Transportation</t>
  </si>
  <si>
    <t>A1c 7.5%</t>
  </si>
  <si>
    <t>CLM-2024-058</t>
  </si>
  <si>
    <t>PT1059</t>
  </si>
  <si>
    <t>Carlos</t>
  </si>
  <si>
    <t>Bryant</t>
  </si>
  <si>
    <t>07/22/1970</t>
  </si>
  <si>
    <t>INS-78959</t>
  </si>
  <si>
    <t>DR509</t>
  </si>
  <si>
    <t>Shingles</t>
  </si>
  <si>
    <t>B02</t>
  </si>
  <si>
    <t>Valacyclovir 1g</t>
  </si>
  <si>
    <t>T6-T8 dermatome</t>
  </si>
  <si>
    <t>CLM-2024-059</t>
  </si>
  <si>
    <t>PT1060</t>
  </si>
  <si>
    <t>Deborah</t>
  </si>
  <si>
    <t>Alexander</t>
  </si>
  <si>
    <t>INS-78960</t>
  </si>
  <si>
    <t>DR510</t>
  </si>
  <si>
    <t>PVCs</t>
  </si>
  <si>
    <t>I49</t>
  </si>
  <si>
    <t>Metoprolol 25mg</t>
  </si>
  <si>
    <t>Holter Monitor</t>
  </si>
  <si>
    <t>Frequent PVCs on Holter</t>
  </si>
  <si>
    <t>CLM-2024-060</t>
  </si>
  <si>
    <t>PT1061</t>
  </si>
  <si>
    <t>Arthur</t>
  </si>
  <si>
    <t>Russell</t>
  </si>
  <si>
    <t>04/18/1982</t>
  </si>
  <si>
    <t>INS-78961</t>
  </si>
  <si>
    <t>DR511</t>
  </si>
  <si>
    <t>Topiramate 50mg</t>
  </si>
  <si>
    <t>Frequency reduced 50%</t>
  </si>
  <si>
    <t>CLM-2024-061</t>
  </si>
  <si>
    <t>PT1062</t>
  </si>
  <si>
    <t>Catherine</t>
  </si>
  <si>
    <t>Gonzalez</t>
  </si>
  <si>
    <t>INS-78962</t>
  </si>
  <si>
    <t>DR512</t>
  </si>
  <si>
    <t>04/23/2024</t>
  </si>
  <si>
    <t>Uncomplicated appendicitis</t>
  </si>
  <si>
    <t>CLM-2024-062</t>
  </si>
  <si>
    <t>PT1063</t>
  </si>
  <si>
    <t>Ruth</t>
  </si>
  <si>
    <t>Watson</t>
  </si>
  <si>
    <t>03/29/1954</t>
  </si>
  <si>
    <t>INS-78963</t>
  </si>
  <si>
    <t>DR513</t>
  </si>
  <si>
    <t>Osteoporosis</t>
  </si>
  <si>
    <t>M81</t>
  </si>
  <si>
    <t>Alendronate 70mg</t>
  </si>
  <si>
    <t>DEXA Scan</t>
  </si>
  <si>
    <t>T-score -2.5 spine</t>
  </si>
  <si>
    <t>CLM-2024-063</t>
  </si>
  <si>
    <t>PT1064</t>
  </si>
  <si>
    <t>Harry</t>
  </si>
  <si>
    <t>Fisher</t>
  </si>
  <si>
    <t>08/16/1966</t>
  </si>
  <si>
    <t>INS-78964</t>
  </si>
  <si>
    <t>DR514</t>
  </si>
  <si>
    <t>Reflux</t>
  </si>
  <si>
    <t>Esomeprazole 40mg</t>
  </si>
  <si>
    <t>Grade B esophagitis</t>
  </si>
  <si>
    <t>CLM-2024-064</t>
  </si>
  <si>
    <t>PT1065</t>
  </si>
  <si>
    <t>Myers</t>
  </si>
  <si>
    <t>INS-78965</t>
  </si>
  <si>
    <t>DR515</t>
  </si>
  <si>
    <t>PID</t>
  </si>
  <si>
    <t>N73</t>
  </si>
  <si>
    <t>Pelvic Ultrasound</t>
  </si>
  <si>
    <t>Mild pelvic inflammation</t>
  </si>
  <si>
    <t>CLM-2024-065</t>
  </si>
  <si>
    <t>PT1066</t>
  </si>
  <si>
    <t>Jacob</t>
  </si>
  <si>
    <t>Hoffman</t>
  </si>
  <si>
    <t>06/13/1975</t>
  </si>
  <si>
    <t>INS-78966</t>
  </si>
  <si>
    <t>DR516</t>
  </si>
  <si>
    <t>04/15/2024</t>
  </si>
  <si>
    <t>Strep Throat</t>
  </si>
  <si>
    <t>J02</t>
  </si>
  <si>
    <t>Strep Test</t>
  </si>
  <si>
    <t>Rapid strep positive</t>
  </si>
  <si>
    <t>CLM-2024-066</t>
  </si>
  <si>
    <t>PT1067</t>
  </si>
  <si>
    <t>11/24/1988</t>
  </si>
  <si>
    <t>INS-78967</t>
  </si>
  <si>
    <t>DR517</t>
  </si>
  <si>
    <t>04/16/2024</t>
  </si>
  <si>
    <t>Leuprolide</t>
  </si>
  <si>
    <t>05/16/2024</t>
  </si>
  <si>
    <t>PSA undetectable</t>
  </si>
  <si>
    <t>CLM-2024-067</t>
  </si>
  <si>
    <t>PT1068</t>
  </si>
  <si>
    <t>Gerald</t>
  </si>
  <si>
    <t>Perry</t>
  </si>
  <si>
    <t>INS-78968</t>
  </si>
  <si>
    <t>DR518</t>
  </si>
  <si>
    <t>04/17/2024</t>
  </si>
  <si>
    <t>Both eyes completed</t>
  </si>
  <si>
    <t>CLM-2024-068</t>
  </si>
  <si>
    <t>PT1069</t>
  </si>
  <si>
    <t>Betty</t>
  </si>
  <si>
    <t>Pierce</t>
  </si>
  <si>
    <t>02/28/1994</t>
  </si>
  <si>
    <t>INS-78969</t>
  </si>
  <si>
    <t>DR519</t>
  </si>
  <si>
    <t>Fluticasone Nasal Spray</t>
  </si>
  <si>
    <t>05/18/2024</t>
  </si>
  <si>
    <t>Seasonal allergies</t>
  </si>
  <si>
    <t>CLM-2024-069</t>
  </si>
  <si>
    <t>PT1070</t>
  </si>
  <si>
    <t>Spencer</t>
  </si>
  <si>
    <t>INS-78970</t>
  </si>
  <si>
    <t>DR520</t>
  </si>
  <si>
    <t>IPSS score improved</t>
  </si>
  <si>
    <t>CLM-2024-070</t>
  </si>
  <si>
    <t>PT1071</t>
  </si>
  <si>
    <t>Judith</t>
  </si>
  <si>
    <t>Howard</t>
  </si>
  <si>
    <t>04/17/1986</t>
  </si>
  <si>
    <t>INS-78971</t>
  </si>
  <si>
    <t>DR521</t>
  </si>
  <si>
    <t>Chest Pain</t>
  </si>
  <si>
    <t>R07</t>
  </si>
  <si>
    <t>Nitroglycerin</t>
  </si>
  <si>
    <t>04/29/2024</t>
  </si>
  <si>
    <t>Non-cardiac chest pain</t>
  </si>
  <si>
    <t>CLM-2024-071</t>
  </si>
  <si>
    <t>PT1072</t>
  </si>
  <si>
    <t>Sean</t>
  </si>
  <si>
    <t>Garza</t>
  </si>
  <si>
    <t>INS-78972</t>
  </si>
  <si>
    <t>DR522</t>
  </si>
  <si>
    <t>Schizophrenia</t>
  </si>
  <si>
    <t>F20</t>
  </si>
  <si>
    <t>Olanzapine 10mg</t>
  </si>
  <si>
    <t>Forgot appointment</t>
  </si>
  <si>
    <t>Stable on meds</t>
  </si>
  <si>
    <t>CLM-2024-072</t>
  </si>
  <si>
    <t>PT1073</t>
  </si>
  <si>
    <t>Ann</t>
  </si>
  <si>
    <t>Grant</t>
  </si>
  <si>
    <t>01/25/1991</t>
  </si>
  <si>
    <t>INS-78973</t>
  </si>
  <si>
    <t>DR523</t>
  </si>
  <si>
    <t>04/24/2024</t>
  </si>
  <si>
    <t>Eczema</t>
  </si>
  <si>
    <t>L20</t>
  </si>
  <si>
    <t>Tacrolimus Ointment</t>
  </si>
  <si>
    <t>05/24/2024</t>
  </si>
  <si>
    <t>Atopic dermatitis moderate</t>
  </si>
  <si>
    <t>CLM-2024-073</t>
  </si>
  <si>
    <t>PT1074</t>
  </si>
  <si>
    <t>Jack</t>
  </si>
  <si>
    <t>Schmidt</t>
  </si>
  <si>
    <t>INS-78974</t>
  </si>
  <si>
    <t>DR524</t>
  </si>
  <si>
    <t>04/25/2024</t>
  </si>
  <si>
    <t>Shoulder Arthroscopy</t>
  </si>
  <si>
    <t>M75</t>
  </si>
  <si>
    <t>Shoulder Surgery</t>
  </si>
  <si>
    <t>MRI Shoulder</t>
  </si>
  <si>
    <t>Rotator cuff tear</t>
  </si>
  <si>
    <t>CLM-2024-074</t>
  </si>
  <si>
    <t>PT1075</t>
  </si>
  <si>
    <t>Kelly</t>
  </si>
  <si>
    <t>Cunningham</t>
  </si>
  <si>
    <t>INS-78975</t>
  </si>
  <si>
    <t>DR525</t>
  </si>
  <si>
    <t>04/26/2024</t>
  </si>
  <si>
    <t>Constipation</t>
  </si>
  <si>
    <t>K59</t>
  </si>
  <si>
    <t>Miralax</t>
  </si>
  <si>
    <t>Functional constipation</t>
  </si>
  <si>
    <t>CLM-2024-075</t>
  </si>
  <si>
    <t>PT1076</t>
  </si>
  <si>
    <t>Philip</t>
  </si>
  <si>
    <t>Harper</t>
  </si>
  <si>
    <t>03/19/1972</t>
  </si>
  <si>
    <t>INS-78976</t>
  </si>
  <si>
    <t>DR526</t>
  </si>
  <si>
    <t>Thyroid Cancer</t>
  </si>
  <si>
    <t>C73</t>
  </si>
  <si>
    <t>Levothyroxine 150mcg</t>
  </si>
  <si>
    <t>Thyroglobulin Test</t>
  </si>
  <si>
    <t>05/29/2024</t>
  </si>
  <si>
    <t>No evidence of disease</t>
  </si>
  <si>
    <t>CLM-2024-076</t>
  </si>
  <si>
    <t>PT1077</t>
  </si>
  <si>
    <t>Martha</t>
  </si>
  <si>
    <t>Fletcher</t>
  </si>
  <si>
    <t>08/14/1989</t>
  </si>
  <si>
    <t>INS-78977</t>
  </si>
  <si>
    <t>DR527</t>
  </si>
  <si>
    <t>04/30/2024</t>
  </si>
  <si>
    <t>Budesonide Inhaler</t>
  </si>
  <si>
    <t>FEV1 82% predicted</t>
  </si>
  <si>
    <t>CLM-2024-077</t>
  </si>
  <si>
    <t>PT1078</t>
  </si>
  <si>
    <t>Joshua</t>
  </si>
  <si>
    <t>Mcdonald</t>
  </si>
  <si>
    <t>05/27/1965</t>
  </si>
  <si>
    <t>INS-78978</t>
  </si>
  <si>
    <t>DR528</t>
  </si>
  <si>
    <t>Pancreatitis</t>
  </si>
  <si>
    <t>K85</t>
  </si>
  <si>
    <t>Morphine 2mg</t>
  </si>
  <si>
    <t>Lipase Test</t>
  </si>
  <si>
    <t>Gallstone pancreatitis</t>
  </si>
  <si>
    <t>CLM-2024-078</t>
  </si>
  <si>
    <t>PT1079</t>
  </si>
  <si>
    <t>Carolyn</t>
  </si>
  <si>
    <t>Gill</t>
  </si>
  <si>
    <t>INS-78979</t>
  </si>
  <si>
    <t>DR529</t>
  </si>
  <si>
    <t>Generalized epilepsy</t>
  </si>
  <si>
    <t>CLM-2024-079</t>
  </si>
  <si>
    <t>PT1080</t>
  </si>
  <si>
    <t>Dennis</t>
  </si>
  <si>
    <t>Jacobs</t>
  </si>
  <si>
    <t>02/22/1978</t>
  </si>
  <si>
    <t>INS-78980</t>
  </si>
  <si>
    <t>DR530</t>
  </si>
  <si>
    <t>BP 122/78 controlled</t>
  </si>
  <si>
    <t>CLM-2024-080</t>
  </si>
  <si>
    <t>PT1081</t>
  </si>
  <si>
    <t>Pearson</t>
  </si>
  <si>
    <t>07/16/1985</t>
  </si>
  <si>
    <t>INS-78981</t>
  </si>
  <si>
    <t>DR531</t>
  </si>
  <si>
    <t>05/20/2024</t>
  </si>
  <si>
    <t>Elective cholecystectomy</t>
  </si>
  <si>
    <t>CLM-2024-081</t>
  </si>
  <si>
    <t>PT1082</t>
  </si>
  <si>
    <t>Lawrence</t>
  </si>
  <si>
    <t>Arnold</t>
  </si>
  <si>
    <t>12/29/1952</t>
  </si>
  <si>
    <t>INS-78982</t>
  </si>
  <si>
    <t>DR532</t>
  </si>
  <si>
    <t>Knee pain improved</t>
  </si>
  <si>
    <t>CLM-2024-082</t>
  </si>
  <si>
    <t>PT1083</t>
  </si>
  <si>
    <t>Heather</t>
  </si>
  <si>
    <t>Dixon</t>
  </si>
  <si>
    <t>INS-78983</t>
  </si>
  <si>
    <t>DR533</t>
  </si>
  <si>
    <t>Clindamycin Gel</t>
  </si>
  <si>
    <t>Mild comedonal acne</t>
  </si>
  <si>
    <t>CLM-2024-083</t>
  </si>
  <si>
    <t>PT1084</t>
  </si>
  <si>
    <t>Ryan</t>
  </si>
  <si>
    <t>Fuller</t>
  </si>
  <si>
    <t>INS-78984</t>
  </si>
  <si>
    <t>DR534</t>
  </si>
  <si>
    <t>Azithromycin 500mg</t>
  </si>
  <si>
    <t>Community-acquired pneumonia</t>
  </si>
  <si>
    <t>CLM-2024-084</t>
  </si>
  <si>
    <t>PT1085</t>
  </si>
  <si>
    <t>Laura</t>
  </si>
  <si>
    <t>Tucker</t>
  </si>
  <si>
    <t>01/23/1988</t>
  </si>
  <si>
    <t>INS-78985</t>
  </si>
  <si>
    <t>DR535</t>
  </si>
  <si>
    <t>32 weeks fetal growth normal</t>
  </si>
  <si>
    <t>CLM-2024-085</t>
  </si>
  <si>
    <t>PT1086</t>
  </si>
  <si>
    <t>Steve</t>
  </si>
  <si>
    <t>Hopkins</t>
  </si>
  <si>
    <t>06/14/1976</t>
  </si>
  <si>
    <t>INS-78986</t>
  </si>
  <si>
    <t>DR536</t>
  </si>
  <si>
    <t>05/13/2024</t>
  </si>
  <si>
    <t>Crohn's</t>
  </si>
  <si>
    <t>Infliximab Infusion</t>
  </si>
  <si>
    <t>CRP Test</t>
  </si>
  <si>
    <t>06/13/2024</t>
  </si>
  <si>
    <t>Insurance delay</t>
  </si>
  <si>
    <t>Infusion scheduled</t>
  </si>
  <si>
    <t>CLM-2024-086</t>
  </si>
  <si>
    <t>PT1087</t>
  </si>
  <si>
    <t>Diana</t>
  </si>
  <si>
    <t>Wells</t>
  </si>
  <si>
    <t>11/30/1999</t>
  </si>
  <si>
    <t>INS-78987</t>
  </si>
  <si>
    <t>DR537</t>
  </si>
  <si>
    <t>05/14/2024</t>
  </si>
  <si>
    <t>Febrile Seizure</t>
  </si>
  <si>
    <t>R56</t>
  </si>
  <si>
    <t>Simple febrile seizure</t>
  </si>
  <si>
    <t>CLM-2024-087</t>
  </si>
  <si>
    <t>PT1088</t>
  </si>
  <si>
    <t>Frank</t>
  </si>
  <si>
    <t>Johnston</t>
  </si>
  <si>
    <t>INS-78988</t>
  </si>
  <si>
    <t>DR538</t>
  </si>
  <si>
    <t>05/15/2024</t>
  </si>
  <si>
    <t>Right eye scheduled</t>
  </si>
  <si>
    <t>CLM-2024-088</t>
  </si>
  <si>
    <t>PT1089</t>
  </si>
  <si>
    <t>Julie</t>
  </si>
  <si>
    <t>Dean</t>
  </si>
  <si>
    <t>08/22/1993</t>
  </si>
  <si>
    <t>INS-78989</t>
  </si>
  <si>
    <t>DR539</t>
  </si>
  <si>
    <t>Drug Allergy</t>
  </si>
  <si>
    <t>T88</t>
  </si>
  <si>
    <t>Diphenhydramine 25mg</t>
  </si>
  <si>
    <t>06/16/2024</t>
  </si>
  <si>
    <t>Penicillin allergy confirmed</t>
  </si>
  <si>
    <t>CLM-2024-089</t>
  </si>
  <si>
    <t>PT1090</t>
  </si>
  <si>
    <t>Wayne</t>
  </si>
  <si>
    <t>Reed</t>
  </si>
  <si>
    <t>02/14/1981</t>
  </si>
  <si>
    <t>INS-78990</t>
  </si>
  <si>
    <t>DR540</t>
  </si>
  <si>
    <t>05/17/2024</t>
  </si>
  <si>
    <t>Hydrochlorothiazide 25mg</t>
  </si>
  <si>
    <t>06/17/2024</t>
  </si>
  <si>
    <t>Asymptomatic 3mm stone</t>
  </si>
  <si>
    <t>CLM-2024-090</t>
  </si>
  <si>
    <t>PT1091</t>
  </si>
  <si>
    <t>Alice</t>
  </si>
  <si>
    <t>West</t>
  </si>
  <si>
    <t>07/19/1986</t>
  </si>
  <si>
    <t>INS-78991</t>
  </si>
  <si>
    <t>DR541</t>
  </si>
  <si>
    <t>COPD Exacerbation</t>
  </si>
  <si>
    <t>Albuterol Nebulizer</t>
  </si>
  <si>
    <t>05/27/2024</t>
  </si>
  <si>
    <t>Increased dyspnea</t>
  </si>
  <si>
    <t>CLM-2024-091</t>
  </si>
  <si>
    <t>PT1092</t>
  </si>
  <si>
    <t>Tyler</t>
  </si>
  <si>
    <t>Sullivan</t>
  </si>
  <si>
    <t>INS-78992</t>
  </si>
  <si>
    <t>DR542</t>
  </si>
  <si>
    <t>05/21/2024</t>
  </si>
  <si>
    <t>FOLFOX Chemotherapy</t>
  </si>
  <si>
    <t>06/21/2024</t>
  </si>
  <si>
    <t>Cycle 5 completed</t>
  </si>
  <si>
    <t>CLM-2024-092</t>
  </si>
  <si>
    <t>PT1093</t>
  </si>
  <si>
    <t>Brenda</t>
  </si>
  <si>
    <t>Fields</t>
  </si>
  <si>
    <t>05/28/1995</t>
  </si>
  <si>
    <t>INS-78993</t>
  </si>
  <si>
    <t>DR543</t>
  </si>
  <si>
    <t>05/22/2024</t>
  </si>
  <si>
    <t>Sertraline 100mg</t>
  </si>
  <si>
    <t>06/22/2024</t>
  </si>
  <si>
    <t>PHQ-9 score 18</t>
  </si>
  <si>
    <t>CLM-2024-093</t>
  </si>
  <si>
    <t>PT1094</t>
  </si>
  <si>
    <t>Ralph</t>
  </si>
  <si>
    <t>Simmons</t>
  </si>
  <si>
    <t>INS-78994</t>
  </si>
  <si>
    <t>DR544</t>
  </si>
  <si>
    <t>05/23/2024</t>
  </si>
  <si>
    <t>Hip Fracture</t>
  </si>
  <si>
    <t>S72</t>
  </si>
  <si>
    <t>ORIF Hip</t>
  </si>
  <si>
    <t>Intertrochanteric fracture</t>
  </si>
  <si>
    <t>CLM-2024-094</t>
  </si>
  <si>
    <t>PT1095</t>
  </si>
  <si>
    <t>Denise</t>
  </si>
  <si>
    <t>Wagner</t>
  </si>
  <si>
    <t>03/17/1990</t>
  </si>
  <si>
    <t>INS-78995</t>
  </si>
  <si>
    <t>DR545</t>
  </si>
  <si>
    <t>Trimethoprim 100mg</t>
  </si>
  <si>
    <t>E. coli sensitive</t>
  </si>
  <si>
    <t>CLM-2024-095</t>
  </si>
  <si>
    <t>PT1096</t>
  </si>
  <si>
    <t>Phillip</t>
  </si>
  <si>
    <t>Harrison</t>
  </si>
  <si>
    <t>INS-78996</t>
  </si>
  <si>
    <t>DR546</t>
  </si>
  <si>
    <t>06/27/2024</t>
  </si>
  <si>
    <t>A1c 7.0%</t>
  </si>
  <si>
    <t>CLM-2024-096</t>
  </si>
  <si>
    <t>PT1097</t>
  </si>
  <si>
    <t>Rose</t>
  </si>
  <si>
    <t>Hanson</t>
  </si>
  <si>
    <t>INS-78997</t>
  </si>
  <si>
    <t>DR547</t>
  </si>
  <si>
    <t>05/28/2024</t>
  </si>
  <si>
    <t>Work schedule</t>
  </si>
  <si>
    <t>BP 135/85</t>
  </si>
  <si>
    <t>CLM-2024-097</t>
  </si>
  <si>
    <t>PT1098</t>
  </si>
  <si>
    <t>Earl</t>
  </si>
  <si>
    <t>Bishop</t>
  </si>
  <si>
    <t>06/26/1971</t>
  </si>
  <si>
    <t>INS-78998</t>
  </si>
  <si>
    <t>DR548</t>
  </si>
  <si>
    <t>Left forearm cellulitis</t>
  </si>
  <si>
    <t>CLM-2024-098</t>
  </si>
  <si>
    <t>PT1099</t>
  </si>
  <si>
    <t>Janice</t>
  </si>
  <si>
    <t>INS-78999</t>
  </si>
  <si>
    <t>DR549</t>
  </si>
  <si>
    <t>05/30/2024</t>
  </si>
  <si>
    <t>Multiple Sclerosis</t>
  </si>
  <si>
    <t>G35</t>
  </si>
  <si>
    <t>Interferon Beta</t>
  </si>
  <si>
    <t>MRI Brain</t>
  </si>
  <si>
    <t>06/30/2024</t>
  </si>
  <si>
    <t>RRMS diagnosis confirmed</t>
  </si>
  <si>
    <t>CLM-2024-099</t>
  </si>
  <si>
    <t>PT1100</t>
  </si>
  <si>
    <t>Anthony</t>
  </si>
  <si>
    <t>Howell</t>
  </si>
  <si>
    <t>04/30/1979</t>
  </si>
  <si>
    <t>INS-79000</t>
  </si>
  <si>
    <t>DR550</t>
  </si>
  <si>
    <t>05/31/2024</t>
  </si>
  <si>
    <t>Quiescent disease</t>
  </si>
  <si>
    <t>CLM-2024-100</t>
  </si>
  <si>
    <t>Patient ID</t>
  </si>
  <si>
    <t>Insurance ID</t>
  </si>
  <si>
    <t>PCP  ID</t>
  </si>
  <si>
    <t>Doctor ID</t>
  </si>
  <si>
    <t>Insurance Type</t>
  </si>
  <si>
    <t>Visit Date</t>
  </si>
  <si>
    <t>Visit Time</t>
  </si>
  <si>
    <t>Visit Type</t>
  </si>
  <si>
    <t>Primary Diagnosis</t>
  </si>
  <si>
    <t>Imaging Ordered</t>
  </si>
  <si>
    <t>Procedure Code</t>
  </si>
  <si>
    <t>Visit Cost</t>
  </si>
  <si>
    <t>Copay Amount</t>
  </si>
  <si>
    <t>Deductible Applied</t>
  </si>
  <si>
    <t>Total Paid</t>
  </si>
  <si>
    <t>Payment Method</t>
  </si>
  <si>
    <t>Followup Required</t>
  </si>
  <si>
    <t>Claim ID</t>
  </si>
  <si>
    <t>Secondary Diagnosis</t>
  </si>
  <si>
    <t>Treatment Code</t>
  </si>
  <si>
    <t>Medication Prescribed</t>
  </si>
  <si>
    <t>Followup Date</t>
  </si>
  <si>
    <t>Readmission Days</t>
  </si>
  <si>
    <t>Emergency Flag</t>
  </si>
  <si>
    <t>Referral Flag</t>
  </si>
  <si>
    <t>Cancellation Reason</t>
  </si>
  <si>
    <t>Patient Satisfaction</t>
  </si>
  <si>
    <t>Billing Status</t>
  </si>
  <si>
    <t>Lab Test Ordered</t>
  </si>
  <si>
    <t>Visit Duration Mins</t>
  </si>
  <si>
    <t>Insurance Coverage Pct</t>
  </si>
  <si>
    <t>Out Of Pocket</t>
  </si>
  <si>
    <t>No Show Flag</t>
  </si>
  <si>
    <t>Column1</t>
  </si>
  <si>
    <t>Column2</t>
  </si>
  <si>
    <t>Visit Type2</t>
  </si>
  <si>
    <t>Gastroesophageal Reflux Disease</t>
  </si>
  <si>
    <t>Inflammatory Bowel Disease</t>
  </si>
  <si>
    <t>Pelvic Inflammatory Disease</t>
  </si>
  <si>
    <t>Primary Diagnosis2</t>
  </si>
  <si>
    <t>N/A</t>
  </si>
  <si>
    <t>Not Specified</t>
  </si>
  <si>
    <t>Calculated Patient Due</t>
  </si>
  <si>
    <t>Follow-Up</t>
  </si>
  <si>
    <t>Pvcs</t>
  </si>
  <si>
    <t>Gastroentrology</t>
  </si>
  <si>
    <t>Crohn'S</t>
  </si>
  <si>
    <t>Chronic Obstructive Pulmonary Disease Exacerbation</t>
  </si>
  <si>
    <t>Medicare patients with visit cost more than $300</t>
  </si>
  <si>
    <t>Rejected claims (BillingStatus = "Rejected")</t>
  </si>
  <si>
    <t>No-show appointments (NoShowFlag = TRUE)</t>
  </si>
  <si>
    <t>Coronary Artery Disease</t>
  </si>
  <si>
    <t>Name</t>
  </si>
  <si>
    <t>John Smith</t>
  </si>
  <si>
    <t>Maria Garcia</t>
  </si>
  <si>
    <t>Robert Johnson</t>
  </si>
  <si>
    <t>Emily Wang</t>
  </si>
  <si>
    <t>James Miller</t>
  </si>
  <si>
    <t>Sarah Williams</t>
  </si>
  <si>
    <t>David Brown</t>
  </si>
  <si>
    <t>Lisa Martinez</t>
  </si>
  <si>
    <t>Michael Davis</t>
  </si>
  <si>
    <t>Jennifer Taylor</t>
  </si>
  <si>
    <t>Thomas Anderson</t>
  </si>
  <si>
    <t>Amanda Wilson</t>
  </si>
  <si>
    <t>Christopher Lee</t>
  </si>
  <si>
    <t>Jessica Moore</t>
  </si>
  <si>
    <t>William Thompson</t>
  </si>
  <si>
    <t>Nicole Harris</t>
  </si>
  <si>
    <t>Joseph Clark</t>
  </si>
  <si>
    <t>Megan Robinson</t>
  </si>
  <si>
    <t>Daniel Lewis</t>
  </si>
  <si>
    <t>Ashley Walker</t>
  </si>
  <si>
    <t>Matthew Allen</t>
  </si>
  <si>
    <t>Elizabeth Young</t>
  </si>
  <si>
    <t>Kevin King</t>
  </si>
  <si>
    <t>Samantha Wright</t>
  </si>
  <si>
    <t>Andrew Scott</t>
  </si>
  <si>
    <t>Lauren Green</t>
  </si>
  <si>
    <t>Edward Baker</t>
  </si>
  <si>
    <t>Rebecca Nelson</t>
  </si>
  <si>
    <t>George Carter</t>
  </si>
  <si>
    <t>Stephanie Mitchell</t>
  </si>
  <si>
    <t>Brian Roberts</t>
  </si>
  <si>
    <t>Cynthia Parker</t>
  </si>
  <si>
    <t>Timothy Evans</t>
  </si>
  <si>
    <t>Victoria Edwards</t>
  </si>
  <si>
    <t>Patrick Stewart</t>
  </si>
  <si>
    <t>Alexis Morris</t>
  </si>
  <si>
    <t>Jeffrey Cook</t>
  </si>
  <si>
    <t>Danielle Murphy</t>
  </si>
  <si>
    <t>Gregory Rivera</t>
  </si>
  <si>
    <t>Hannah Bell</t>
  </si>
  <si>
    <t>Peter Cooper</t>
  </si>
  <si>
    <t>Christine Richardson</t>
  </si>
  <si>
    <t>Jerry Ward</t>
  </si>
  <si>
    <t>Rachel Foster</t>
  </si>
  <si>
    <t>Keith Brooks</t>
  </si>
  <si>
    <t>Abigail Sanders</t>
  </si>
  <si>
    <t>Scott Price</t>
  </si>
  <si>
    <t>Kimberly Bennett</t>
  </si>
  <si>
    <t>Jonathan Wood</t>
  </si>
  <si>
    <t>Linda Barnes</t>
  </si>
  <si>
    <t>Brandon Ross</t>
  </si>
  <si>
    <t>Katherine Henderson</t>
  </si>
  <si>
    <t>Raymond Coleman</t>
  </si>
  <si>
    <t>Patricia Jenkins</t>
  </si>
  <si>
    <t>Samuel Powell</t>
  </si>
  <si>
    <t>Jennie Long</t>
  </si>
  <si>
    <t>Benjamin Hughes</t>
  </si>
  <si>
    <t>Shirley Flores</t>
  </si>
  <si>
    <t>Carlos Bryant</t>
  </si>
  <si>
    <t>Deborah Alexander</t>
  </si>
  <si>
    <t>Arthur Russell</t>
  </si>
  <si>
    <t>Catherine Gonzalez</t>
  </si>
  <si>
    <t>Ruth Watson</t>
  </si>
  <si>
    <t>Harry Fisher</t>
  </si>
  <si>
    <t>Cynthia Myers</t>
  </si>
  <si>
    <t>Jacob Hoffman</t>
  </si>
  <si>
    <t>Nicole Bryant</t>
  </si>
  <si>
    <t>Gerald Perry</t>
  </si>
  <si>
    <t>Betty Pierce</t>
  </si>
  <si>
    <t>Arthur Spencer</t>
  </si>
  <si>
    <t>Judith Howard</t>
  </si>
  <si>
    <t>Sean Garza</t>
  </si>
  <si>
    <t>Ann Grant</t>
  </si>
  <si>
    <t>Jack Schmidt</t>
  </si>
  <si>
    <t>Kelly Cunningham</t>
  </si>
  <si>
    <t>Philip Harper</t>
  </si>
  <si>
    <t>Martha Fletcher</t>
  </si>
  <si>
    <t>Joshua Mcdonald</t>
  </si>
  <si>
    <t>Carolyn Gill</t>
  </si>
  <si>
    <t>Dennis Jacobs</t>
  </si>
  <si>
    <t>Megan Pearson</t>
  </si>
  <si>
    <t>Lawrence Arnold</t>
  </si>
  <si>
    <t>Heather Dixon</t>
  </si>
  <si>
    <t>Ryan Fuller</t>
  </si>
  <si>
    <t>Laura Tucker</t>
  </si>
  <si>
    <t>Steve Hopkins</t>
  </si>
  <si>
    <t>Diana Wells</t>
  </si>
  <si>
    <t>Frank Johnston</t>
  </si>
  <si>
    <t>Julie Dean</t>
  </si>
  <si>
    <t>Wayne Reed</t>
  </si>
  <si>
    <t>Alice West</t>
  </si>
  <si>
    <t>Tyler Sullivan</t>
  </si>
  <si>
    <t>Brenda Fields</t>
  </si>
  <si>
    <t>Ralph Simmons</t>
  </si>
  <si>
    <t>Denise Wagner</t>
  </si>
  <si>
    <t>Phillip Harrison</t>
  </si>
  <si>
    <t>Rose Hanson</t>
  </si>
  <si>
    <t>Earl Bishop</t>
  </si>
  <si>
    <t>Janice Mcdonald</t>
  </si>
  <si>
    <t>Anthony Howell</t>
  </si>
  <si>
    <t>Maria Maria</t>
  </si>
  <si>
    <t>Sarah Sarah</t>
  </si>
  <si>
    <t>Michael Michael</t>
  </si>
  <si>
    <t>Christopher Christopher</t>
  </si>
  <si>
    <t>Jessica Jessica</t>
  </si>
  <si>
    <t>William William</t>
  </si>
  <si>
    <t>Ashley Ashley</t>
  </si>
  <si>
    <t>Elizabeth Elizabeth</t>
  </si>
  <si>
    <t>Samantha Samantha</t>
  </si>
  <si>
    <t>George George</t>
  </si>
  <si>
    <t>Stephanie Stephanie</t>
  </si>
  <si>
    <t>Victoria Victoria</t>
  </si>
  <si>
    <t>Patrick Patrick</t>
  </si>
  <si>
    <t>Hannah Hannah</t>
  </si>
  <si>
    <t>Christine Christine</t>
  </si>
  <si>
    <t>Rachel Rachel</t>
  </si>
  <si>
    <t>Scott Scott</t>
  </si>
  <si>
    <t>Jonathan Jonathan</t>
  </si>
  <si>
    <t>Linda Linda</t>
  </si>
  <si>
    <t>Patricia Patricia</t>
  </si>
  <si>
    <t>Samuel Samuel</t>
  </si>
  <si>
    <t>Deborah Deborah</t>
  </si>
  <si>
    <t>Catherine Catherine</t>
  </si>
  <si>
    <t>Harry Harry</t>
  </si>
  <si>
    <t>Gerald Gerald</t>
  </si>
  <si>
    <t>Betty Betty</t>
  </si>
  <si>
    <t>Ann Ann</t>
  </si>
  <si>
    <t>Jack Jack</t>
  </si>
  <si>
    <t>Carolyn Carolyn</t>
  </si>
  <si>
    <t>Megan Megan</t>
  </si>
  <si>
    <t>Heather Heather</t>
  </si>
  <si>
    <t>Steve Steve</t>
  </si>
  <si>
    <t>Frank Frank</t>
  </si>
  <si>
    <t>Julie Julie</t>
  </si>
  <si>
    <t>Brenda Brenda</t>
  </si>
  <si>
    <t>Ralph Ralph</t>
  </si>
  <si>
    <t>Janice Janice</t>
  </si>
  <si>
    <t>Average satisfaction by department</t>
  </si>
  <si>
    <t>Departement</t>
  </si>
  <si>
    <t>Average Satisfication</t>
  </si>
  <si>
    <t>Doctor with highest cancellation rate</t>
  </si>
  <si>
    <t>DoctorName</t>
  </si>
  <si>
    <t>Specialty</t>
  </si>
  <si>
    <t>Dr. Sarah Chen</t>
  </si>
  <si>
    <t>Dr. Michael Patel</t>
  </si>
  <si>
    <t>Dr. James Wilson</t>
  </si>
  <si>
    <t>Dr. Lisa Rodriguez</t>
  </si>
  <si>
    <t>Emergency Medicine</t>
  </si>
  <si>
    <t>Dr. Robert Kim</t>
  </si>
  <si>
    <t>Dr. David Thompson</t>
  </si>
  <si>
    <t>Dr. Maria Garcia</t>
  </si>
  <si>
    <t>Dr. Jennifer Lee</t>
  </si>
  <si>
    <t>Dr. William Taylor</t>
  </si>
  <si>
    <t>Dr. Patricia Martinez</t>
  </si>
  <si>
    <t>Dr. Richard Brown</t>
  </si>
  <si>
    <t>Dr. Susan Miller</t>
  </si>
  <si>
    <t>Dr. Thomas Anderson</t>
  </si>
  <si>
    <t>Dr. Elizabeth Davis</t>
  </si>
  <si>
    <t>Dr. John White</t>
  </si>
  <si>
    <t>Dr. Nancy Johnson</t>
  </si>
  <si>
    <t>Dr. Charles Wilson</t>
  </si>
  <si>
    <t>Dr. Karen Moore</t>
  </si>
  <si>
    <t>Dr. Christopher Taylor</t>
  </si>
  <si>
    <t>Dr. Amanda Martinez</t>
  </si>
  <si>
    <t>Dr. Daniel Robinson</t>
  </si>
  <si>
    <t>Dr. Jessica Thomas</t>
  </si>
  <si>
    <t>Dr. Matthew Jackson</t>
  </si>
  <si>
    <t>Dr. Ashley Harris</t>
  </si>
  <si>
    <t>Dr. Joshua Martin</t>
  </si>
  <si>
    <t>Dr. Emily Thompson</t>
  </si>
  <si>
    <t>Dr. Andrew Garcia</t>
  </si>
  <si>
    <t>Dr. Rachel Lewis</t>
  </si>
  <si>
    <t>Dr. Kevin Walker</t>
  </si>
  <si>
    <t>Dr. Stephanie Hall</t>
  </si>
  <si>
    <t>Dr. Brian Allen</t>
  </si>
  <si>
    <t>Dr. Laura Young</t>
  </si>
  <si>
    <t>Dr. Jason King</t>
  </si>
  <si>
    <t>Dr. Kimberly Wright</t>
  </si>
  <si>
    <t>Dr. Eric Scott</t>
  </si>
  <si>
    <t>Dr. Michelle Green</t>
  </si>
  <si>
    <t>Dr. Jeffrey Adams</t>
  </si>
  <si>
    <t>Dr. Nicole Baker</t>
  </si>
  <si>
    <t>Dr. Scott Nelson</t>
  </si>
  <si>
    <t>Dr. Rebecca Carter</t>
  </si>
  <si>
    <t>Dr. Gregory Mitchell</t>
  </si>
  <si>
    <t>Dr. Christina Perez</t>
  </si>
  <si>
    <t>Dr. Timothy Roberts</t>
  </si>
  <si>
    <t>Dr. Stephanie Turner</t>
  </si>
  <si>
    <t>Dr. Patrick Phillips</t>
  </si>
  <si>
    <t>Dr. Heather Campbell</t>
  </si>
  <si>
    <t>Dr. Stephen Parker</t>
  </si>
  <si>
    <t>Dr. Carolyn Evans</t>
  </si>
  <si>
    <t>Dr. Lawrence Edwards</t>
  </si>
  <si>
    <t>Dr. Dorothy Collins</t>
  </si>
  <si>
    <t>Dr. Willie Stewart</t>
  </si>
  <si>
    <t>Dr. Doris Morris</t>
  </si>
  <si>
    <t>Dr. Ralph Rogers</t>
  </si>
  <si>
    <t>Dr. Jean Reed</t>
  </si>
  <si>
    <t>Dr. Gerald Cook</t>
  </si>
  <si>
    <t>Dr. Gloria Morgan</t>
  </si>
  <si>
    <t>Dr. Peter Bell</t>
  </si>
  <si>
    <t>Dr. Marilyn Murphy</t>
  </si>
  <si>
    <t>Dr. Eugene Bailey</t>
  </si>
  <si>
    <t>Dr. Doris Rivera</t>
  </si>
  <si>
    <t>Dr. Albert Cooper</t>
  </si>
  <si>
    <t>Dr. Joan Richardson</t>
  </si>
  <si>
    <t>Dr. Wayne Cox</t>
  </si>
  <si>
    <t>Dr. Ann Howard</t>
  </si>
  <si>
    <t>Dr. Joe Ward</t>
  </si>
  <si>
    <t>Dr. Frances Torres</t>
  </si>
  <si>
    <t>Dr. Carl Peterson</t>
  </si>
  <si>
    <t>Dr. Diana Gray</t>
  </si>
  <si>
    <t>Dr. Bruce Ramirez</t>
  </si>
  <si>
    <t>Dr. Phyllis James</t>
  </si>
  <si>
    <t>Dr. Ralph Bennett</t>
  </si>
  <si>
    <t>Dr. Gloria Coleman</t>
  </si>
  <si>
    <t>Dr. Roy Jenkins</t>
  </si>
  <si>
    <t>Dr. Evelyn Perry</t>
  </si>
  <si>
    <t>Dr. Earl Powell</t>
  </si>
  <si>
    <t>Dr. Shirley Long</t>
  </si>
  <si>
    <t>Dr. Samuel Patterson</t>
  </si>
  <si>
    <t>Dr. Margaret Hughes</t>
  </si>
  <si>
    <t>Dr. Victor Flores</t>
  </si>
  <si>
    <t>Dr. Lois Washington</t>
  </si>
  <si>
    <t>Dr. Ernest Butler</t>
  </si>
  <si>
    <t>Dr. Judith Simmons</t>
  </si>
  <si>
    <t>Dr. Clarence Foster</t>
  </si>
  <si>
    <t>Dr. Ruby Gonzales</t>
  </si>
  <si>
    <t>Dr. Howard Bryant</t>
  </si>
  <si>
    <t>Dr. Mildred Alexander</t>
  </si>
  <si>
    <t>Dr. Russell Russell</t>
  </si>
  <si>
    <t>Dr. Annie Griffin</t>
  </si>
  <si>
    <t>Dr. Albert Diaz</t>
  </si>
  <si>
    <t>Dr. Clara Hayes</t>
  </si>
  <si>
    <t>Dr. Johnny Myers</t>
  </si>
  <si>
    <t>Dr. Norma Ford</t>
  </si>
  <si>
    <t>Dr. Billy Hamilton</t>
  </si>
  <si>
    <t>Dr. Rose Graham</t>
  </si>
  <si>
    <t>Dr. Willie Sullivan</t>
  </si>
  <si>
    <t>Dr. Ruby Wallace</t>
  </si>
  <si>
    <t>Dr. Eugene Woods</t>
  </si>
  <si>
    <t>Dr. Juanita Cole</t>
  </si>
  <si>
    <t>Dr. Dennis West</t>
  </si>
  <si>
    <t>Dr. Lillian Jordan</t>
  </si>
  <si>
    <t>Doctor Name</t>
  </si>
  <si>
    <t>Diagnosis reference table (ICD-10 code, Full Diagnosis Name)</t>
  </si>
  <si>
    <t>Benign Prostatic Hyperplasia</t>
  </si>
  <si>
    <t>Chronic Obstructive Pulmonary Disease</t>
  </si>
  <si>
    <t>Parkinson'S</t>
  </si>
  <si>
    <t>Adhd</t>
  </si>
  <si>
    <t>Uti</t>
  </si>
</sst>
</file>

<file path=xl/styles.xml><?xml version="1.0" encoding="utf-8"?>
<styleSheet xmlns="http://schemas.openxmlformats.org/spreadsheetml/2006/main">
  <numFmts count="9">
    <numFmt numFmtId="44" formatCode="_-&quot;Rs&quot;* #,##0.00_-;\-&quot;Rs&quot;* #,##0.00_-;_-&quot;Rs&quot;* &quot;-&quot;??_-;_-@_-"/>
    <numFmt numFmtId="164" formatCode="_-[$$-409]* #,##0.00_ ;_-[$$-409]* \-#,##0.00\ ;_-[$$-409]* &quot;-&quot;??_ ;_-@_ "/>
    <numFmt numFmtId="165" formatCode="[$-en-PK,1]dd/mm/yyyy;@"/>
    <numFmt numFmtId="165" formatCode="[$]dd/mm/yyyy;@"/>
    <numFmt numFmtId="166" formatCode="[$-F400]h:mm:ss\ AM/PM"/>
    <numFmt numFmtId="177" formatCode="0%"/>
    <numFmt numFmtId="178" formatCode="General"/>
    <numFmt numFmtId="179" formatCode="dd/mm/yyyy"/>
    <numFmt numFmtId="180" formatCode="0.00"/>
  </numFmts>
  <fonts count="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b/>
      <i/>
      <sz val="14"/>
      <color rgb="FFF8F8F8"/>
      <name val="Calibri"/>
      <family val="2"/>
      <scheme val="minor"/>
    </font>
    <font>
      <b/>
      <i/>
      <sz val="16"/>
      <color rgb="FFF8F8F8"/>
      <name val="Calibri"/>
      <family val="2"/>
      <scheme val="minor"/>
    </font>
    <font>
      <sz val="11"/>
      <color rgb="FFF8F8F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6E3FF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rgb="FF00B05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 style="thin">
        <color theme="4" tint="0.399980008602142"/>
      </top>
      <bottom style="thin">
        <color theme="4" tint="0.399980008602142"/>
      </bottom>
    </border>
    <border>
      <left/>
      <right/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theme="4" tint="0.399980008602142"/>
      </top>
      <bottom style="thin">
        <color auto="1"/>
      </bottom>
    </border>
    <border>
      <left style="thin">
        <color auto="1"/>
      </left>
      <right/>
      <top style="thin">
        <color theme="4" tint="0.399980008602142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theme="4" tint="0.399980008602142"/>
      </top>
      <bottom/>
    </border>
    <border>
      <left style="thin">
        <color auto="1"/>
      </left>
      <right/>
      <top style="thin">
        <color theme="4" tint="0.399980008602142"/>
      </top>
      <bottom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44" fontId="0" fillId="0" borderId="1" xfId="2" applyFont="1" applyBorder="1" applyAlignment="1">
      <alignment horizontal="left" vertical="center" indent="2"/>
    </xf>
    <xf numFmtId="0" fontId="0" fillId="0" borderId="1" xfId="2" applyNumberFormat="1" applyFont="1" applyBorder="1" applyAlignment="1">
      <alignment horizontal="left" vertical="center" indent="2"/>
    </xf>
    <xf numFmtId="9" fontId="0" fillId="0" borderId="1" xfId="2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0" fillId="0" borderId="4" xfId="0" applyNumberFormat="1" applyBorder="1" applyAlignment="1">
      <alignment horizontal="left" vertical="center" indent="12"/>
    </xf>
    <xf numFmtId="164" fontId="0" fillId="0" borderId="1" xfId="0" applyNumberFormat="1" applyBorder="1" applyAlignment="1">
      <alignment horizontal="left" vertical="center" indent="12"/>
    </xf>
    <xf numFmtId="164" fontId="0" fillId="0" borderId="5" xfId="0" applyNumberFormat="1" applyBorder="1" applyAlignment="1">
      <alignment horizontal="left" vertical="center" indent="12"/>
    </xf>
    <xf numFmtId="164" fontId="0" fillId="0" borderId="1" xfId="2" applyNumberFormat="1" applyFont="1" applyBorder="1" applyAlignment="1">
      <alignment horizontal="left" vertical="center" indent="1"/>
    </xf>
    <xf numFmtId="164" fontId="0" fillId="0" borderId="1" xfId="2" applyNumberFormat="1" applyFont="1" applyBorder="1" applyAlignment="1">
      <alignment horizontal="left" vertical="center" indent="7"/>
    </xf>
    <xf numFmtId="164" fontId="0" fillId="0" borderId="1" xfId="2" applyNumberFormat="1" applyFont="1" applyBorder="1" applyAlignment="1">
      <alignment horizontal="left" vertical="center" indent="2"/>
    </xf>
    <xf numFmtId="164" fontId="0" fillId="0" borderId="1" xfId="2" applyNumberFormat="1" applyFont="1" applyBorder="1" applyAlignment="1">
      <alignment horizontal="left" vertical="center" indent="3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4" fontId="0" fillId="3" borderId="1" xfId="2" applyNumberFormat="1" applyFont="1" applyFill="1" applyBorder="1" applyAlignment="1">
      <alignment horizontal="left" vertical="center" indent="3"/>
    </xf>
    <xf numFmtId="0" fontId="0" fillId="3" borderId="1" xfId="2" applyNumberFormat="1" applyFont="1" applyFill="1" applyBorder="1" applyAlignment="1">
      <alignment horizontal="left" vertical="center" indent="2"/>
    </xf>
    <xf numFmtId="9" fontId="0" fillId="3" borderId="1" xfId="2" applyNumberFormat="1" applyFont="1" applyFill="1" applyBorder="1" applyAlignment="1">
      <alignment horizontal="center" vertical="center"/>
    </xf>
    <xf numFmtId="44" fontId="0" fillId="3" borderId="1" xfId="2" applyFont="1" applyFill="1" applyBorder="1" applyAlignment="1">
      <alignment horizontal="left" vertical="center" indent="2"/>
    </xf>
    <xf numFmtId="164" fontId="0" fillId="3" borderId="1" xfId="2" applyNumberFormat="1" applyFont="1" applyFill="1" applyBorder="1" applyAlignment="1">
      <alignment horizontal="left" vertical="center" indent="7"/>
    </xf>
    <xf numFmtId="164" fontId="0" fillId="3" borderId="1" xfId="2" applyNumberFormat="1" applyFont="1" applyFill="1" applyBorder="1" applyAlignment="1">
      <alignment horizontal="left" vertical="center" indent="2"/>
    </xf>
    <xf numFmtId="164" fontId="0" fillId="3" borderId="1" xfId="2" applyNumberFormat="1" applyFont="1" applyFill="1" applyBorder="1" applyAlignment="1">
      <alignment horizontal="left" vertical="center" indent="1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0" borderId="6" xfId="0" applyNumberFormat="1" applyBorder="1" applyAlignment="1">
      <alignment horizontal="left" vertical="center" indent="12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164" fontId="0" fillId="0" borderId="5" xfId="2" applyNumberFormat="1" applyFont="1" applyBorder="1" applyAlignment="1">
      <alignment horizontal="left" vertical="center" indent="3"/>
    </xf>
    <xf numFmtId="9" fontId="0" fillId="0" borderId="5" xfId="2" applyNumberFormat="1" applyFont="1" applyBorder="1" applyAlignment="1">
      <alignment horizontal="center" vertical="center"/>
    </xf>
    <xf numFmtId="44" fontId="0" fillId="0" borderId="5" xfId="2" applyFont="1" applyBorder="1" applyAlignment="1">
      <alignment horizontal="left" vertical="center" indent="2"/>
    </xf>
    <xf numFmtId="164" fontId="0" fillId="0" borderId="5" xfId="2" applyNumberFormat="1" applyFont="1" applyBorder="1" applyAlignment="1">
      <alignment horizontal="left" vertical="center" indent="7"/>
    </xf>
    <xf numFmtId="164" fontId="0" fillId="0" borderId="5" xfId="2" applyNumberFormat="1" applyFont="1" applyBorder="1" applyAlignment="1">
      <alignment horizontal="left" vertical="center" indent="2"/>
    </xf>
    <xf numFmtId="164" fontId="0" fillId="0" borderId="5" xfId="2" applyNumberFormat="1" applyFont="1" applyBorder="1" applyAlignment="1">
      <alignment horizontal="left" vertical="center" indent="1"/>
    </xf>
    <xf numFmtId="164" fontId="0" fillId="0" borderId="10" xfId="0" applyNumberFormat="1" applyBorder="1" applyAlignment="1">
      <alignment horizontal="left" vertical="center" indent="12"/>
    </xf>
    <xf numFmtId="0" fontId="2" fillId="2" borderId="11" xfId="0" applyFont="1" applyFill="1" applyBorder="1" applyAlignment="1">
      <alignment horizontal="center" vertical="center"/>
    </xf>
    <xf numFmtId="164" fontId="0" fillId="3" borderId="6" xfId="0" applyNumberFormat="1" applyFill="1" applyBorder="1" applyAlignment="1">
      <alignment horizontal="left" vertical="center" indent="12"/>
    </xf>
    <xf numFmtId="0" fontId="0" fillId="3" borderId="9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14" fontId="0" fillId="3" borderId="5" xfId="0" applyNumberFormat="1" applyFill="1" applyBorder="1" applyAlignment="1">
      <alignment horizontal="center" vertical="center"/>
    </xf>
    <xf numFmtId="165" fontId="0" fillId="3" borderId="5" xfId="0" applyNumberFormat="1" applyFill="1" applyBorder="1" applyAlignment="1">
      <alignment horizontal="center" vertical="center"/>
    </xf>
    <xf numFmtId="166" fontId="0" fillId="3" borderId="5" xfId="0" applyNumberFormat="1" applyFill="1" applyBorder="1" applyAlignment="1">
      <alignment horizontal="center" vertical="center"/>
    </xf>
    <xf numFmtId="164" fontId="0" fillId="3" borderId="5" xfId="2" applyNumberFormat="1" applyFont="1" applyFill="1" applyBorder="1" applyAlignment="1">
      <alignment horizontal="left" vertical="center" indent="3"/>
    </xf>
    <xf numFmtId="0" fontId="0" fillId="3" borderId="5" xfId="2" applyNumberFormat="1" applyFont="1" applyFill="1" applyBorder="1" applyAlignment="1">
      <alignment horizontal="left" vertical="center" indent="2"/>
    </xf>
    <xf numFmtId="9" fontId="0" fillId="3" borderId="5" xfId="2" applyNumberFormat="1" applyFont="1" applyFill="1" applyBorder="1" applyAlignment="1">
      <alignment horizontal="center" vertical="center"/>
    </xf>
    <xf numFmtId="44" fontId="0" fillId="3" borderId="5" xfId="2" applyFont="1" applyFill="1" applyBorder="1" applyAlignment="1">
      <alignment horizontal="left" vertical="center" indent="2"/>
    </xf>
    <xf numFmtId="164" fontId="0" fillId="3" borderId="5" xfId="2" applyNumberFormat="1" applyFont="1" applyFill="1" applyBorder="1" applyAlignment="1">
      <alignment horizontal="left" vertical="center" indent="7"/>
    </xf>
    <xf numFmtId="164" fontId="0" fillId="3" borderId="5" xfId="2" applyNumberFormat="1" applyFont="1" applyFill="1" applyBorder="1" applyAlignment="1">
      <alignment horizontal="left" vertical="center" indent="2"/>
    </xf>
    <xf numFmtId="164" fontId="0" fillId="3" borderId="5" xfId="2" applyNumberFormat="1" applyFont="1" applyFill="1" applyBorder="1" applyAlignment="1">
      <alignment horizontal="left" vertical="center" indent="1"/>
    </xf>
    <xf numFmtId="164" fontId="0" fillId="3" borderId="10" xfId="0" applyNumberFormat="1" applyFill="1" applyBorder="1" applyAlignment="1">
      <alignment horizontal="left" vertical="center" indent="12"/>
    </xf>
    <xf numFmtId="0" fontId="0" fillId="0" borderId="0" xfId="1" applyNumberFormat="1" applyFont="1">
      <alignment/>
    </xf>
    <xf numFmtId="0" fontId="2" fillId="2" borderId="12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2" fontId="0" fillId="3" borderId="4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2" fontId="0" fillId="3" borderId="13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2" xfId="0" applyFont="1" applyFill="1" applyBorder="1" applyAlignment="1">
      <alignment horizontal="center" vertical="center"/>
    </xf>
    <xf numFmtId="2" fontId="0" fillId="3" borderId="14" xfId="0" applyNumberFormat="1" applyFont="1" applyFill="1" applyBorder="1" applyAlignment="1">
      <alignment horizontal="center" vertical="center"/>
    </xf>
    <xf numFmtId="0" fontId="0" fillId="3" borderId="9" xfId="0" applyFont="1" applyFill="1" applyBorder="1" applyAlignment="1">
      <alignment horizontal="center" vertical="center"/>
    </xf>
    <xf numFmtId="2" fontId="0" fillId="3" borderId="15" xfId="0" applyNumberFormat="1" applyFont="1" applyFill="1" applyBorder="1" applyAlignment="1">
      <alignment horizontal="center" vertical="center"/>
    </xf>
    <xf numFmtId="2" fontId="0" fillId="3" borderId="16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dxfs count="243">
    <dxf>
      <numFmt numFmtId="164" formatCode="_-[$$-409]* #,##0.00_ ;_-[$$-409]* \-#,##0.00\ ;_-[$$-409]* &quot;-&quot;??_ ;_-@_ "/>
      <alignment horizontal="left" vertical="center" textRotation="0" wrapTex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shrinkToFit="0" readingOrder="0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4" formatCode="_-[$$-409]* #,##0.00_ ;_-[$$-409]* \-#,##0.00\ ;_-[$$-409]* &quot;-&quot;??_ ;_-@_ "/>
      <alignment horizontal="left" vertical="center" textRotation="0" wrapText="0" shrinkToFit="0" readingOrder="0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4" formatCode="_-[$$-409]* #,##0.00_ ;_-[$$-409]* \-#,##0.00\ ;_-[$$-409]* &quot;-&quot;??_ ;_-@_ "/>
      <alignment horizontal="left" vertical="center" textRotation="0" wrapText="0" shrinkToFit="0" readingOrder="0"/>
      <border>
        <left/>
        <right/>
        <top style="thin">
          <color auto="1"/>
        </top>
        <bottom style="thin">
          <color auto="1"/>
        </bottom>
      </border>
    </dxf>
    <dxf>
      <numFmt numFmtId="164" formatCode="_-[$$-409]* #,##0.00_ ;_-[$$-409]* \-#,##0.00\ ;_-[$$-409]* &quot;-&quot;??_ ;_-@_ "/>
      <alignment horizontal="left" vertical="center" textRotation="0" wrapText="0" shrinkToFit="0" readingOrder="0"/>
      <border>
        <left/>
        <right/>
        <top style="thin">
          <color auto="1"/>
        </top>
        <bottom style="thin">
          <color auto="1"/>
        </bottom>
      </border>
    </dxf>
    <dxf>
      <alignment horizontal="left" vertical="center" textRotation="0" wrapText="0" shrinkToFit="0" readingOrder="0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177" formatCode="0%"/>
      <alignment horizontal="center" vertical="center" textRotation="0" wrapText="0" indent="0" shrinkToFit="0" readingOrder="0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164" formatCode="_-[$$-409]* #,##0.00_ ;_-[$$-409]* \-#,##0.00\ ;_-[$$-409]* &quot;-&quot;??_ ;_-@_ "/>
      <alignment horizontal="left" vertical="center" textRotation="0" wrapTex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shrinkToFit="0" readingOrder="0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78" formatCode="General"/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8" formatCode="General"/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79" formatCode="dd/mm/yyyy"/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6" formatCode="[$-F400]h:mm:ss\ AM/PM"/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[$-en-PK,1]dd/mm/yyyy;@"/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[$]dd/mm/yyyy;@"/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79" formatCode="dd/mm/yyyy"/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78" formatCode="General"/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</border>
    </dxf>
    <dxf>
      <alignment horizontal="center" vertical="center" textRotation="0" wrapText="0" indent="0" shrinkToFit="0" readingOrder="0"/>
      <border/>
    </dxf>
    <dxf>
      <font>
        <b/>
        <i/>
        <u val="none"/>
        <strike val="0"/>
        <sz val="11"/>
        <name val="Calibri"/>
        <family val="2"/>
        <color auto="1"/>
      </font>
      <fill>
        <patternFill patternType="solid">
          <fgColor indexed="65"/>
          <bgColor rgb="FF76E3FF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u val="none"/>
        <strike val="0"/>
        <sz val="11"/>
        <name val="Calibri"/>
        <family val="2"/>
        <color theme="1"/>
      </font>
      <numFmt numFmtId="180" formatCode="0.00"/>
      <fill>
        <patternFill patternType="solid">
          <fgColor theme="4" tint="0.799979984760284"/>
          <bgColor theme="4" tint="0.799979984760284"/>
        </patternFill>
      </fill>
      <alignment horizontal="center" vertical="center" textRotation="0" wrapText="0" indent="0" shrinkToFit="0" readingOrder="0"/>
      <border>
        <left style="thin">
          <color auto="1"/>
        </left>
        <right/>
        <top style="thin">
          <color theme="4" tint="0.399980008602142"/>
        </top>
        <bottom style="thin">
          <color auto="1"/>
        </bottom>
        <vertical/>
        <horizontal/>
      </border>
    </dxf>
    <dxf>
      <font>
        <b val="0"/>
        <i val="0"/>
        <u val="none"/>
        <strike val="0"/>
        <sz val="11"/>
        <name val="Calibri"/>
        <family val="2"/>
        <color theme="1"/>
      </font>
      <numFmt numFmtId="180" formatCode="0.00"/>
      <fill>
        <patternFill patternType="solid">
          <fgColor theme="4" tint="0.799979984760284"/>
          <bgColor theme="4" tint="0.799979984760284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theme="4" tint="0.399980008602142"/>
        </top>
        <bottom style="thin">
          <color auto="1"/>
        </bottom>
        <vertical/>
        <horizontal/>
      </border>
    </dxf>
    <dxf>
      <font>
        <b val="0"/>
        <i val="0"/>
        <u val="none"/>
        <strike val="0"/>
        <sz val="11"/>
        <name val="Calibri"/>
        <family val="2"/>
        <color theme="1"/>
      </font>
      <fill>
        <patternFill patternType="solid">
          <fgColor theme="4" tint="0.799979984760284"/>
          <bgColor theme="4" tint="0.799979984760284"/>
        </patternFill>
      </fill>
      <alignment horizontal="center" vertical="center" textRotation="0" wrapText="0" indent="0" shrinkToFit="0" readingOrder="0"/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u val="none"/>
        <strike val="0"/>
        <sz val="11"/>
        <name val="Calibri"/>
        <family val="2"/>
        <color theme="1"/>
      </font>
      <numFmt numFmtId="178" formatCode="General"/>
      <fill>
        <patternFill patternType="solid">
          <fgColor theme="4" tint="0.799979984760284"/>
          <bgColor theme="4" tint="0.799979984760284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shrinkToFit="0" readingOrder="0"/>
    </dxf>
    <dxf>
      <border>
        <bottom style="thin">
          <color auto="1"/>
        </bottom>
      </border>
    </dxf>
    <dxf>
      <font>
        <b/>
        <i/>
        <u val="none"/>
        <strike val="0"/>
        <sz val="11"/>
        <name val="Calibri"/>
        <family val="2"/>
        <color auto="1"/>
      </font>
      <fill>
        <patternFill patternType="solid">
          <fgColor indexed="65"/>
          <bgColor rgb="FF76E3FF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/>
        <bottom/>
      </border>
    </dxf>
    <dxf>
      <font>
        <b/>
        <i/>
        <u val="none"/>
        <strike val="0"/>
        <sz val="11"/>
        <name val="Calibri"/>
        <family val="2"/>
        <color auto="1"/>
      </font>
      <fill>
        <patternFill patternType="solid">
          <fgColor indexed="65"/>
          <bgColor rgb="FF76E3FF"/>
        </patternFill>
      </fill>
      <alignment horizontal="center" vertical="center" textRotation="0" wrapText="0" indent="0" shrinkToFit="0" readingOrder="0"/>
      <border>
        <left style="thin">
          <color auto="1"/>
        </left>
        <right/>
        <top style="thin">
          <color theme="4" tint="0.399980008602142"/>
        </top>
        <bottom style="thin">
          <color theme="4" tint="0.399980008602142"/>
        </bottom>
      </border>
    </dxf>
    <dxf>
      <font>
        <b/>
        <i/>
        <u val="none"/>
        <strike val="0"/>
        <sz val="11"/>
        <name val="Calibri"/>
        <family val="2"/>
        <color auto="1"/>
      </font>
      <fill>
        <patternFill patternType="solid">
          <fgColor indexed="65"/>
          <bgColor rgb="FF76E3FF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u val="none"/>
        <strike val="0"/>
        <sz val="11"/>
        <name val="Calibri"/>
        <family val="2"/>
        <color auto="1"/>
      </font>
      <fill>
        <patternFill patternType="solid">
          <fgColor indexed="65"/>
          <bgColor rgb="FF76E3FF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u val="none"/>
        <strike val="0"/>
        <sz val="11"/>
        <name val="Calibri"/>
        <family val="2"/>
        <color auto="1"/>
      </font>
      <fill>
        <patternFill patternType="solid">
          <fgColor indexed="65"/>
          <bgColor rgb="FF76E3FF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u val="none"/>
        <strike val="0"/>
        <sz val="11"/>
        <name val="Calibri"/>
        <family val="2"/>
        <color auto="1"/>
      </font>
      <fill>
        <patternFill patternType="solid">
          <fgColor indexed="65"/>
          <bgColor rgb="FF76E3FF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u val="none"/>
        <strike val="0"/>
        <sz val="11"/>
        <name val="Calibri"/>
        <family val="2"/>
        <color auto="1"/>
      </font>
      <fill>
        <patternFill patternType="solid">
          <fgColor indexed="65"/>
          <bgColor rgb="FF76E3FF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u val="none"/>
        <strike val="0"/>
        <sz val="11"/>
        <name val="Calibri"/>
        <family val="2"/>
        <color auto="1"/>
      </font>
      <fill>
        <patternFill patternType="solid">
          <fgColor indexed="65"/>
          <bgColor rgb="FF76E3FF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u val="none"/>
        <strike val="0"/>
        <sz val="11"/>
        <name val="Calibri"/>
        <family val="2"/>
        <color auto="1"/>
      </font>
      <fill>
        <patternFill patternType="solid">
          <fgColor indexed="65"/>
          <bgColor rgb="FF76E3FF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u val="none"/>
        <strike val="0"/>
        <sz val="11"/>
        <name val="Calibri"/>
        <family val="2"/>
        <color auto="1"/>
      </font>
      <fill>
        <patternFill patternType="solid">
          <fgColor indexed="65"/>
          <bgColor rgb="FF76E3FF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u val="none"/>
        <strike val="0"/>
        <sz val="11"/>
        <name val="Calibri"/>
        <family val="2"/>
        <color auto="1"/>
      </font>
      <fill>
        <patternFill patternType="solid">
          <fgColor indexed="65"/>
          <bgColor rgb="FF76E3FF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u val="none"/>
        <strike val="0"/>
        <sz val="11"/>
        <name val="Calibri"/>
        <family val="2"/>
        <color auto="1"/>
      </font>
      <fill>
        <patternFill patternType="solid">
          <fgColor indexed="65"/>
          <bgColor rgb="FF76E3FF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u val="none"/>
        <strike val="0"/>
        <sz val="11"/>
        <name val="Calibri"/>
        <family val="2"/>
        <color auto="1"/>
      </font>
      <fill>
        <patternFill patternType="solid">
          <fgColor indexed="65"/>
          <bgColor rgb="FF76E3FF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u val="none"/>
        <strike val="0"/>
        <sz val="11"/>
        <name val="Calibri"/>
        <family val="2"/>
        <color auto="1"/>
      </font>
      <fill>
        <patternFill patternType="solid">
          <fgColor indexed="65"/>
          <bgColor rgb="FF76E3FF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u val="none"/>
        <strike val="0"/>
        <sz val="11"/>
        <name val="Calibri"/>
        <family val="2"/>
        <color auto="1"/>
      </font>
      <fill>
        <patternFill patternType="solid">
          <fgColor indexed="65"/>
          <bgColor rgb="FF76E3FF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u val="none"/>
        <strike val="0"/>
        <sz val="11"/>
        <name val="Calibri"/>
        <family val="2"/>
        <color auto="1"/>
      </font>
      <fill>
        <patternFill patternType="solid">
          <fgColor indexed="65"/>
          <bgColor rgb="FF76E3FF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u val="none"/>
        <strike val="0"/>
        <sz val="11"/>
        <name val="Calibri"/>
        <family val="2"/>
        <color auto="1"/>
      </font>
      <fill>
        <patternFill patternType="solid">
          <fgColor indexed="65"/>
          <bgColor rgb="FF76E3FF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u val="none"/>
        <strike val="0"/>
        <sz val="11"/>
        <name val="Calibri"/>
        <family val="2"/>
        <color auto="1"/>
      </font>
      <fill>
        <patternFill patternType="solid">
          <fgColor indexed="65"/>
          <bgColor rgb="FF76E3FF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u val="none"/>
        <strike val="0"/>
        <sz val="11"/>
        <name val="Calibri"/>
        <family val="2"/>
        <color auto="1"/>
      </font>
      <fill>
        <patternFill patternType="solid">
          <fgColor indexed="65"/>
          <bgColor rgb="FF76E3FF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u val="none"/>
        <strike val="0"/>
        <sz val="11"/>
        <name val="Calibri"/>
        <family val="2"/>
        <color auto="1"/>
      </font>
      <fill>
        <patternFill patternType="solid">
          <fgColor indexed="65"/>
          <bgColor rgb="FF76E3FF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u val="none"/>
        <strike val="0"/>
        <sz val="11"/>
        <name val="Calibri"/>
        <family val="2"/>
        <color auto="1"/>
      </font>
      <fill>
        <patternFill patternType="solid">
          <fgColor indexed="65"/>
          <bgColor rgb="FF76E3FF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u val="none"/>
        <strike val="0"/>
        <sz val="11"/>
        <name val="Calibri"/>
        <family val="2"/>
        <color auto="1"/>
      </font>
      <fill>
        <patternFill patternType="solid">
          <fgColor indexed="65"/>
          <bgColor rgb="FF76E3FF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u val="none"/>
        <strike val="0"/>
        <sz val="11"/>
        <name val="Calibri"/>
        <family val="2"/>
        <color auto="1"/>
      </font>
      <fill>
        <patternFill patternType="solid">
          <fgColor indexed="65"/>
          <bgColor rgb="FF76E3FF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u val="none"/>
        <strike val="0"/>
        <sz val="11"/>
        <name val="Calibri"/>
        <family val="2"/>
        <color auto="1"/>
      </font>
      <fill>
        <patternFill patternType="solid">
          <fgColor indexed="65"/>
          <bgColor rgb="FF76E3FF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u val="none"/>
        <strike val="0"/>
        <sz val="11"/>
        <name val="Calibri"/>
        <family val="2"/>
        <color auto="1"/>
      </font>
      <fill>
        <patternFill patternType="solid">
          <fgColor indexed="65"/>
          <bgColor rgb="FF76E3FF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u val="none"/>
        <strike val="0"/>
        <sz val="11"/>
        <name val="Calibri"/>
        <family val="2"/>
        <color auto="1"/>
      </font>
      <fill>
        <patternFill patternType="solid">
          <fgColor indexed="65"/>
          <bgColor rgb="FF76E3FF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u val="none"/>
        <strike val="0"/>
        <sz val="11"/>
        <name val="Calibri"/>
        <family val="2"/>
        <color auto="1"/>
      </font>
      <fill>
        <patternFill patternType="solid">
          <fgColor indexed="65"/>
          <bgColor rgb="FF76E3FF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u val="none"/>
        <strike val="0"/>
        <sz val="11"/>
        <name val="Calibri"/>
        <family val="2"/>
        <color auto="1"/>
      </font>
      <fill>
        <patternFill patternType="solid">
          <fgColor indexed="65"/>
          <bgColor rgb="FF76E3FF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u val="none"/>
        <strike val="0"/>
        <sz val="11"/>
        <name val="Calibri"/>
        <family val="2"/>
        <color auto="1"/>
      </font>
      <fill>
        <patternFill patternType="solid">
          <fgColor indexed="65"/>
          <bgColor rgb="FF76E3FF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u val="none"/>
        <strike val="0"/>
        <sz val="11"/>
        <name val="Calibri"/>
        <family val="2"/>
        <color auto="1"/>
      </font>
      <fill>
        <patternFill patternType="solid">
          <fgColor indexed="65"/>
          <bgColor rgb="FF76E3FF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u val="none"/>
        <strike val="0"/>
        <sz val="11"/>
        <name val="Calibri"/>
        <family val="2"/>
        <color auto="1"/>
      </font>
      <fill>
        <patternFill patternType="solid">
          <fgColor indexed="65"/>
          <bgColor rgb="FF76E3FF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u val="none"/>
        <strike val="0"/>
        <sz val="11"/>
        <name val="Calibri"/>
        <family val="2"/>
        <color auto="1"/>
      </font>
      <fill>
        <patternFill patternType="solid">
          <fgColor indexed="65"/>
          <bgColor rgb="FF76E3FF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u val="none"/>
        <strike val="0"/>
        <sz val="11"/>
        <name val="Calibri"/>
        <family val="2"/>
        <color auto="1"/>
      </font>
      <fill>
        <patternFill patternType="solid">
          <fgColor indexed="65"/>
          <bgColor rgb="FF76E3FF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u val="none"/>
        <strike val="0"/>
        <sz val="11"/>
        <name val="Calibri"/>
        <family val="2"/>
        <color auto="1"/>
      </font>
      <fill>
        <patternFill patternType="solid">
          <fgColor indexed="65"/>
          <bgColor rgb="FF76E3FF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u val="none"/>
        <strike val="0"/>
        <sz val="11"/>
        <name val="Calibri"/>
        <family val="2"/>
        <color auto="1"/>
      </font>
      <fill>
        <patternFill patternType="solid">
          <fgColor indexed="65"/>
          <bgColor rgb="FF76E3FF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u val="none"/>
        <strike val="0"/>
        <sz val="11"/>
        <name val="Calibri"/>
        <family val="2"/>
        <color auto="1"/>
      </font>
      <fill>
        <patternFill patternType="solid">
          <fgColor indexed="65"/>
          <bgColor rgb="FF76E3FF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u val="none"/>
        <strike val="0"/>
        <sz val="11"/>
        <name val="Calibri"/>
        <family val="2"/>
        <color auto="1"/>
      </font>
      <fill>
        <patternFill patternType="solid">
          <fgColor indexed="65"/>
          <bgColor rgb="FF76E3FF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u val="none"/>
        <strike val="0"/>
        <sz val="11"/>
        <name val="Calibri"/>
        <family val="2"/>
        <color auto="1"/>
      </font>
      <fill>
        <patternFill patternType="solid">
          <fgColor indexed="65"/>
          <bgColor rgb="FF76E3FF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u val="none"/>
        <strike val="0"/>
        <sz val="11"/>
        <name val="Calibri"/>
        <family val="2"/>
        <color auto="1"/>
      </font>
      <fill>
        <patternFill patternType="solid">
          <fgColor indexed="65"/>
          <bgColor rgb="FF76E3FF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u val="none"/>
        <strike val="0"/>
        <sz val="11"/>
        <name val="Calibri"/>
        <family val="2"/>
        <color auto="1"/>
      </font>
      <fill>
        <patternFill patternType="solid">
          <fgColor indexed="65"/>
          <bgColor rgb="FF76E3FF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u val="none"/>
        <strike val="0"/>
        <sz val="11"/>
        <name val="Calibri"/>
        <family val="2"/>
        <color auto="1"/>
      </font>
      <fill>
        <patternFill patternType="solid">
          <fgColor indexed="65"/>
          <bgColor rgb="FF76E3FF"/>
        </patternFill>
      </fill>
      <alignment horizontal="center" vertical="center" textRotation="0" wrapText="0" indent="0" shrinkToFit="0" readingOrder="0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u val="none"/>
        <strike val="0"/>
        <sz val="11"/>
        <name val="Calibri"/>
        <family val="2"/>
        <color auto="1"/>
      </font>
      <fill>
        <patternFill patternType="solid">
          <fgColor indexed="65"/>
          <bgColor rgb="FF76E3FF"/>
        </patternFill>
      </fill>
      <alignment horizontal="center" vertical="center" textRotation="0" wrapText="0" indent="0" shrinkToFit="0" readingOrder="0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font>
        <b/>
        <i/>
        <u val="none"/>
        <strike val="0"/>
        <sz val="11"/>
        <name val="Calibri"/>
        <family val="2"/>
        <color auto="1"/>
      </font>
      <fill>
        <patternFill patternType="solid">
          <fgColor indexed="65"/>
          <bgColor rgb="FF76E3FF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u val="none"/>
        <strike val="0"/>
        <sz val="11"/>
        <name val="Calibri"/>
        <family val="2"/>
        <color theme="1"/>
      </font>
      <numFmt numFmtId="164" formatCode="_-[$$-409]* #,##0.00_ ;_-[$$-409]* \-#,##0.00\ ;_-[$$-409]* &quot;-&quot;??_ ;_-@_ "/>
      <fill>
        <patternFill patternType="solid">
          <fgColor theme="4" tint="0.799979984760284"/>
          <bgColor theme="4" tint="0.799979984760284"/>
        </patternFill>
      </fill>
      <alignment horizontal="left" vertical="center" textRotation="0" wrapText="0" indent="12" shrinkToFit="0" readingOrder="0"/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u val="none"/>
        <strike val="0"/>
        <sz val="11"/>
        <name val="Calibri"/>
        <family val="2"/>
        <color theme="1"/>
      </font>
      <fill>
        <patternFill patternType="solid">
          <fgColor theme="4" tint="0.799979984760284"/>
          <bgColor theme="4" tint="0.799979984760284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u val="none"/>
        <strike val="0"/>
        <sz val="11"/>
        <name val="Calibri"/>
        <family val="2"/>
        <color theme="1"/>
      </font>
      <fill>
        <patternFill patternType="solid">
          <fgColor theme="4" tint="0.799979984760284"/>
          <bgColor theme="4" tint="0.799979984760284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u val="none"/>
        <strike val="0"/>
        <sz val="11"/>
        <name val="Calibri"/>
        <family val="2"/>
        <color theme="1"/>
      </font>
      <fill>
        <patternFill patternType="solid">
          <fgColor theme="4" tint="0.799979984760284"/>
          <bgColor theme="4" tint="0.799979984760284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u val="none"/>
        <strike val="0"/>
        <sz val="11"/>
        <name val="Calibri"/>
        <family val="2"/>
        <color theme="1"/>
      </font>
      <fill>
        <patternFill patternType="solid">
          <fgColor theme="4" tint="0.799979984760284"/>
          <bgColor theme="4" tint="0.799979984760284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u val="none"/>
        <strike val="0"/>
        <sz val="11"/>
        <name val="Calibri"/>
        <family val="2"/>
        <color theme="1"/>
      </font>
      <fill>
        <patternFill patternType="solid">
          <fgColor theme="4" tint="0.799979984760284"/>
          <bgColor theme="4" tint="0.799979984760284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u val="none"/>
        <strike val="0"/>
        <sz val="11"/>
        <name val="Calibri"/>
        <family val="2"/>
        <color theme="1"/>
      </font>
      <fill>
        <patternFill patternType="solid">
          <fgColor theme="4" tint="0.799979984760284"/>
          <bgColor theme="4" tint="0.799979984760284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u val="none"/>
        <strike val="0"/>
        <sz val="11"/>
        <name val="Calibri"/>
        <family val="2"/>
        <color theme="1"/>
      </font>
      <fill>
        <patternFill patternType="solid">
          <fgColor theme="4" tint="0.799979984760284"/>
          <bgColor theme="4" tint="0.799979984760284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u val="none"/>
        <strike val="0"/>
        <sz val="11"/>
        <name val="Calibri"/>
        <family val="2"/>
        <color theme="1"/>
      </font>
      <fill>
        <patternFill patternType="solid">
          <fgColor theme="4" tint="0.799979984760284"/>
          <bgColor theme="4" tint="0.799979984760284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u val="none"/>
        <strike val="0"/>
        <sz val="11"/>
        <name val="Calibri"/>
        <family val="2"/>
        <color theme="1"/>
      </font>
      <fill>
        <patternFill patternType="solid">
          <fgColor theme="4" tint="0.799979984760284"/>
          <bgColor theme="4" tint="0.799979984760284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u val="none"/>
        <strike val="0"/>
        <sz val="11"/>
        <name val="Calibri"/>
        <family val="2"/>
        <color theme="1"/>
      </font>
      <fill>
        <patternFill patternType="solid">
          <fgColor theme="4" tint="0.799979984760284"/>
          <bgColor theme="4" tint="0.799979984760284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u val="none"/>
        <strike val="0"/>
        <sz val="11"/>
        <name val="Calibri"/>
        <family val="2"/>
        <color theme="1"/>
      </font>
      <fill>
        <patternFill patternType="solid">
          <fgColor theme="4" tint="0.799979984760284"/>
          <bgColor theme="4" tint="0.799979984760284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u val="none"/>
        <strike val="0"/>
        <sz val="11"/>
        <name val="Calibri"/>
        <family val="2"/>
        <color theme="1"/>
      </font>
      <fill>
        <patternFill patternType="solid">
          <fgColor theme="4" tint="0.799979984760284"/>
          <bgColor theme="4" tint="0.799979984760284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u val="none"/>
        <strike val="0"/>
        <sz val="11"/>
        <name val="Calibri"/>
        <family val="2"/>
        <color theme="1"/>
      </font>
      <fill>
        <patternFill patternType="solid">
          <fgColor theme="4" tint="0.799979984760284"/>
          <bgColor theme="4" tint="0.799979984760284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u val="none"/>
        <strike val="0"/>
        <sz val="11"/>
        <name val="Calibri"/>
        <family val="2"/>
        <color theme="1"/>
      </font>
      <numFmt numFmtId="164" formatCode="_-[$$-409]* #,##0.00_ ;_-[$$-409]* \-#,##0.00\ ;_-[$$-409]* &quot;-&quot;??_ ;_-@_ "/>
      <fill>
        <patternFill patternType="solid">
          <fgColor theme="4" tint="0.799979984760284"/>
          <bgColor theme="4" tint="0.799979984760284"/>
        </patternFill>
      </fill>
      <alignment horizontal="left" vertical="center" textRotation="0" wrapText="0" indent="1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u val="none"/>
        <strike val="0"/>
        <sz val="11"/>
        <name val="Calibri"/>
        <family val="2"/>
        <color theme="1"/>
      </font>
      <numFmt numFmtId="164" formatCode="_-[$$-409]* #,##0.00_ ;_-[$$-409]* \-#,##0.00\ ;_-[$$-409]* &quot;-&quot;??_ ;_-@_ "/>
      <fill>
        <patternFill patternType="solid">
          <fgColor theme="4" tint="0.799979984760284"/>
          <bgColor theme="4" tint="0.799979984760284"/>
        </patternFill>
      </fill>
      <alignment horizontal="left" vertical="center" textRotation="0" wrapText="0" indent="2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u val="none"/>
        <strike val="0"/>
        <sz val="11"/>
        <name val="Calibri"/>
        <family val="2"/>
        <color theme="1"/>
      </font>
      <numFmt numFmtId="164" formatCode="_-[$$-409]* #,##0.00_ ;_-[$$-409]* \-#,##0.00\ ;_-[$$-409]* &quot;-&quot;??_ ;_-@_ "/>
      <fill>
        <patternFill patternType="solid">
          <fgColor theme="4" tint="0.799979984760284"/>
          <bgColor theme="4" tint="0.799979984760284"/>
        </patternFill>
      </fill>
      <alignment horizontal="left" vertical="center" textRotation="0" wrapText="0" indent="7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u val="none"/>
        <strike val="0"/>
        <sz val="11"/>
        <name val="Calibri"/>
        <family val="2"/>
        <color theme="1"/>
      </font>
      <numFmt numFmtId="44" formatCode="_-&quot;Rs&quot;* #,##0.00_-;\-&quot;Rs&quot;* #,##0.00_-;_-&quot;Rs&quot;* &quot;-&quot;??_-;_-@_-"/>
      <fill>
        <patternFill patternType="solid">
          <fgColor theme="4" tint="0.799979984760284"/>
          <bgColor theme="4" tint="0.799979984760284"/>
        </patternFill>
      </fill>
      <alignment horizontal="left" vertical="center" textRotation="0" wrapText="0" indent="2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u val="none"/>
        <strike val="0"/>
        <sz val="11"/>
        <name val="Calibri"/>
        <family val="2"/>
        <color theme="1"/>
      </font>
      <numFmt numFmtId="177" formatCode="0%"/>
      <fill>
        <patternFill patternType="solid">
          <fgColor theme="4" tint="0.799979984760284"/>
          <bgColor theme="4" tint="0.799979984760284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u val="none"/>
        <strike val="0"/>
        <sz val="11"/>
        <name val="Calibri"/>
        <family val="2"/>
        <color theme="1"/>
      </font>
      <numFmt numFmtId="178" formatCode="General"/>
      <fill>
        <patternFill patternType="solid">
          <fgColor theme="4" tint="0.799979984760284"/>
          <bgColor theme="4" tint="0.799979984760284"/>
        </patternFill>
      </fill>
      <alignment horizontal="left" vertical="center" textRotation="0" wrapText="0" indent="2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u val="none"/>
        <strike val="0"/>
        <sz val="11"/>
        <name val="Calibri"/>
        <family val="2"/>
        <color theme="1"/>
      </font>
      <numFmt numFmtId="164" formatCode="_-[$$-409]* #,##0.00_ ;_-[$$-409]* \-#,##0.00\ ;_-[$$-409]* &quot;-&quot;??_ ;_-@_ "/>
      <fill>
        <patternFill patternType="solid">
          <fgColor theme="4" tint="0.799979984760284"/>
          <bgColor theme="4" tint="0.799979984760284"/>
        </patternFill>
      </fill>
      <alignment horizontal="left" vertical="center" textRotation="0" wrapText="0" indent="3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u val="none"/>
        <strike val="0"/>
        <sz val="11"/>
        <name val="Calibri"/>
        <family val="2"/>
        <color theme="1"/>
      </font>
      <fill>
        <patternFill patternType="solid">
          <fgColor theme="4" tint="0.799979984760284"/>
          <bgColor theme="4" tint="0.799979984760284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u val="none"/>
        <strike val="0"/>
        <sz val="11"/>
        <name val="Calibri"/>
        <family val="2"/>
        <color theme="1"/>
      </font>
      <fill>
        <patternFill patternType="solid">
          <fgColor theme="4" tint="0.799979984760284"/>
          <bgColor theme="4" tint="0.799979984760284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u val="none"/>
        <strike val="0"/>
        <sz val="11"/>
        <name val="Calibri"/>
        <family val="2"/>
        <color theme="1"/>
      </font>
      <fill>
        <patternFill patternType="solid">
          <fgColor theme="4" tint="0.799979984760284"/>
          <bgColor theme="4" tint="0.799979984760284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u val="none"/>
        <strike val="0"/>
        <sz val="11"/>
        <name val="Calibri"/>
        <family val="2"/>
        <color theme="1"/>
      </font>
      <fill>
        <patternFill patternType="solid">
          <fgColor theme="4" tint="0.799979984760284"/>
          <bgColor theme="4" tint="0.799979984760284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u val="none"/>
        <strike val="0"/>
        <sz val="11"/>
        <name val="Calibri"/>
        <family val="2"/>
        <color theme="1"/>
      </font>
      <fill>
        <patternFill patternType="solid">
          <fgColor theme="4" tint="0.799979984760284"/>
          <bgColor theme="4" tint="0.799979984760284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u val="none"/>
        <strike val="0"/>
        <sz val="11"/>
        <name val="Calibri"/>
        <family val="2"/>
        <color theme="1"/>
      </font>
      <fill>
        <patternFill patternType="solid">
          <fgColor theme="4" tint="0.799979984760284"/>
          <bgColor theme="4" tint="0.799979984760284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u val="none"/>
        <strike val="0"/>
        <sz val="11"/>
        <name val="Calibri"/>
        <family val="2"/>
        <color theme="1"/>
      </font>
      <fill>
        <patternFill patternType="solid">
          <fgColor theme="4" tint="0.799979984760284"/>
          <bgColor theme="4" tint="0.799979984760284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u val="none"/>
        <strike val="0"/>
        <sz val="11"/>
        <name val="Calibri"/>
        <family val="2"/>
        <color theme="1"/>
      </font>
      <fill>
        <patternFill patternType="solid">
          <fgColor theme="4" tint="0.799979984760284"/>
          <bgColor theme="4" tint="0.799979984760284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u val="none"/>
        <strike val="0"/>
        <sz val="11"/>
        <name val="Calibri"/>
        <family val="2"/>
        <color theme="1"/>
      </font>
      <fill>
        <patternFill patternType="solid">
          <fgColor theme="4" tint="0.799979984760284"/>
          <bgColor theme="4" tint="0.799979984760284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u val="none"/>
        <strike val="0"/>
        <sz val="11"/>
        <name val="Calibri"/>
        <family val="2"/>
        <color theme="1"/>
      </font>
      <fill>
        <patternFill patternType="solid">
          <fgColor theme="4" tint="0.799979984760284"/>
          <bgColor theme="4" tint="0.799979984760284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u val="none"/>
        <strike val="0"/>
        <sz val="11"/>
        <name val="Calibri"/>
        <family val="2"/>
        <color theme="1"/>
      </font>
      <fill>
        <patternFill patternType="solid">
          <fgColor theme="4" tint="0.799979984760284"/>
          <bgColor theme="4" tint="0.799979984760284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u val="none"/>
        <strike val="0"/>
        <sz val="11"/>
        <name val="Calibri"/>
        <family val="2"/>
        <color theme="1"/>
      </font>
      <fill>
        <patternFill patternType="solid">
          <fgColor theme="4" tint="0.799979984760284"/>
          <bgColor theme="4" tint="0.799979984760284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u val="none"/>
        <strike val="0"/>
        <sz val="11"/>
        <name val="Calibri"/>
        <family val="2"/>
        <color theme="1"/>
      </font>
      <fill>
        <patternFill patternType="solid">
          <fgColor theme="4" tint="0.799979984760284"/>
          <bgColor theme="4" tint="0.799979984760284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u val="none"/>
        <strike val="0"/>
        <sz val="11"/>
        <name val="Calibri"/>
        <family val="2"/>
        <color theme="1"/>
      </font>
      <numFmt numFmtId="179" formatCode="dd/mm/yyyy"/>
      <fill>
        <patternFill patternType="solid">
          <fgColor theme="4" tint="0.799979984760284"/>
          <bgColor theme="4" tint="0.799979984760284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u val="none"/>
        <strike val="0"/>
        <sz val="11"/>
        <name val="Calibri"/>
        <family val="2"/>
        <color theme="1"/>
      </font>
      <numFmt numFmtId="166" formatCode="[$-F400]h:mm:ss\ AM/PM"/>
      <fill>
        <patternFill patternType="solid">
          <fgColor theme="4" tint="0.799979984760284"/>
          <bgColor theme="4" tint="0.799979984760284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u val="none"/>
        <strike val="0"/>
        <sz val="11"/>
        <name val="Calibri"/>
        <family val="2"/>
        <color theme="1"/>
      </font>
      <numFmt numFmtId="165" formatCode="[$-en-PK,1]dd/mm/yyyy;@"/>
      <fill>
        <patternFill patternType="solid">
          <fgColor theme="4" tint="0.799979984760284"/>
          <bgColor theme="4" tint="0.799979984760284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u val="none"/>
        <strike val="0"/>
        <sz val="11"/>
        <name val="Calibri"/>
        <family val="2"/>
        <color theme="1"/>
      </font>
      <numFmt numFmtId="165" formatCode="[$]dd/mm/yyyy;@"/>
      <fill>
        <patternFill patternType="solid">
          <fgColor theme="4" tint="0.799979984760284"/>
          <bgColor theme="4" tint="0.799979984760284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u val="none"/>
        <strike val="0"/>
        <sz val="11"/>
        <name val="Calibri"/>
        <family val="2"/>
        <color theme="1"/>
      </font>
      <fill>
        <patternFill patternType="solid">
          <fgColor theme="4" tint="0.799979984760284"/>
          <bgColor theme="4" tint="0.799979984760284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u val="none"/>
        <strike val="0"/>
        <sz val="11"/>
        <name val="Calibri"/>
        <family val="2"/>
        <color theme="1"/>
      </font>
      <fill>
        <patternFill patternType="solid">
          <fgColor theme="4" tint="0.799979984760284"/>
          <bgColor theme="4" tint="0.799979984760284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u val="none"/>
        <strike val="0"/>
        <sz val="11"/>
        <name val="Calibri"/>
        <family val="2"/>
        <color theme="1"/>
      </font>
      <fill>
        <patternFill patternType="solid">
          <fgColor theme="4" tint="0.799979984760284"/>
          <bgColor theme="4" tint="0.799979984760284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u val="none"/>
        <strike val="0"/>
        <sz val="11"/>
        <name val="Calibri"/>
        <family val="2"/>
        <color theme="1"/>
      </font>
      <fill>
        <patternFill patternType="solid">
          <fgColor theme="4" tint="0.799979984760284"/>
          <bgColor theme="4" tint="0.799979984760284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u val="none"/>
        <strike val="0"/>
        <sz val="11"/>
        <name val="Calibri"/>
        <family val="2"/>
        <color theme="1"/>
      </font>
      <numFmt numFmtId="179" formatCode="dd/mm/yyyy"/>
      <fill>
        <patternFill patternType="solid">
          <fgColor theme="4" tint="0.799979984760284"/>
          <bgColor theme="4" tint="0.799979984760284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u val="none"/>
        <strike val="0"/>
        <sz val="11"/>
        <name val="Calibri"/>
        <family val="2"/>
        <color theme="1"/>
      </font>
      <numFmt numFmtId="178" formatCode="General"/>
      <fill>
        <patternFill patternType="solid">
          <fgColor theme="4" tint="0.799979984760284"/>
          <bgColor theme="4" tint="0.799979984760284"/>
        </patternFill>
      </fill>
      <alignment horizontal="center" vertical="center" textRotation="0" wrapText="0" indent="0" shrinkToFit="0" readingOrder="0"/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u val="none"/>
        <strike val="0"/>
        <sz val="11"/>
        <name val="Calibri"/>
        <family val="2"/>
        <color theme="1"/>
      </font>
      <fill>
        <patternFill patternType="solid">
          <fgColor theme="4" tint="0.799979984760284"/>
          <bgColor theme="4" tint="0.799979984760284"/>
        </patternFill>
      </fill>
      <alignment horizontal="center" vertical="center" textRotation="0" wrapText="0" indent="0" shrinkToFit="0" readingOrder="0"/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font>
        <b val="0"/>
        <i val="0"/>
        <u val="none"/>
        <strike val="0"/>
        <sz val="11"/>
        <name val="Calibri"/>
        <family val="2"/>
        <color theme="1"/>
      </font>
      <fill>
        <patternFill patternType="solid">
          <fgColor theme="4" tint="0.799979984760284"/>
          <bgColor theme="4" tint="0.799979984760284"/>
        </patternFill>
      </fill>
      <alignment horizontal="center" vertical="center" textRotation="0" wrapText="0" indent="0" shrinkToFit="0" readingOrder="0"/>
    </dxf>
    <dxf>
      <font>
        <b/>
        <i/>
        <u val="none"/>
        <strike val="0"/>
        <sz val="11"/>
        <name val="Calibri"/>
        <family val="2"/>
        <color auto="1"/>
      </font>
      <fill>
        <patternFill patternType="solid">
          <fgColor indexed="65"/>
          <bgColor rgb="FF76E3FF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/>
        <bottom/>
      </border>
    </dxf>
    <dxf>
      <numFmt numFmtId="164" formatCode="_-[$$-409]* #,##0.00_ ;_-[$$-409]* \-#,##0.00\ ;_-[$$-409]* &quot;-&quot;??_ ;_-@_ "/>
      <alignment horizontal="left" vertical="center" textRotation="0" wrapText="0" indent="12" shrinkToFit="0" readingOrder="0"/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u val="none"/>
        <strike val="0"/>
        <sz val="11"/>
        <name val="Calibri"/>
        <family val="2"/>
        <color theme="1"/>
      </font>
      <numFmt numFmtId="164" formatCode="_-[$$-409]* #,##0.00_ ;_-[$$-409]* \-#,##0.00\ ;_-[$$-409]* &quot;-&quot;??_ ;_-@_ "/>
      <alignment horizontal="left" vertical="center" textRotation="0" wrapText="0" indent="1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u val="none"/>
        <strike val="0"/>
        <sz val="11"/>
        <name val="Calibri"/>
        <family val="2"/>
        <color theme="1"/>
      </font>
      <numFmt numFmtId="164" formatCode="_-[$$-409]* #,##0.00_ ;_-[$$-409]* \-#,##0.00\ ;_-[$$-409]* &quot;-&quot;??_ ;_-@_ "/>
      <alignment horizontal="left" vertical="center" textRotation="0" wrapText="0" indent="2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u val="none"/>
        <strike val="0"/>
        <sz val="11"/>
        <name val="Calibri"/>
        <family val="2"/>
        <color theme="1"/>
      </font>
      <numFmt numFmtId="164" formatCode="_-[$$-409]* #,##0.00_ ;_-[$$-409]* \-#,##0.00\ ;_-[$$-409]* &quot;-&quot;??_ ;_-@_ "/>
      <alignment horizontal="left" vertical="center" textRotation="0" wrapText="0" indent="7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u val="none"/>
        <strike val="0"/>
        <sz val="11"/>
        <name val="Calibri"/>
        <family val="2"/>
        <color theme="1"/>
      </font>
      <alignment horizontal="left" vertical="center" textRotation="0" wrapText="0" indent="2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u val="none"/>
        <strike val="0"/>
        <sz val="11"/>
        <name val="Calibri"/>
        <family val="2"/>
        <color theme="1"/>
      </font>
      <numFmt numFmtId="177" formatCode="0%"/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u val="none"/>
        <strike val="0"/>
        <sz val="11"/>
        <name val="Calibri"/>
        <family val="2"/>
        <color theme="1"/>
      </font>
      <numFmt numFmtId="164" formatCode="_-[$$-409]* #,##0.00_ ;_-[$$-409]* \-#,##0.00\ ;_-[$$-409]* &quot;-&quot;??_ ;_-@_ "/>
      <alignment horizontal="left" vertical="center" textRotation="0" wrapText="0" indent="3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79" formatCode="dd/mm/yyyy"/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6" formatCode="[$-F400]h:mm:ss\ AM/PM"/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79" formatCode="dd/mm/yyyy"/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79" formatCode="dd/mm/yyyy"/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78" formatCode="General"/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shrinkToFit="0" readingOrder="0"/>
    </dxf>
    <dxf>
      <border>
        <bottom style="thin">
          <color auto="1"/>
        </bottom>
      </border>
    </dxf>
    <dxf>
      <font>
        <b/>
        <i/>
        <u val="none"/>
        <strike val="0"/>
        <sz val="11"/>
        <name val="Calibri"/>
        <family val="2"/>
        <color auto="1"/>
      </font>
      <fill>
        <patternFill patternType="solid">
          <fgColor indexed="65"/>
          <bgColor rgb="FF76E3FF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/>
        <bottom/>
      </border>
    </dxf>
    <dxf>
      <numFmt numFmtId="164" formatCode="_-[$$-409]* #,##0.00_ ;_-[$$-409]* \-#,##0.00\ ;_-[$$-409]* &quot;-&quot;??_ ;_-@_ "/>
      <alignment horizontal="left" vertical="center" textRotation="0" wrapTex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shrinkToFit="0" readingOrder="0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4" formatCode="_-[$$-409]* #,##0.00_ ;_-[$$-409]* \-#,##0.00\ ;_-[$$-409]* &quot;-&quot;??_ ;_-@_ "/>
      <alignment horizontal="left" vertical="center" textRotation="0" wrapText="0" shrinkToFit="0" readingOrder="0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4" formatCode="_-[$$-409]* #,##0.00_ ;_-[$$-409]* \-#,##0.00\ ;_-[$$-409]* &quot;-&quot;??_ ;_-@_ "/>
      <alignment horizontal="left" vertical="center" textRotation="0" wrapText="0" shrinkToFit="0" readingOrder="0"/>
      <border>
        <left/>
        <right/>
        <top style="thin">
          <color auto="1"/>
        </top>
        <bottom style="thin">
          <color auto="1"/>
        </bottom>
      </border>
    </dxf>
    <dxf>
      <numFmt numFmtId="164" formatCode="_-[$$-409]* #,##0.00_ ;_-[$$-409]* \-#,##0.00\ ;_-[$$-409]* &quot;-&quot;??_ ;_-@_ "/>
      <alignment horizontal="left" vertical="center" textRotation="0" wrapText="0" shrinkToFit="0" readingOrder="0"/>
      <border>
        <left/>
        <right/>
        <top style="thin">
          <color auto="1"/>
        </top>
        <bottom style="thin">
          <color auto="1"/>
        </bottom>
      </border>
    </dxf>
    <dxf>
      <alignment horizontal="left" vertical="center" textRotation="0" wrapText="0" shrinkToFit="0" readingOrder="0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177" formatCode="0%"/>
      <alignment horizontal="center" vertical="center" textRotation="0" wrapText="0" indent="0" shrinkToFit="0" readingOrder="0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u val="none"/>
        <strike val="0"/>
        <sz val="11"/>
        <name val="Calibri"/>
        <family val="2"/>
        <color theme="1"/>
      </font>
      <numFmt numFmtId="178" formatCode="General"/>
      <alignment horizontal="left" vertical="center" textRotation="0" wrapText="0" indent="2" shrinkToFit="0" readingOrder="0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4" formatCode="_-[$$-409]* #,##0.00_ ;_-[$$-409]* \-#,##0.00\ ;_-[$$-409]* &quot;-&quot;??_ ;_-@_ "/>
      <alignment horizontal="left" vertical="center" textRotation="0" wrapTex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shrinkToFit="0" readingOrder="0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78" formatCode="General"/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78" formatCode="General"/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179" formatCode="dd/mm/yyyy"/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6" formatCode="[$-F400]h:mm:ss\ AM/PM"/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[$-en-PK,1]dd/mm/yyyy;@"/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[$]dd/mm/yyyy;@"/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79" formatCode="dd/mm/yyyy"/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78" formatCode="General"/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shrinkToFit="0" readingOrder="0"/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</border>
    </dxf>
    <dxf>
      <alignment horizontal="center" vertical="center" textRotation="0" wrapText="0" indent="0" shrinkToFit="0" readingOrder="0"/>
      <border/>
    </dxf>
    <dxf>
      <font>
        <b/>
        <i/>
        <u val="none"/>
        <strike val="0"/>
        <sz val="11"/>
        <name val="Calibri"/>
        <family val="2"/>
        <color auto="1"/>
      </font>
      <fill>
        <patternFill patternType="solid">
          <fgColor indexed="65"/>
          <bgColor rgb="FF76E3FF"/>
        </patternFill>
      </fill>
      <alignment horizontal="center" vertical="center" textRotation="0" wrapText="0" indent="0" shrinkToFit="0" readingOrder="0"/>
      <border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calcChain" Target="calcChain.xml" /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6" Type="http://schemas.openxmlformats.org/officeDocument/2006/relationships/worksheet" Target="worksheets/sheet4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7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Table1" displayName="Table1" ref="A1:AS101" totalsRowShown="0" headerRowDxfId="239" dataDxfId="238" tableBorderDxfId="237">
  <tableColumns count="45">
    <tableColumn id="1" name="Patient ID" dataDxfId="236"/>
    <tableColumn id="4" name="Name" dataDxfId="235"/>
    <tableColumn id="5" name="DOB" dataDxfId="234"/>
    <tableColumn id="6" name="Gender" dataDxfId="233"/>
    <tableColumn id="7" name="Insurance ID" dataDxfId="232"/>
    <tableColumn id="8" name="Insurance Type" dataDxfId="231"/>
    <tableColumn id="9" name="PCP  ID" dataDxfId="230"/>
    <tableColumn id="10" name="Visit Date" dataDxfId="229"/>
    <tableColumn id="11" name="Visit Time" dataDxfId="228"/>
    <tableColumn id="47" name="Visit Type" dataDxfId="227">
      <calculatedColumnFormula>PROPER(Table1[[#This Row],[Visit Type2]])</calculatedColumnFormula>
    </tableColumn>
    <tableColumn id="12" name="Visit Type2" dataDxfId="226"/>
    <tableColumn id="44" name="Column1" dataDxfId="225">
      <calculatedColumnFormula>IF(M2="ER","Endocrinology",IF(M2="OB/GYN","Gastroentrology",M2))</calculatedColumnFormula>
    </tableColumn>
    <tableColumn id="13" name="Department" dataDxfId="52"/>
    <tableColumn id="2" name="Doctor Name" dataDxfId="50"/>
    <tableColumn id="14" name="Doctor ID" dataDxfId="51"/>
    <tableColumn id="50" name="Primary Diagnosis" dataDxfId="224">
      <calculatedColumnFormula>PROPER(SUBSTITUTE(SUBSTITUTE(SUBSTITUTE(SUBSTITUTE(SUBSTITUTE(SUBSTITUTE(SUBSTITUTE(SUBSTITUTE(SUBSTITUTE(SUBSTITUTE(Q2,"CAD","Coronary Artery Disease"),"GERD","Gastroesophageal Reflux Disease"),"BPH","Benign Prostatic Hyperplasia"),"COPD","Chronic Obstructive Pulmonary Disease"),"IBD","Inflammatory Bowel Disease"),"URI","Upper Respiratory Infection"),"PID","Pelvic Inflammatory Disease"),"DJD","Degenerative Joint Disease"),"RA","Rheumatoid Arthritis"),"DM","Diabetes Mellitus"))</calculatedColumnFormula>
    </tableColumn>
    <tableColumn id="15" name="Primary Diagnosis2" dataDxfId="223"/>
    <tableColumn id="16" name="Secondary Diagnosis" dataDxfId="222"/>
    <tableColumn id="17" name="Treatment Code" dataDxfId="221"/>
    <tableColumn id="18" name="Medication Prescribed" dataDxfId="220"/>
    <tableColumn id="19" name="Lab Test Ordered" dataDxfId="219"/>
    <tableColumn id="20" name="Imaging Ordered" dataDxfId="218"/>
    <tableColumn id="21" name="Procedure Code" dataDxfId="217"/>
    <tableColumn id="22" name="Visit Duration Mins" dataDxfId="216"/>
    <tableColumn id="23" name="Visit Cost" dataDxfId="215"/>
    <tableColumn id="52" name="Column2" dataDxfId="214">
      <calculatedColumnFormula>100</calculatedColumnFormula>
    </tableColumn>
    <tableColumn id="24" name="Insurance Coverage Pct" dataDxfId="213"/>
    <tableColumn id="25" name="Copay Amount" dataDxfId="212"/>
    <tableColumn id="26" name="Deductible Applied" dataDxfId="211"/>
    <tableColumn id="27" name="Out Of Pocket" dataDxfId="210"/>
    <tableColumn id="28" name="Total Paid" dataDxfId="209"/>
    <tableColumn id="29" name="Payment Method" dataDxfId="208"/>
    <tableColumn id="30" name="Followup Required" dataDxfId="207"/>
    <tableColumn id="31" name="Followup Date" dataDxfId="206"/>
    <tableColumn id="32" name="Readmission Days" dataDxfId="205"/>
    <tableColumn id="33" name="Emergency Flag" dataDxfId="204"/>
    <tableColumn id="34" name="Referral Flag" dataDxfId="203"/>
    <tableColumn id="35" name="No Show Flag" dataDxfId="202"/>
    <tableColumn id="36" name="Cancellation Reason" dataDxfId="201"/>
    <tableColumn id="37" name="Patient Satisfaction" dataDxfId="200"/>
    <tableColumn id="38" name="Notes" dataDxfId="199"/>
    <tableColumn id="39" name="Data Quality Score" dataDxfId="198"/>
    <tableColumn id="40" name="Billing Status" dataDxfId="197"/>
    <tableColumn id="41" name="Claim ID" dataDxfId="196"/>
    <tableColumn id="54" name="Calculated Patient Due" dataDxfId="195">
      <calculatedColumnFormula>Table1[[#This Row],[Visit Cost]]*(1-Table1[[#This Row],[Insurance Coverage Pct]]/100)+Table1[[#This Row],[Copay Amount]]+Table1[[#This Row],[Deductible Applied]]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7" name="Table18" displayName="Table18" ref="A1:AO101" totalsRowShown="0" headerRowDxfId="43" dataDxfId="42" tableBorderDxfId="41">
  <tableColumns count="41">
    <tableColumn id="1" name="Patient ID" dataDxfId="40"/>
    <tableColumn id="4" name="Name" dataDxfId="39"/>
    <tableColumn id="5" name="DOB" dataDxfId="38"/>
    <tableColumn id="6" name="Gender" dataDxfId="37"/>
    <tableColumn id="7" name="Insurance ID" dataDxfId="36"/>
    <tableColumn id="8" name="Insurance Type" dataDxfId="35"/>
    <tableColumn id="9" name="PCP  ID" dataDxfId="34"/>
    <tableColumn id="10" name="Visit Date" dataDxfId="33"/>
    <tableColumn id="11" name="Visit Time" dataDxfId="32"/>
    <tableColumn id="47" name="Visit Type" dataDxfId="31"/>
    <tableColumn id="44" name="Department" dataDxfId="30"/>
    <tableColumn id="2" name="Doctor Name" dataDxfId="29"/>
    <tableColumn id="14" name="Doctor ID" dataDxfId="28"/>
    <tableColumn id="50" name="Primary Diagnosis" dataDxfId="27"/>
    <tableColumn id="16" name="Secondary Diagnosis" dataDxfId="26"/>
    <tableColumn id="17" name="Treatment Code" dataDxfId="25"/>
    <tableColumn id="18" name="Medication Prescribed" dataDxfId="24"/>
    <tableColumn id="19" name="Lab Test Ordered" dataDxfId="23"/>
    <tableColumn id="20" name="Imaging Ordered" dataDxfId="22"/>
    <tableColumn id="21" name="Procedure Code" dataDxfId="21"/>
    <tableColumn id="22" name="Visit Duration Mins" dataDxfId="20"/>
    <tableColumn id="23" name="Visit Cost" dataDxfId="19"/>
    <tableColumn id="24" name="Insurance Coverage Pct" dataDxfId="18"/>
    <tableColumn id="25" name="Copay Amount" dataDxfId="17"/>
    <tableColumn id="26" name="Deductible Applied" dataDxfId="16"/>
    <tableColumn id="27" name="Out Of Pocket" dataDxfId="15"/>
    <tableColumn id="28" name="Total Paid" dataDxfId="14"/>
    <tableColumn id="29" name="Payment Method" dataDxfId="13"/>
    <tableColumn id="30" name="Followup Required" dataDxfId="12"/>
    <tableColumn id="31" name="Followup Date" dataDxfId="11"/>
    <tableColumn id="32" name="Readmission Days" dataDxfId="10"/>
    <tableColumn id="33" name="Emergency Flag" dataDxfId="9"/>
    <tableColumn id="34" name="Referral Flag" dataDxfId="8"/>
    <tableColumn id="35" name="No Show Flag" dataDxfId="7"/>
    <tableColumn id="36" name="Cancellation Reason" dataDxfId="6"/>
    <tableColumn id="37" name="Patient Satisfaction" dataDxfId="5"/>
    <tableColumn id="38" name="Notes" dataDxfId="4"/>
    <tableColumn id="39" name="Data Quality Score" dataDxfId="3"/>
    <tableColumn id="40" name="Billing Status" dataDxfId="2"/>
    <tableColumn id="41" name="Claim ID" dataDxfId="1"/>
    <tableColumn id="54" name="Calculated Patient Due" dataDxfId="0">
      <calculatedColumnFormula>Table18[[#This Row],[Visit Cost]]*(1-Table18[[#This Row],[Insurance Coverage Pct]]/100)+Table18[[#This Row],[Copay Amount]]+Table18[[#This Row],[Deductible Applied]]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C8:AQ58" totalsRowShown="0" headerRowDxfId="194" dataDxfId="192" tableBorderDxfId="191" headerRowBorderDxfId="193" totalsRowBorderDxfId="190">
  <tableColumns count="41">
    <tableColumn id="1" name="Patient ID" dataDxfId="189"/>
    <tableColumn id="2" name="Name" dataDxfId="188"/>
    <tableColumn id="5" name="DOB" dataDxfId="187"/>
    <tableColumn id="6" name="Gender" dataDxfId="186"/>
    <tableColumn id="7" name="Insurance ID" dataDxfId="185"/>
    <tableColumn id="8" name="Insurance Type" dataDxfId="184"/>
    <tableColumn id="9" name="PCP  ID" dataDxfId="183"/>
    <tableColumn id="10" name="Visit Date" dataDxfId="182"/>
    <tableColumn id="11" name="Visit Time" dataDxfId="181"/>
    <tableColumn id="12" name="Visit Type" dataDxfId="180"/>
    <tableColumn id="13" name="Column1" dataDxfId="179"/>
    <tableColumn id="3" name="Column2" dataDxfId="44"/>
    <tableColumn id="14" name="Doctor ID" dataDxfId="178"/>
    <tableColumn id="15" name="Primary Diagnosis" dataDxfId="177"/>
    <tableColumn id="16" name="Secondary Diagnosis" dataDxfId="176"/>
    <tableColumn id="17" name="Treatment Code" dataDxfId="175"/>
    <tableColumn id="18" name="Medication Prescribed" dataDxfId="174"/>
    <tableColumn id="19" name="Lab Test Ordered" dataDxfId="173"/>
    <tableColumn id="20" name="Imaging Ordered" dataDxfId="172"/>
    <tableColumn id="21" name="Procedure Code" dataDxfId="171"/>
    <tableColumn id="22" name="Visit Duration Mins" dataDxfId="170"/>
    <tableColumn id="23" name="Visit Cost" dataDxfId="169"/>
    <tableColumn id="24" name="Insurance Coverage Pct" dataDxfId="168"/>
    <tableColumn id="25" name="Copay Amount" dataDxfId="167"/>
    <tableColumn id="26" name="Deductible Applied" dataDxfId="166"/>
    <tableColumn id="27" name="Out Of Pocket" dataDxfId="165"/>
    <tableColumn id="28" name="Total Paid" dataDxfId="164"/>
    <tableColumn id="29" name="Payment Method" dataDxfId="163"/>
    <tableColumn id="30" name="Followup Required" dataDxfId="162"/>
    <tableColumn id="31" name="Followup Date" dataDxfId="161"/>
    <tableColumn id="32" name="Readmission Days" dataDxfId="160"/>
    <tableColumn id="33" name="Emergency Flag" dataDxfId="159"/>
    <tableColumn id="34" name="Referral Flag" dataDxfId="158"/>
    <tableColumn id="35" name="No Show Flag" dataDxfId="157"/>
    <tableColumn id="36" name="Cancellation Reason" dataDxfId="156"/>
    <tableColumn id="37" name="Patient Satisfaction" dataDxfId="155"/>
    <tableColumn id="38" name="Notes" dataDxfId="154"/>
    <tableColumn id="39" name="Data Quality Score" dataDxfId="153"/>
    <tableColumn id="40" name="Billing Status" dataDxfId="152"/>
    <tableColumn id="41" name="Claim ID" dataDxfId="151"/>
    <tableColumn id="42" name="Calculated Patient Due" dataDxfId="15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C77:AT114" totalsRowShown="0" headerRowDxfId="149" dataDxfId="148" tableBorderDxfId="147">
  <tableColumns count="44">
    <tableColumn id="1" name="Patient ID" dataDxfId="146"/>
    <tableColumn id="2" name="Name" dataDxfId="145"/>
    <tableColumn id="7" name="DOB" dataDxfId="144"/>
    <tableColumn id="8" name="Gender" dataDxfId="143"/>
    <tableColumn id="9" name="Insurance ID" dataDxfId="142"/>
    <tableColumn id="10" name="Insurance Type" dataDxfId="141"/>
    <tableColumn id="11" name="PCP  ID" dataDxfId="140"/>
    <tableColumn id="12" name="Visit Date" dataDxfId="139"/>
    <tableColumn id="13" name="Visit Time" dataDxfId="138"/>
    <tableColumn id="14" name="Visit Type" dataDxfId="137"/>
    <tableColumn id="15" name="Visit Type2" dataDxfId="136"/>
    <tableColumn id="16" name="Column1" dataDxfId="135"/>
    <tableColumn id="17" name="Department" dataDxfId="134"/>
    <tableColumn id="18" name="Doctor ID" dataDxfId="133"/>
    <tableColumn id="19" name="Primary Diagnosis" dataDxfId="132"/>
    <tableColumn id="20" name="Primary Diagnosis2" dataDxfId="131"/>
    <tableColumn id="21" name="Secondary Diagnosis" dataDxfId="130"/>
    <tableColumn id="22" name="Treatment Code" dataDxfId="129"/>
    <tableColumn id="23" name="Medication Prescribed" dataDxfId="128"/>
    <tableColumn id="24" name="Lab Test Ordered" dataDxfId="127"/>
    <tableColumn id="25" name="Imaging Ordered" dataDxfId="126"/>
    <tableColumn id="26" name="Procedure Code" dataDxfId="125"/>
    <tableColumn id="27" name="Visit Duration Mins" dataDxfId="124"/>
    <tableColumn id="28" name="Visit Cost" dataDxfId="123"/>
    <tableColumn id="29" name="Column2" dataDxfId="122"/>
    <tableColumn id="30" name="Insurance Coverage Pct" dataDxfId="121"/>
    <tableColumn id="31" name="Copay Amount" dataDxfId="120"/>
    <tableColumn id="32" name="Deductible Applied" dataDxfId="119"/>
    <tableColumn id="33" name="Out Of Pocket" dataDxfId="118"/>
    <tableColumn id="34" name="Total Paid" dataDxfId="117"/>
    <tableColumn id="35" name="Payment Method" dataDxfId="116"/>
    <tableColumn id="36" name="Followup Required" dataDxfId="115"/>
    <tableColumn id="37" name="Followup Date" dataDxfId="114"/>
    <tableColumn id="38" name="Readmission Days" dataDxfId="113"/>
    <tableColumn id="39" name="Emergency Flag" dataDxfId="112"/>
    <tableColumn id="40" name="Referral Flag" dataDxfId="111"/>
    <tableColumn id="41" name="No Show Flag" dataDxfId="110"/>
    <tableColumn id="42" name="Cancellation Reason" dataDxfId="109"/>
    <tableColumn id="43" name="Patient Satisfaction" dataDxfId="108"/>
    <tableColumn id="44" name="Notes" dataDxfId="107"/>
    <tableColumn id="45" name="Data Quality Score" dataDxfId="106"/>
    <tableColumn id="46" name="Billing Status" dataDxfId="105"/>
    <tableColumn id="47" name="Claim ID" dataDxfId="104"/>
    <tableColumn id="48" name="Calculated Patient Due" dataDxfId="10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C68:AQ69" headerRowCount="0" totalsRowShown="0" headerRowDxfId="102" tableBorderDxfId="101">
  <tableColumns count="41">
    <tableColumn id="1" name="Column1" headerRowDxfId="100"/>
    <tableColumn id="2" name="Column2" headerRowDxfId="99">
      <calculatedColumnFormula>CONCATENATE(#REF!," ",#REF!)</calculatedColumnFormula>
    </tableColumn>
    <tableColumn id="5" name="Column5" headerRowDxfId="98"/>
    <tableColumn id="6" name="Column6" headerRowDxfId="97"/>
    <tableColumn id="7" name="Column7" headerRowDxfId="96"/>
    <tableColumn id="8" name="Column8" headerRowDxfId="95"/>
    <tableColumn id="9" name="Column9" headerRowDxfId="94"/>
    <tableColumn id="10" name="Column10" headerRowDxfId="93"/>
    <tableColumn id="11" name="Column11" headerRowDxfId="92"/>
    <tableColumn id="12" name="Column12" headerRowDxfId="91"/>
    <tableColumn id="13" name="Column13" headerRowDxfId="90"/>
    <tableColumn id="14" name="Column14" headerRowDxfId="89"/>
    <tableColumn id="15" name="Column15" headerRowDxfId="88"/>
    <tableColumn id="16" name="Column16" headerRowDxfId="87"/>
    <tableColumn id="17" name="Column17" headerRowDxfId="86"/>
    <tableColumn id="18" name="Column18" headerRowDxfId="85"/>
    <tableColumn id="19" name="Column19" headerRowDxfId="84"/>
    <tableColumn id="20" name="Column20" headerRowDxfId="83"/>
    <tableColumn id="21" name="Column21" headerRowDxfId="82"/>
    <tableColumn id="22" name="Column22" headerRowDxfId="81"/>
    <tableColumn id="23" name="Column23" headerRowDxfId="80"/>
    <tableColumn id="24" name="Column24" headerRowDxfId="79"/>
    <tableColumn id="25" name="Column25" headerRowDxfId="78"/>
    <tableColumn id="26" name="Column26" headerRowDxfId="77"/>
    <tableColumn id="27" name="Column27" headerRowDxfId="76"/>
    <tableColumn id="28" name="Column28" headerRowDxfId="75"/>
    <tableColumn id="29" name="Column29" headerRowDxfId="74"/>
    <tableColumn id="30" name="Column30" headerRowDxfId="73"/>
    <tableColumn id="31" name="Column31" headerRowDxfId="72"/>
    <tableColumn id="32" name="Column32" headerRowDxfId="71"/>
    <tableColumn id="33" name="Column33" headerRowDxfId="70"/>
    <tableColumn id="34" name="Column34" headerRowDxfId="69"/>
    <tableColumn id="35" name="Column35" headerRowDxfId="68"/>
    <tableColumn id="36" name="Column36" headerRowDxfId="67"/>
    <tableColumn id="37" name="Column37" headerRowDxfId="66"/>
    <tableColumn id="38" name="Column38" headerRowDxfId="65"/>
    <tableColumn id="39" name="Column39" headerRowDxfId="64"/>
    <tableColumn id="40" name="Column40" headerRowDxfId="63"/>
    <tableColumn id="41" name="Column41" headerRowDxfId="62"/>
    <tableColumn id="42" name="Column42" headerRowDxfId="61"/>
    <tableColumn id="43" name="Column43" headerRowDxfId="6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C121:D137" totalsRowShown="0" headerRowDxfId="59" dataDxfId="57" tableBorderDxfId="56" headerRowBorderDxfId="58" totalsRowBorderDxfId="55">
  <tableColumns count="2">
    <tableColumn id="1" name="Departement" dataDxfId="54"/>
    <tableColumn id="2" name="Average Satisfication" dataDxfId="53">
      <calculatedColumnFormula>AVERAGE('Filtered-data'!AL2:AL97)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3" name="Table3" displayName="Table3" ref="J142:L242" totalsRowShown="0" tableBorderDxfId="49" headerRowBorderDxfId="48">
  <tableColumns count="3">
    <tableColumn id="1" name="DoctorID" dataDxfId="47"/>
    <tableColumn id="2" name="DoctorName" dataDxfId="46"/>
    <tableColumn id="3" name="Specialty" dataDxfId="45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 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table" Target="../tables/table4.xml" /><Relationship Id="rId3" Type="http://schemas.openxmlformats.org/officeDocument/2006/relationships/table" Target="../tables/table5.xml" /><Relationship Id="rId5" Type="http://schemas.openxmlformats.org/officeDocument/2006/relationships/table" Target="../tables/table7.xml" /><Relationship Id="rId4" Type="http://schemas.openxmlformats.org/officeDocument/2006/relationships/table" Target="../tables/table6.xml" /><Relationship Id="rId1" Type="http://schemas.openxmlformats.org/officeDocument/2006/relationships/table" Target="../tables/table3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EEBD5D5-F2B2-4E75-8174-1A41C3E23702}">
  <sheetPr codeName=""/>
  <dimension ref="A1:AO101"/>
  <sheetViews>
    <sheetView tabSelected="1" workbookViewId="0" topLeftCell="A1">
      <selection pane="topLeft" activeCell="I14" sqref="I14"/>
    </sheetView>
  </sheetViews>
  <sheetFormatPr defaultColWidth="9.14285714285714" defaultRowHeight="15"/>
  <cols>
    <col min="1" max="1" width="9.28571428571429" customWidth="1"/>
    <col min="2" max="2" width="10.1428571428571" customWidth="1"/>
    <col min="3" max="3" width="9.71428571428571" customWidth="1"/>
    <col min="4" max="4" width="4.85714285714286" customWidth="1"/>
    <col min="5" max="5" width="7.57142857142857" customWidth="1"/>
    <col min="6" max="6" width="11.4285714285714" customWidth="1"/>
    <col min="7" max="7" width="14" customWidth="1"/>
    <col min="8" max="8" width="7.28571428571429" customWidth="1"/>
    <col min="9" max="9" width="9.14285714285714" customWidth="1"/>
    <col min="10" max="10" width="9.42857142857143" customWidth="1"/>
    <col min="11" max="11" width="9.28571428571429" customWidth="1"/>
    <col min="12" max="12" width="11.7142857142857" customWidth="1"/>
    <col min="13" max="13" width="8.71428571428571" customWidth="1"/>
    <col min="14" max="14" width="16.4285714285714" customWidth="1"/>
    <col min="15" max="15" width="18.8571428571429" customWidth="1"/>
    <col min="16" max="16" width="15" customWidth="1"/>
    <col min="17" max="17" width="20.7142857142857" customWidth="1"/>
    <col min="18" max="18" width="15.2857142857143" customWidth="1"/>
    <col min="19" max="19" width="15.5714285714286" customWidth="1"/>
    <col min="20" max="20" width="14.8571428571429" customWidth="1"/>
    <col min="21" max="21" width="18.2857142857143" customWidth="1"/>
    <col min="22" max="22" width="8.85714285714286" customWidth="1"/>
    <col min="23" max="23" width="20.8571428571429" customWidth="1"/>
    <col min="24" max="24" width="13.7142857142857" customWidth="1"/>
    <col min="25" max="25" width="18" customWidth="1"/>
    <col min="26" max="26" width="12.4285714285714" customWidth="1"/>
    <col min="27" max="27" width="9.28571428571429" customWidth="1"/>
    <col min="28" max="28" width="16" customWidth="1"/>
    <col min="29" max="29" width="17.7142857142857" customWidth="1"/>
    <col min="30" max="30" width="13.5714285714286" customWidth="1"/>
    <col min="31" max="31" width="19.7142857142857" customWidth="1"/>
    <col min="32" max="32" width="14.4285714285714" customWidth="1"/>
    <col min="33" max="33" width="11.7142857142857" customWidth="1"/>
    <col min="34" max="34" width="12" customWidth="1"/>
    <col min="35" max="35" width="18.7142857142857" customWidth="1"/>
    <col min="36" max="36" width="18" customWidth="1"/>
    <col min="37" max="37" width="6.28571428571429" customWidth="1"/>
    <col min="38" max="38" width="16.4285714285714" customWidth="1"/>
    <col min="39" max="39" width="12" customWidth="1"/>
    <col min="40" max="40" width="7.85714285714286" customWidth="1"/>
    <col min="41" max="41" width="18.5714285714286" customWidth="1"/>
  </cols>
  <sheetData>
    <row r="1" spans="1:40" ht="1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0</v>
      </c>
      <c r="AM1" t="s">
        <v>39</v>
      </c>
      <c r="AN1" t="s">
        <v>40</v>
      </c>
    </row>
    <row r="2" spans="1:40" ht="1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>
        <v>0.39583333333333331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>
        <v>99214</v>
      </c>
      <c r="Q2" t="s">
        <v>55</v>
      </c>
      <c r="R2" t="s">
        <v>56</v>
      </c>
      <c r="S2" t="s">
        <v>57</v>
      </c>
      <c r="T2" t="s">
        <v>57</v>
      </c>
      <c r="U2">
        <v>45</v>
      </c>
      <c r="V2">
        <v>185</v>
      </c>
      <c r="W2">
        <v>80</v>
      </c>
      <c r="X2">
        <v>37</v>
      </c>
      <c r="Y2">
        <v>25</v>
      </c>
      <c r="Z2">
        <v>62</v>
      </c>
      <c r="AA2">
        <v>123</v>
      </c>
      <c r="AB2" t="s">
        <v>58</v>
      </c>
      <c r="AC2" t="b">
        <v>1</v>
      </c>
      <c r="AD2" t="s">
        <v>59</v>
      </c>
      <c r="AE2" t="b">
        <v>0</v>
      </c>
      <c r="AF2" t="b">
        <v>0</v>
      </c>
      <c r="AG2" t="b">
        <v>0</v>
      </c>
      <c r="AH2" t="b">
        <v>0</v>
      </c>
      <c r="AJ2">
        <v>4</v>
      </c>
      <c r="AK2" t="s">
        <v>60</v>
      </c>
      <c r="AL2">
        <v>95</v>
      </c>
      <c r="AM2" t="s">
        <v>61</v>
      </c>
      <c r="AN2" t="s">
        <v>62</v>
      </c>
    </row>
    <row r="3" spans="1:40" ht="15">
      <c r="A3" t="s">
        <v>63</v>
      </c>
      <c r="B3" t="s">
        <v>64</v>
      </c>
      <c r="C3" t="s">
        <v>65</v>
      </c>
      <c r="D3" t="s">
        <v>66</v>
      </c>
      <c r="E3" t="s">
        <v>67</v>
      </c>
      <c r="F3" t="s">
        <v>68</v>
      </c>
      <c r="G3" t="s">
        <v>69</v>
      </c>
      <c r="H3" t="s">
        <v>70</v>
      </c>
      <c r="I3" t="s">
        <v>71</v>
      </c>
      <c r="J3">
        <v>0.59375</v>
      </c>
      <c r="K3" t="s">
        <v>72</v>
      </c>
      <c r="L3" t="s">
        <v>73</v>
      </c>
      <c r="M3" t="s">
        <v>74</v>
      </c>
      <c r="N3" t="s">
        <v>75</v>
      </c>
      <c r="O3" t="s">
        <v>76</v>
      </c>
      <c r="P3">
        <v>99213</v>
      </c>
      <c r="Q3" t="s">
        <v>77</v>
      </c>
      <c r="R3" t="s">
        <v>78</v>
      </c>
      <c r="S3" t="s">
        <v>79</v>
      </c>
      <c r="T3" t="s">
        <v>57</v>
      </c>
      <c r="U3">
        <v>60</v>
      </c>
      <c r="V3">
        <v>225</v>
      </c>
      <c r="W3">
        <v>70</v>
      </c>
      <c r="X3">
        <v>67.5</v>
      </c>
      <c r="Y3">
        <v>40</v>
      </c>
      <c r="Z3">
        <v>107.5</v>
      </c>
      <c r="AA3">
        <v>117.5</v>
      </c>
      <c r="AB3" t="s">
        <v>80</v>
      </c>
      <c r="AC3" t="b">
        <v>1</v>
      </c>
      <c r="AD3" t="s">
        <v>81</v>
      </c>
      <c r="AE3" t="b">
        <v>0</v>
      </c>
      <c r="AF3" t="b">
        <v>0</v>
      </c>
      <c r="AG3" t="b">
        <v>1</v>
      </c>
      <c r="AH3" t="b">
        <v>0</v>
      </c>
      <c r="AJ3">
        <v>3</v>
      </c>
      <c r="AK3" t="s">
        <v>82</v>
      </c>
      <c r="AL3">
        <v>92</v>
      </c>
      <c r="AM3" t="s">
        <v>83</v>
      </c>
      <c r="AN3" t="s">
        <v>84</v>
      </c>
    </row>
    <row r="4" spans="1:40" ht="15">
      <c r="A4" t="s">
        <v>85</v>
      </c>
      <c r="B4" t="s">
        <v>86</v>
      </c>
      <c r="C4" t="s">
        <v>87</v>
      </c>
      <c r="D4">
        <v>23957</v>
      </c>
      <c r="E4" t="s">
        <v>45</v>
      </c>
      <c r="F4" t="s">
        <v>88</v>
      </c>
      <c r="G4" t="s">
        <v>89</v>
      </c>
      <c r="H4" t="s">
        <v>90</v>
      </c>
      <c r="I4" t="s">
        <v>91</v>
      </c>
      <c r="J4">
        <v>0.41666666666666669</v>
      </c>
      <c r="K4" t="s">
        <v>92</v>
      </c>
      <c r="L4" t="s">
        <v>93</v>
      </c>
      <c r="M4" t="s">
        <v>94</v>
      </c>
      <c r="N4" t="s">
        <v>95</v>
      </c>
      <c r="O4" t="s">
        <v>96</v>
      </c>
      <c r="P4">
        <v>99204</v>
      </c>
      <c r="Q4" t="s">
        <v>97</v>
      </c>
      <c r="R4" t="s">
        <v>98</v>
      </c>
      <c r="S4" t="s">
        <v>99</v>
      </c>
      <c r="T4" t="s">
        <v>57</v>
      </c>
      <c r="U4">
        <v>30</v>
      </c>
      <c r="V4">
        <v>350</v>
      </c>
      <c r="W4">
        <v>85</v>
      </c>
      <c r="X4">
        <v>52.5</v>
      </c>
      <c r="Y4">
        <v>30</v>
      </c>
      <c r="Z4">
        <v>82.5</v>
      </c>
      <c r="AA4">
        <v>267.5</v>
      </c>
      <c r="AB4" t="s">
        <v>58</v>
      </c>
      <c r="AC4" t="b">
        <v>0</v>
      </c>
      <c r="AE4" t="b">
        <v>1</v>
      </c>
      <c r="AF4" t="b">
        <v>1</v>
      </c>
      <c r="AG4" t="b">
        <v>0</v>
      </c>
      <c r="AH4" t="b">
        <v>0</v>
      </c>
      <c r="AI4" t="s">
        <v>100</v>
      </c>
      <c r="AJ4">
        <v>5</v>
      </c>
      <c r="AK4" t="s">
        <v>101</v>
      </c>
      <c r="AL4">
        <v>88</v>
      </c>
      <c r="AM4" t="s">
        <v>102</v>
      </c>
      <c r="AN4" t="s">
        <v>103</v>
      </c>
    </row>
    <row r="5" spans="1:40" ht="15">
      <c r="A5" t="s">
        <v>104</v>
      </c>
      <c r="B5" t="s">
        <v>105</v>
      </c>
      <c r="C5" t="s">
        <v>106</v>
      </c>
      <c r="D5" t="s">
        <v>107</v>
      </c>
      <c r="E5" t="s">
        <v>67</v>
      </c>
      <c r="F5" t="s">
        <v>108</v>
      </c>
      <c r="G5" t="s">
        <v>47</v>
      </c>
      <c r="H5" t="s">
        <v>109</v>
      </c>
      <c r="I5" t="s">
        <v>110</v>
      </c>
      <c r="J5">
        <v>0.48958333333333331</v>
      </c>
      <c r="K5" t="s">
        <v>111</v>
      </c>
      <c r="L5" t="s">
        <v>112</v>
      </c>
      <c r="M5" t="s">
        <v>113</v>
      </c>
      <c r="N5" t="s">
        <v>114</v>
      </c>
      <c r="O5" t="s">
        <v>115</v>
      </c>
      <c r="P5">
        <v>99285</v>
      </c>
      <c r="Q5" t="s">
        <v>116</v>
      </c>
      <c r="R5" t="s">
        <v>117</v>
      </c>
      <c r="S5" t="s">
        <v>117</v>
      </c>
      <c r="T5" t="s">
        <v>57</v>
      </c>
      <c r="U5">
        <v>90</v>
      </c>
      <c r="V5">
        <v>550</v>
      </c>
      <c r="W5">
        <v>60</v>
      </c>
      <c r="X5">
        <v>220</v>
      </c>
      <c r="Y5">
        <v>100</v>
      </c>
      <c r="Z5">
        <v>320</v>
      </c>
      <c r="AA5">
        <v>230</v>
      </c>
      <c r="AB5" t="s">
        <v>118</v>
      </c>
      <c r="AC5" t="b">
        <v>1</v>
      </c>
      <c r="AD5" t="s">
        <v>119</v>
      </c>
      <c r="AE5" t="b">
        <v>0</v>
      </c>
      <c r="AF5" t="b">
        <v>1</v>
      </c>
      <c r="AG5" t="b">
        <v>0</v>
      </c>
      <c r="AH5" t="b">
        <v>0</v>
      </c>
      <c r="AJ5">
        <v>4</v>
      </c>
      <c r="AK5" t="s">
        <v>120</v>
      </c>
      <c r="AL5">
        <v>90</v>
      </c>
      <c r="AM5" t="s">
        <v>61</v>
      </c>
      <c r="AN5" t="s">
        <v>121</v>
      </c>
    </row>
    <row r="6" spans="1:40" ht="15">
      <c r="A6" t="s">
        <v>122</v>
      </c>
      <c r="B6" t="s">
        <v>123</v>
      </c>
      <c r="C6" t="s">
        <v>124</v>
      </c>
      <c r="D6" t="s">
        <v>125</v>
      </c>
      <c r="E6" t="s">
        <v>45</v>
      </c>
      <c r="F6" t="s">
        <v>126</v>
      </c>
      <c r="G6" t="s">
        <v>127</v>
      </c>
      <c r="H6" t="s">
        <v>128</v>
      </c>
      <c r="I6" t="s">
        <v>129</v>
      </c>
      <c r="J6">
        <v>0.34375</v>
      </c>
      <c r="K6" t="s">
        <v>50</v>
      </c>
      <c r="L6" t="s">
        <v>130</v>
      </c>
      <c r="M6" t="s">
        <v>131</v>
      </c>
      <c r="N6" t="s">
        <v>132</v>
      </c>
      <c r="O6" t="s">
        <v>133</v>
      </c>
      <c r="P6">
        <v>99214</v>
      </c>
      <c r="Q6" t="s">
        <v>134</v>
      </c>
      <c r="R6" t="s">
        <v>135</v>
      </c>
      <c r="S6" t="s">
        <v>57</v>
      </c>
      <c r="T6" t="s">
        <v>57</v>
      </c>
      <c r="U6">
        <v>40</v>
      </c>
      <c r="V6">
        <v>200</v>
      </c>
      <c r="W6">
        <v>100</v>
      </c>
      <c r="X6">
        <v>0</v>
      </c>
      <c r="Y6">
        <v>0</v>
      </c>
      <c r="Z6">
        <v>0</v>
      </c>
      <c r="AA6">
        <v>200</v>
      </c>
      <c r="AB6" t="s">
        <v>127</v>
      </c>
      <c r="AC6" t="b">
        <v>0</v>
      </c>
      <c r="AE6" t="b">
        <v>0</v>
      </c>
      <c r="AF6" t="b">
        <v>0</v>
      </c>
      <c r="AG6" t="b">
        <v>0</v>
      </c>
      <c r="AH6" t="b">
        <v>0</v>
      </c>
      <c r="AJ6">
        <v>5</v>
      </c>
      <c r="AK6" t="s">
        <v>136</v>
      </c>
      <c r="AL6">
        <v>98</v>
      </c>
      <c r="AM6" t="s">
        <v>61</v>
      </c>
      <c r="AN6" t="s">
        <v>137</v>
      </c>
    </row>
    <row r="7" spans="1:40" ht="15">
      <c r="A7" t="s">
        <v>138</v>
      </c>
      <c r="B7" t="s">
        <v>139</v>
      </c>
      <c r="C7" t="s">
        <v>140</v>
      </c>
      <c r="D7">
        <v>32275</v>
      </c>
      <c r="E7" t="s">
        <v>67</v>
      </c>
      <c r="F7" t="s">
        <v>141</v>
      </c>
      <c r="G7" t="s">
        <v>47</v>
      </c>
      <c r="H7" t="s">
        <v>142</v>
      </c>
      <c r="I7" t="s">
        <v>143</v>
      </c>
      <c r="J7">
        <v>0.5625</v>
      </c>
      <c r="K7" t="s">
        <v>144</v>
      </c>
      <c r="L7" t="s">
        <v>145</v>
      </c>
      <c r="M7" t="s">
        <v>146</v>
      </c>
      <c r="N7" t="s">
        <v>147</v>
      </c>
      <c r="O7" t="s">
        <v>148</v>
      </c>
      <c r="P7">
        <v>99223</v>
      </c>
      <c r="Q7" t="s">
        <v>149</v>
      </c>
      <c r="R7" t="s">
        <v>57</v>
      </c>
      <c r="S7" t="s">
        <v>150</v>
      </c>
      <c r="T7">
        <v>44970</v>
      </c>
      <c r="U7">
        <v>120</v>
      </c>
      <c r="V7">
        <v>12500</v>
      </c>
      <c r="W7">
        <v>80</v>
      </c>
      <c r="X7">
        <v>2500</v>
      </c>
      <c r="Y7">
        <v>500</v>
      </c>
      <c r="Z7">
        <v>3000</v>
      </c>
      <c r="AA7">
        <v>9500</v>
      </c>
      <c r="AB7" t="s">
        <v>80</v>
      </c>
      <c r="AC7" t="b">
        <v>1</v>
      </c>
      <c r="AD7" t="s">
        <v>151</v>
      </c>
      <c r="AE7" t="b">
        <v>0</v>
      </c>
      <c r="AF7" t="b">
        <v>1</v>
      </c>
      <c r="AG7" t="b">
        <v>1</v>
      </c>
      <c r="AH7" t="b">
        <v>0</v>
      </c>
      <c r="AJ7">
        <v>4</v>
      </c>
      <c r="AK7" t="s">
        <v>152</v>
      </c>
      <c r="AL7">
        <v>85</v>
      </c>
      <c r="AM7" t="s">
        <v>153</v>
      </c>
      <c r="AN7" t="s">
        <v>154</v>
      </c>
    </row>
    <row r="8" spans="1:41" ht="15">
      <c r="A8" t="s">
        <v>155</v>
      </c>
      <c r="B8" t="s">
        <v>156</v>
      </c>
      <c r="C8" t="s">
        <v>157</v>
      </c>
      <c r="D8" t="s">
        <v>158</v>
      </c>
      <c r="E8" t="s">
        <v>45</v>
      </c>
      <c r="F8" t="s">
        <v>159</v>
      </c>
      <c r="G8" t="s">
        <v>69</v>
      </c>
      <c r="H8" t="s">
        <v>160</v>
      </c>
      <c r="I8" t="s">
        <v>161</v>
      </c>
      <c r="J8">
        <v>0.66666666666666663</v>
      </c>
      <c r="K8" t="s">
        <v>72</v>
      </c>
      <c r="L8" t="s">
        <v>162</v>
      </c>
      <c r="M8" t="s">
        <v>163</v>
      </c>
      <c r="N8" t="s">
        <v>164</v>
      </c>
      <c r="O8" t="s">
        <v>165</v>
      </c>
      <c r="P8">
        <v>99213</v>
      </c>
      <c r="Q8" t="s">
        <v>166</v>
      </c>
      <c r="R8" t="s">
        <v>167</v>
      </c>
      <c r="S8" t="s">
        <v>57</v>
      </c>
      <c r="T8" t="s">
        <v>57</v>
      </c>
      <c r="U8">
        <v>25</v>
      </c>
      <c r="V8">
        <v>180</v>
      </c>
      <c r="W8">
        <v>70</v>
      </c>
      <c r="X8">
        <v>54</v>
      </c>
      <c r="Y8">
        <v>35</v>
      </c>
      <c r="Z8">
        <v>89</v>
      </c>
      <c r="AA8">
        <v>91</v>
      </c>
      <c r="AB8" t="s">
        <v>58</v>
      </c>
      <c r="AC8" t="b">
        <v>1</v>
      </c>
      <c r="AD8" t="s">
        <v>168</v>
      </c>
      <c r="AE8" t="b">
        <v>0</v>
      </c>
      <c r="AF8" t="b">
        <v>0</v>
      </c>
      <c r="AG8" t="b">
        <v>0</v>
      </c>
      <c r="AH8" t="b">
        <v>1</v>
      </c>
      <c r="AI8" t="s">
        <v>169</v>
      </c>
      <c r="AJ8" t="s">
        <v>170</v>
      </c>
      <c r="AK8">
        <v>3</v>
      </c>
      <c r="AL8" t="s">
        <v>171</v>
      </c>
      <c r="AM8">
        <v>93</v>
      </c>
      <c r="AN8" t="s">
        <v>172</v>
      </c>
      <c r="AO8" t="s">
        <v>173</v>
      </c>
    </row>
    <row r="9" spans="1:40" ht="15">
      <c r="A9" t="s">
        <v>174</v>
      </c>
      <c r="B9" t="s">
        <v>175</v>
      </c>
      <c r="C9" t="s">
        <v>176</v>
      </c>
      <c r="D9">
        <v>35037</v>
      </c>
      <c r="E9" t="s">
        <v>67</v>
      </c>
      <c r="F9" t="s">
        <v>177</v>
      </c>
      <c r="G9" t="s">
        <v>47</v>
      </c>
      <c r="H9" t="s">
        <v>178</v>
      </c>
      <c r="I9" t="s">
        <v>179</v>
      </c>
      <c r="J9">
        <v>0.375</v>
      </c>
      <c r="K9" t="s">
        <v>180</v>
      </c>
      <c r="L9" t="s">
        <v>181</v>
      </c>
      <c r="M9" t="s">
        <v>182</v>
      </c>
      <c r="N9" t="s">
        <v>183</v>
      </c>
      <c r="O9" t="s">
        <v>184</v>
      </c>
      <c r="P9">
        <v>99212</v>
      </c>
      <c r="Q9" t="s">
        <v>185</v>
      </c>
      <c r="R9" t="s">
        <v>57</v>
      </c>
      <c r="S9" t="s">
        <v>57</v>
      </c>
      <c r="T9" t="s">
        <v>57</v>
      </c>
      <c r="U9">
        <v>20</v>
      </c>
      <c r="V9">
        <v>150</v>
      </c>
      <c r="W9">
        <v>90</v>
      </c>
      <c r="X9">
        <v>15</v>
      </c>
      <c r="Y9">
        <v>10</v>
      </c>
      <c r="Z9">
        <v>25</v>
      </c>
      <c r="AA9">
        <v>125</v>
      </c>
      <c r="AB9" t="s">
        <v>80</v>
      </c>
      <c r="AC9" t="b">
        <v>0</v>
      </c>
      <c r="AE9" t="b">
        <v>0</v>
      </c>
      <c r="AF9" t="b">
        <v>0</v>
      </c>
      <c r="AG9" t="b">
        <v>0</v>
      </c>
      <c r="AH9" t="b">
        <v>0</v>
      </c>
      <c r="AJ9">
        <v>5</v>
      </c>
      <c r="AK9" t="s">
        <v>186</v>
      </c>
      <c r="AL9">
        <v>96</v>
      </c>
      <c r="AM9" t="s">
        <v>61</v>
      </c>
      <c r="AN9" t="s">
        <v>187</v>
      </c>
    </row>
    <row r="10" spans="1:40" ht="15">
      <c r="A10" t="s">
        <v>188</v>
      </c>
      <c r="B10" t="s">
        <v>189</v>
      </c>
      <c r="C10" t="s">
        <v>190</v>
      </c>
      <c r="D10" t="s">
        <v>191</v>
      </c>
      <c r="E10" t="s">
        <v>45</v>
      </c>
      <c r="F10" t="s">
        <v>192</v>
      </c>
      <c r="G10" t="s">
        <v>89</v>
      </c>
      <c r="H10" t="s">
        <v>193</v>
      </c>
      <c r="I10" t="s">
        <v>119</v>
      </c>
      <c r="J10">
        <v>0.61458333333333337</v>
      </c>
      <c r="K10" t="s">
        <v>92</v>
      </c>
      <c r="L10" t="s">
        <v>194</v>
      </c>
      <c r="M10" t="s">
        <v>195</v>
      </c>
      <c r="N10" t="s">
        <v>196</v>
      </c>
      <c r="O10" t="s">
        <v>197</v>
      </c>
      <c r="P10">
        <v>99204</v>
      </c>
      <c r="Q10" t="s">
        <v>198</v>
      </c>
      <c r="R10" t="s">
        <v>199</v>
      </c>
      <c r="S10" t="s">
        <v>200</v>
      </c>
      <c r="T10" t="s">
        <v>57</v>
      </c>
      <c r="U10">
        <v>50</v>
      </c>
      <c r="V10">
        <v>450</v>
      </c>
      <c r="W10">
        <v>80</v>
      </c>
      <c r="X10">
        <v>90</v>
      </c>
      <c r="Y10">
        <v>50</v>
      </c>
      <c r="Z10">
        <v>140</v>
      </c>
      <c r="AA10">
        <v>310</v>
      </c>
      <c r="AB10" t="s">
        <v>58</v>
      </c>
      <c r="AC10" t="b">
        <v>1</v>
      </c>
      <c r="AD10" t="s">
        <v>201</v>
      </c>
      <c r="AE10" t="b">
        <v>0</v>
      </c>
      <c r="AF10" t="b">
        <v>0</v>
      </c>
      <c r="AG10" t="b">
        <v>1</v>
      </c>
      <c r="AH10" t="b">
        <v>0</v>
      </c>
      <c r="AJ10">
        <v>3</v>
      </c>
      <c r="AK10" t="s">
        <v>202</v>
      </c>
      <c r="AL10">
        <v>89</v>
      </c>
      <c r="AM10" t="s">
        <v>203</v>
      </c>
      <c r="AN10" t="s">
        <v>204</v>
      </c>
    </row>
    <row r="11" spans="1:40" ht="15">
      <c r="A11" t="s">
        <v>205</v>
      </c>
      <c r="B11" t="s">
        <v>206</v>
      </c>
      <c r="C11" t="s">
        <v>207</v>
      </c>
      <c r="D11" t="s">
        <v>208</v>
      </c>
      <c r="E11" t="s">
        <v>67</v>
      </c>
      <c r="F11" t="s">
        <v>209</v>
      </c>
      <c r="G11" t="s">
        <v>69</v>
      </c>
      <c r="H11" t="s">
        <v>210</v>
      </c>
      <c r="I11" t="s">
        <v>211</v>
      </c>
      <c r="J11">
        <v>0.4375</v>
      </c>
      <c r="K11" t="s">
        <v>212</v>
      </c>
      <c r="L11" t="s">
        <v>213</v>
      </c>
      <c r="M11" t="s">
        <v>214</v>
      </c>
      <c r="N11" t="s">
        <v>215</v>
      </c>
      <c r="O11" t="s">
        <v>216</v>
      </c>
      <c r="P11">
        <v>99214</v>
      </c>
      <c r="Q11" t="s">
        <v>217</v>
      </c>
      <c r="R11" t="s">
        <v>218</v>
      </c>
      <c r="S11" t="s">
        <v>218</v>
      </c>
      <c r="T11" t="s">
        <v>57</v>
      </c>
      <c r="U11">
        <v>40</v>
      </c>
      <c r="V11">
        <v>300</v>
      </c>
      <c r="W11">
        <v>75</v>
      </c>
      <c r="X11">
        <v>75</v>
      </c>
      <c r="Y11">
        <v>40</v>
      </c>
      <c r="Z11">
        <v>115</v>
      </c>
      <c r="AA11">
        <v>185</v>
      </c>
      <c r="AB11" t="s">
        <v>80</v>
      </c>
      <c r="AC11" t="b">
        <v>1</v>
      </c>
      <c r="AD11" t="s">
        <v>219</v>
      </c>
      <c r="AE11" t="b">
        <v>0</v>
      </c>
      <c r="AF11" t="b">
        <v>0</v>
      </c>
      <c r="AG11" t="b">
        <v>0</v>
      </c>
      <c r="AH11" t="b">
        <v>0</v>
      </c>
      <c r="AJ11">
        <v>5</v>
      </c>
      <c r="AK11" t="s">
        <v>220</v>
      </c>
      <c r="AL11">
        <v>97</v>
      </c>
      <c r="AM11" t="s">
        <v>61</v>
      </c>
      <c r="AN11" t="s">
        <v>221</v>
      </c>
    </row>
    <row r="12" spans="1:40" ht="15">
      <c r="A12" t="s">
        <v>222</v>
      </c>
      <c r="B12" t="s">
        <v>223</v>
      </c>
      <c r="C12" t="s">
        <v>224</v>
      </c>
      <c r="D12">
        <v>18120</v>
      </c>
      <c r="E12" t="s">
        <v>45</v>
      </c>
      <c r="F12" t="s">
        <v>225</v>
      </c>
      <c r="G12" t="s">
        <v>127</v>
      </c>
      <c r="H12" t="s">
        <v>226</v>
      </c>
      <c r="I12" t="s">
        <v>227</v>
      </c>
      <c r="J12">
        <v>0.33333333333333331</v>
      </c>
      <c r="K12" t="s">
        <v>50</v>
      </c>
      <c r="L12" t="s">
        <v>228</v>
      </c>
      <c r="M12" t="s">
        <v>229</v>
      </c>
      <c r="N12" t="s">
        <v>230</v>
      </c>
      <c r="O12" t="s">
        <v>231</v>
      </c>
      <c r="P12">
        <v>99215</v>
      </c>
      <c r="Q12" t="s">
        <v>232</v>
      </c>
      <c r="R12" t="s">
        <v>233</v>
      </c>
      <c r="S12" t="s">
        <v>234</v>
      </c>
      <c r="T12" t="s">
        <v>57</v>
      </c>
      <c r="U12">
        <v>60</v>
      </c>
      <c r="V12">
        <v>500</v>
      </c>
      <c r="W12">
        <v>100</v>
      </c>
      <c r="X12">
        <v>0</v>
      </c>
      <c r="Y12">
        <v>0</v>
      </c>
      <c r="Z12">
        <v>0</v>
      </c>
      <c r="AA12">
        <v>500</v>
      </c>
      <c r="AB12" t="s">
        <v>127</v>
      </c>
      <c r="AC12" t="b">
        <v>1</v>
      </c>
      <c r="AD12" t="s">
        <v>235</v>
      </c>
      <c r="AE12" t="b">
        <v>0</v>
      </c>
      <c r="AF12" t="b">
        <v>0</v>
      </c>
      <c r="AG12" t="b">
        <v>0</v>
      </c>
      <c r="AH12" t="b">
        <v>0</v>
      </c>
      <c r="AJ12">
        <v>4</v>
      </c>
      <c r="AK12" t="s">
        <v>236</v>
      </c>
      <c r="AL12">
        <v>94</v>
      </c>
      <c r="AM12" t="s">
        <v>61</v>
      </c>
      <c r="AN12" t="s">
        <v>237</v>
      </c>
    </row>
    <row r="13" spans="1:40" ht="15">
      <c r="A13" t="s">
        <v>238</v>
      </c>
      <c r="B13" t="s">
        <v>239</v>
      </c>
      <c r="C13" t="s">
        <v>240</v>
      </c>
      <c r="D13" t="s">
        <v>241</v>
      </c>
      <c r="E13" t="s">
        <v>67</v>
      </c>
      <c r="F13" t="s">
        <v>242</v>
      </c>
      <c r="G13" t="s">
        <v>47</v>
      </c>
      <c r="H13" t="s">
        <v>243</v>
      </c>
      <c r="I13" t="s">
        <v>244</v>
      </c>
      <c r="J13">
        <v>0.46875</v>
      </c>
      <c r="K13" t="s">
        <v>111</v>
      </c>
      <c r="L13" t="s">
        <v>245</v>
      </c>
      <c r="M13" t="s">
        <v>246</v>
      </c>
      <c r="N13" t="s">
        <v>247</v>
      </c>
      <c r="O13" t="s">
        <v>248</v>
      </c>
      <c r="P13">
        <v>99202</v>
      </c>
      <c r="Q13" t="s">
        <v>249</v>
      </c>
      <c r="R13" t="s">
        <v>57</v>
      </c>
      <c r="S13" t="s">
        <v>57</v>
      </c>
      <c r="T13" t="s">
        <v>57</v>
      </c>
      <c r="U13">
        <v>15</v>
      </c>
      <c r="V13">
        <v>125</v>
      </c>
      <c r="W13">
        <v>85</v>
      </c>
      <c r="X13">
        <v>18.75</v>
      </c>
      <c r="Y13">
        <v>15</v>
      </c>
      <c r="Z13">
        <v>33.75</v>
      </c>
      <c r="AA13">
        <v>91.25</v>
      </c>
      <c r="AB13" t="s">
        <v>58</v>
      </c>
      <c r="AC13" t="b">
        <v>0</v>
      </c>
      <c r="AE13" t="b">
        <v>0</v>
      </c>
      <c r="AF13" t="b">
        <v>1</v>
      </c>
      <c r="AG13" t="b">
        <v>0</v>
      </c>
      <c r="AH13" t="b">
        <v>0</v>
      </c>
      <c r="AJ13">
        <v>4</v>
      </c>
      <c r="AK13" t="s">
        <v>250</v>
      </c>
      <c r="AL13">
        <v>91</v>
      </c>
      <c r="AM13" t="s">
        <v>61</v>
      </c>
      <c r="AN13" t="s">
        <v>251</v>
      </c>
    </row>
    <row r="14" spans="1:40" ht="15">
      <c r="A14" t="s">
        <v>252</v>
      </c>
      <c r="B14" t="s">
        <v>253</v>
      </c>
      <c r="C14" t="s">
        <v>254</v>
      </c>
      <c r="D14">
        <v>28313</v>
      </c>
      <c r="E14" t="s">
        <v>45</v>
      </c>
      <c r="F14" t="s">
        <v>255</v>
      </c>
      <c r="G14" t="s">
        <v>69</v>
      </c>
      <c r="H14" t="s">
        <v>256</v>
      </c>
      <c r="I14" t="s">
        <v>257</v>
      </c>
      <c r="J14">
        <v>0.54166666666666663</v>
      </c>
      <c r="K14" t="s">
        <v>72</v>
      </c>
      <c r="L14" t="s">
        <v>258</v>
      </c>
      <c r="M14" t="s">
        <v>259</v>
      </c>
      <c r="N14" t="s">
        <v>260</v>
      </c>
      <c r="O14" t="s">
        <v>261</v>
      </c>
      <c r="P14">
        <v>99213</v>
      </c>
      <c r="Q14" t="s">
        <v>262</v>
      </c>
      <c r="R14" t="s">
        <v>263</v>
      </c>
      <c r="S14" t="s">
        <v>57</v>
      </c>
      <c r="T14">
        <v>43239</v>
      </c>
      <c r="U14">
        <v>45</v>
      </c>
      <c r="V14">
        <v>800</v>
      </c>
      <c r="W14">
        <v>70</v>
      </c>
      <c r="X14">
        <v>240</v>
      </c>
      <c r="Y14">
        <v>80</v>
      </c>
      <c r="Z14">
        <v>320</v>
      </c>
      <c r="AA14">
        <v>480</v>
      </c>
      <c r="AB14" t="s">
        <v>80</v>
      </c>
      <c r="AC14" t="b">
        <v>1</v>
      </c>
      <c r="AD14" t="s">
        <v>264</v>
      </c>
      <c r="AE14" t="b">
        <v>0</v>
      </c>
      <c r="AF14" t="b">
        <v>0</v>
      </c>
      <c r="AG14" t="b">
        <v>1</v>
      </c>
      <c r="AH14" t="b">
        <v>0</v>
      </c>
      <c r="AJ14">
        <v>3</v>
      </c>
      <c r="AK14" t="s">
        <v>265</v>
      </c>
      <c r="AL14">
        <v>87</v>
      </c>
      <c r="AM14" t="s">
        <v>153</v>
      </c>
      <c r="AN14" t="s">
        <v>266</v>
      </c>
    </row>
    <row r="15" spans="1:40" ht="15">
      <c r="A15" t="s">
        <v>267</v>
      </c>
      <c r="B15" t="s">
        <v>268</v>
      </c>
      <c r="C15" t="s">
        <v>269</v>
      </c>
      <c r="D15" t="s">
        <v>270</v>
      </c>
      <c r="E15" t="s">
        <v>67</v>
      </c>
      <c r="F15" t="s">
        <v>271</v>
      </c>
      <c r="G15" t="s">
        <v>47</v>
      </c>
      <c r="H15" t="s">
        <v>272</v>
      </c>
      <c r="I15">
        <v>45293</v>
      </c>
      <c r="J15">
        <v>0.40625</v>
      </c>
      <c r="K15" t="s">
        <v>92</v>
      </c>
      <c r="L15" t="s">
        <v>273</v>
      </c>
      <c r="M15" t="s">
        <v>274</v>
      </c>
      <c r="N15" t="s">
        <v>275</v>
      </c>
      <c r="O15" t="s">
        <v>276</v>
      </c>
      <c r="P15">
        <v>99204</v>
      </c>
      <c r="Q15" t="s">
        <v>277</v>
      </c>
      <c r="R15" t="s">
        <v>278</v>
      </c>
      <c r="S15" t="s">
        <v>57</v>
      </c>
      <c r="T15" t="s">
        <v>57</v>
      </c>
      <c r="U15">
        <v>50</v>
      </c>
      <c r="V15">
        <v>400</v>
      </c>
      <c r="W15">
        <v>80</v>
      </c>
      <c r="X15">
        <v>80</v>
      </c>
      <c r="Y15">
        <v>45</v>
      </c>
      <c r="Z15">
        <v>125</v>
      </c>
      <c r="AA15">
        <v>275</v>
      </c>
      <c r="AB15" t="s">
        <v>118</v>
      </c>
      <c r="AC15" t="b">
        <v>1</v>
      </c>
      <c r="AD15">
        <v>45294</v>
      </c>
      <c r="AE15" t="b">
        <v>0</v>
      </c>
      <c r="AF15" t="b">
        <v>0</v>
      </c>
      <c r="AG15" t="b">
        <v>1</v>
      </c>
      <c r="AH15" t="b">
        <v>0</v>
      </c>
      <c r="AJ15">
        <v>4</v>
      </c>
      <c r="AK15" t="s">
        <v>279</v>
      </c>
      <c r="AL15">
        <v>90</v>
      </c>
      <c r="AM15" t="s">
        <v>61</v>
      </c>
      <c r="AN15" t="s">
        <v>280</v>
      </c>
    </row>
    <row r="16" spans="1:40" ht="15">
      <c r="A16" t="s">
        <v>281</v>
      </c>
      <c r="B16" t="s">
        <v>282</v>
      </c>
      <c r="C16" t="s">
        <v>283</v>
      </c>
      <c r="D16">
        <v>21531</v>
      </c>
      <c r="E16" t="s">
        <v>45</v>
      </c>
      <c r="F16" t="s">
        <v>284</v>
      </c>
      <c r="G16" t="s">
        <v>89</v>
      </c>
      <c r="H16" t="s">
        <v>285</v>
      </c>
      <c r="I16">
        <v>45324</v>
      </c>
      <c r="J16">
        <v>0.60416666666666663</v>
      </c>
      <c r="K16" t="s">
        <v>144</v>
      </c>
      <c r="L16" t="s">
        <v>286</v>
      </c>
      <c r="M16" t="s">
        <v>287</v>
      </c>
      <c r="N16" t="s">
        <v>288</v>
      </c>
      <c r="O16" t="s">
        <v>289</v>
      </c>
      <c r="P16">
        <v>99221</v>
      </c>
      <c r="Q16" t="s">
        <v>290</v>
      </c>
      <c r="R16" t="s">
        <v>57</v>
      </c>
      <c r="S16" t="s">
        <v>57</v>
      </c>
      <c r="T16">
        <v>66984</v>
      </c>
      <c r="U16">
        <v>75</v>
      </c>
      <c r="V16">
        <v>3500</v>
      </c>
      <c r="W16">
        <v>80</v>
      </c>
      <c r="X16">
        <v>700</v>
      </c>
      <c r="Y16">
        <v>200</v>
      </c>
      <c r="Z16">
        <v>900</v>
      </c>
      <c r="AA16">
        <v>2600</v>
      </c>
      <c r="AB16" t="s">
        <v>80</v>
      </c>
      <c r="AC16" t="b">
        <v>1</v>
      </c>
      <c r="AD16" t="s">
        <v>81</v>
      </c>
      <c r="AE16" t="b">
        <v>0</v>
      </c>
      <c r="AF16" t="b">
        <v>1</v>
      </c>
      <c r="AG16" t="b">
        <v>1</v>
      </c>
      <c r="AH16" t="b">
        <v>0</v>
      </c>
      <c r="AJ16">
        <v>5</v>
      </c>
      <c r="AK16" t="s">
        <v>291</v>
      </c>
      <c r="AL16">
        <v>92</v>
      </c>
      <c r="AM16" t="s">
        <v>172</v>
      </c>
      <c r="AN16" t="s">
        <v>292</v>
      </c>
    </row>
    <row r="17" spans="1:40" ht="15">
      <c r="A17" t="s">
        <v>293</v>
      </c>
      <c r="B17" t="s">
        <v>294</v>
      </c>
      <c r="C17" t="s">
        <v>295</v>
      </c>
      <c r="D17">
        <v>34037</v>
      </c>
      <c r="E17" t="s">
        <v>67</v>
      </c>
      <c r="F17" t="s">
        <v>296</v>
      </c>
      <c r="G17" t="s">
        <v>69</v>
      </c>
      <c r="H17" t="s">
        <v>297</v>
      </c>
      <c r="I17">
        <v>45414</v>
      </c>
      <c r="J17">
        <v>0.41666666666666669</v>
      </c>
      <c r="K17" t="s">
        <v>180</v>
      </c>
      <c r="L17" t="s">
        <v>181</v>
      </c>
      <c r="M17" t="s">
        <v>182</v>
      </c>
      <c r="N17" t="s">
        <v>298</v>
      </c>
      <c r="O17" t="s">
        <v>299</v>
      </c>
      <c r="P17">
        <v>99211</v>
      </c>
      <c r="Q17" t="s">
        <v>57</v>
      </c>
      <c r="R17" t="s">
        <v>300</v>
      </c>
      <c r="S17" t="s">
        <v>57</v>
      </c>
      <c r="T17" t="s">
        <v>57</v>
      </c>
      <c r="U17">
        <v>30</v>
      </c>
      <c r="V17">
        <v>100</v>
      </c>
      <c r="W17">
        <v>100</v>
      </c>
      <c r="X17">
        <v>0</v>
      </c>
      <c r="Y17">
        <v>0</v>
      </c>
      <c r="Z17">
        <v>0</v>
      </c>
      <c r="AA17">
        <v>100</v>
      </c>
      <c r="AB17" t="s">
        <v>69</v>
      </c>
      <c r="AC17" t="b">
        <v>0</v>
      </c>
      <c r="AE17" t="b">
        <v>0</v>
      </c>
      <c r="AF17" t="b">
        <v>0</v>
      </c>
      <c r="AG17" t="b">
        <v>0</v>
      </c>
      <c r="AH17" t="b">
        <v>0</v>
      </c>
      <c r="AJ17">
        <v>5</v>
      </c>
      <c r="AK17" t="s">
        <v>301</v>
      </c>
      <c r="AL17">
        <v>99</v>
      </c>
      <c r="AM17" t="s">
        <v>61</v>
      </c>
      <c r="AN17" t="s">
        <v>302</v>
      </c>
    </row>
    <row r="18" spans="1:40" ht="15">
      <c r="A18" t="s">
        <v>303</v>
      </c>
      <c r="B18" t="s">
        <v>304</v>
      </c>
      <c r="C18" t="s">
        <v>305</v>
      </c>
      <c r="D18" t="s">
        <v>306</v>
      </c>
      <c r="E18" t="s">
        <v>45</v>
      </c>
      <c r="F18" t="s">
        <v>307</v>
      </c>
      <c r="G18" t="s">
        <v>47</v>
      </c>
      <c r="H18" t="s">
        <v>308</v>
      </c>
      <c r="I18">
        <v>45445</v>
      </c>
      <c r="J18">
        <v>0.67708333333333337</v>
      </c>
      <c r="K18" t="s">
        <v>72</v>
      </c>
      <c r="L18" t="s">
        <v>309</v>
      </c>
      <c r="M18" t="s">
        <v>310</v>
      </c>
      <c r="N18" t="s">
        <v>311</v>
      </c>
      <c r="O18" t="s">
        <v>312</v>
      </c>
      <c r="P18">
        <v>99213</v>
      </c>
      <c r="Q18" t="s">
        <v>313</v>
      </c>
      <c r="R18" t="s">
        <v>233</v>
      </c>
      <c r="S18" t="s">
        <v>57</v>
      </c>
      <c r="T18" t="s">
        <v>57</v>
      </c>
      <c r="U18">
        <v>25</v>
      </c>
      <c r="V18">
        <v>190</v>
      </c>
      <c r="W18">
        <v>75</v>
      </c>
      <c r="X18">
        <v>47.5</v>
      </c>
      <c r="Y18">
        <v>30</v>
      </c>
      <c r="Z18">
        <v>77.5</v>
      </c>
      <c r="AA18">
        <v>112.5</v>
      </c>
      <c r="AB18" t="s">
        <v>58</v>
      </c>
      <c r="AC18" t="b">
        <v>0</v>
      </c>
      <c r="AE18" t="b">
        <v>0</v>
      </c>
      <c r="AF18" t="b">
        <v>0</v>
      </c>
      <c r="AG18" t="b">
        <v>0</v>
      </c>
      <c r="AH18" t="b">
        <v>0</v>
      </c>
      <c r="AJ18">
        <v>4</v>
      </c>
      <c r="AK18" t="s">
        <v>314</v>
      </c>
      <c r="AL18">
        <v>93</v>
      </c>
      <c r="AM18" t="s">
        <v>61</v>
      </c>
      <c r="AN18" t="s">
        <v>315</v>
      </c>
    </row>
    <row r="19" spans="1:40" ht="15">
      <c r="A19" t="s">
        <v>316</v>
      </c>
      <c r="B19" t="s">
        <v>317</v>
      </c>
      <c r="C19" t="s">
        <v>318</v>
      </c>
      <c r="D19">
        <v>32695</v>
      </c>
      <c r="E19" t="s">
        <v>67</v>
      </c>
      <c r="F19" t="s">
        <v>319</v>
      </c>
      <c r="G19" t="s">
        <v>127</v>
      </c>
      <c r="H19" t="s">
        <v>320</v>
      </c>
      <c r="I19">
        <v>45475</v>
      </c>
      <c r="J19">
        <v>0.36458333333333331</v>
      </c>
      <c r="K19" t="s">
        <v>50</v>
      </c>
      <c r="L19" t="s">
        <v>321</v>
      </c>
      <c r="M19" t="s">
        <v>322</v>
      </c>
      <c r="N19" t="s">
        <v>323</v>
      </c>
      <c r="O19" t="s">
        <v>324</v>
      </c>
      <c r="P19">
        <v>99214</v>
      </c>
      <c r="Q19" t="s">
        <v>325</v>
      </c>
      <c r="R19" t="s">
        <v>57</v>
      </c>
      <c r="S19" t="s">
        <v>57</v>
      </c>
      <c r="T19" t="s">
        <v>57</v>
      </c>
      <c r="U19">
        <v>50</v>
      </c>
      <c r="V19">
        <v>220</v>
      </c>
      <c r="W19">
        <v>100</v>
      </c>
      <c r="X19">
        <v>0</v>
      </c>
      <c r="Y19">
        <v>0</v>
      </c>
      <c r="Z19">
        <v>0</v>
      </c>
      <c r="AA19">
        <v>220</v>
      </c>
      <c r="AB19" t="s">
        <v>127</v>
      </c>
      <c r="AC19" t="b">
        <v>1</v>
      </c>
      <c r="AD19">
        <v>45476</v>
      </c>
      <c r="AE19" t="b">
        <v>0</v>
      </c>
      <c r="AF19" t="b">
        <v>0</v>
      </c>
      <c r="AG19" t="b">
        <v>0</v>
      </c>
      <c r="AH19" t="b">
        <v>0</v>
      </c>
      <c r="AJ19">
        <v>4</v>
      </c>
      <c r="AK19" t="s">
        <v>326</v>
      </c>
      <c r="AL19">
        <v>96</v>
      </c>
      <c r="AM19" t="s">
        <v>61</v>
      </c>
      <c r="AN19" t="s">
        <v>327</v>
      </c>
    </row>
    <row r="20" spans="1:40" ht="15">
      <c r="A20" t="s">
        <v>328</v>
      </c>
      <c r="B20" t="s">
        <v>329</v>
      </c>
      <c r="C20" t="s">
        <v>330</v>
      </c>
      <c r="D20" t="s">
        <v>331</v>
      </c>
      <c r="E20" t="s">
        <v>45</v>
      </c>
      <c r="F20" t="s">
        <v>332</v>
      </c>
      <c r="G20" t="s">
        <v>47</v>
      </c>
      <c r="H20" t="s">
        <v>333</v>
      </c>
      <c r="I20">
        <v>45506</v>
      </c>
      <c r="J20">
        <v>0.5</v>
      </c>
      <c r="K20" t="s">
        <v>111</v>
      </c>
      <c r="L20" t="s">
        <v>93</v>
      </c>
      <c r="M20" t="s">
        <v>94</v>
      </c>
      <c r="N20" t="s">
        <v>334</v>
      </c>
      <c r="O20" t="s">
        <v>335</v>
      </c>
      <c r="P20">
        <v>99203</v>
      </c>
      <c r="Q20" t="s">
        <v>336</v>
      </c>
      <c r="R20" t="s">
        <v>337</v>
      </c>
      <c r="S20" t="s">
        <v>99</v>
      </c>
      <c r="T20" t="s">
        <v>57</v>
      </c>
      <c r="U20">
        <v>40</v>
      </c>
      <c r="V20">
        <v>275</v>
      </c>
      <c r="W20">
        <v>70</v>
      </c>
      <c r="X20">
        <v>82.5</v>
      </c>
      <c r="Y20">
        <v>50</v>
      </c>
      <c r="Z20">
        <v>132.5</v>
      </c>
      <c r="AA20">
        <v>142.5</v>
      </c>
      <c r="AB20" t="s">
        <v>80</v>
      </c>
      <c r="AC20" t="b">
        <v>1</v>
      </c>
      <c r="AD20" t="s">
        <v>151</v>
      </c>
      <c r="AE20" t="b">
        <v>0</v>
      </c>
      <c r="AF20" t="b">
        <v>1</v>
      </c>
      <c r="AG20" t="b">
        <v>0</v>
      </c>
      <c r="AH20" t="b">
        <v>0</v>
      </c>
      <c r="AJ20">
        <v>3</v>
      </c>
      <c r="AK20" t="s">
        <v>338</v>
      </c>
      <c r="AL20">
        <v>88</v>
      </c>
      <c r="AM20" t="s">
        <v>61</v>
      </c>
      <c r="AN20" t="s">
        <v>339</v>
      </c>
    </row>
    <row r="21" spans="1:40" ht="15">
      <c r="A21" t="s">
        <v>340</v>
      </c>
      <c r="B21" t="s">
        <v>341</v>
      </c>
      <c r="C21" t="s">
        <v>342</v>
      </c>
      <c r="D21" t="s">
        <v>343</v>
      </c>
      <c r="E21" t="s">
        <v>67</v>
      </c>
      <c r="F21" t="s">
        <v>344</v>
      </c>
      <c r="G21" t="s">
        <v>69</v>
      </c>
      <c r="H21" t="s">
        <v>345</v>
      </c>
      <c r="I21">
        <v>45537</v>
      </c>
      <c r="J21">
        <v>0.64583333333333337</v>
      </c>
      <c r="K21" t="s">
        <v>92</v>
      </c>
      <c r="L21" t="s">
        <v>346</v>
      </c>
      <c r="M21" t="s">
        <v>347</v>
      </c>
      <c r="N21" t="s">
        <v>348</v>
      </c>
      <c r="O21" t="s">
        <v>349</v>
      </c>
      <c r="P21">
        <v>99202</v>
      </c>
      <c r="Q21" t="s">
        <v>350</v>
      </c>
      <c r="R21" t="s">
        <v>351</v>
      </c>
      <c r="S21" t="s">
        <v>57</v>
      </c>
      <c r="T21" t="s">
        <v>57</v>
      </c>
      <c r="U21">
        <v>35</v>
      </c>
      <c r="V21">
        <v>175</v>
      </c>
      <c r="W21">
        <v>80</v>
      </c>
      <c r="X21">
        <v>35</v>
      </c>
      <c r="Y21">
        <v>25</v>
      </c>
      <c r="Z21">
        <v>60</v>
      </c>
      <c r="AA21">
        <v>115</v>
      </c>
      <c r="AB21" t="s">
        <v>58</v>
      </c>
      <c r="AC21" t="b">
        <v>1</v>
      </c>
      <c r="AD21">
        <v>45538</v>
      </c>
      <c r="AE21" t="b">
        <v>0</v>
      </c>
      <c r="AF21" t="b">
        <v>0</v>
      </c>
      <c r="AG21" t="b">
        <v>1</v>
      </c>
      <c r="AH21" t="b">
        <v>0</v>
      </c>
      <c r="AJ21">
        <v>4</v>
      </c>
      <c r="AK21" t="s">
        <v>352</v>
      </c>
      <c r="AL21">
        <v>91</v>
      </c>
      <c r="AM21" t="s">
        <v>153</v>
      </c>
      <c r="AN21" t="s">
        <v>353</v>
      </c>
    </row>
    <row r="22" spans="1:40" ht="15">
      <c r="A22" t="s">
        <v>354</v>
      </c>
      <c r="B22" t="s">
        <v>355</v>
      </c>
      <c r="C22" t="s">
        <v>356</v>
      </c>
      <c r="D22" t="s">
        <v>357</v>
      </c>
      <c r="E22" t="s">
        <v>45</v>
      </c>
      <c r="F22" t="s">
        <v>358</v>
      </c>
      <c r="G22" t="s">
        <v>47</v>
      </c>
      <c r="H22" t="s">
        <v>359</v>
      </c>
      <c r="I22">
        <v>45628</v>
      </c>
      <c r="J22">
        <v>0.375</v>
      </c>
      <c r="K22" t="s">
        <v>72</v>
      </c>
      <c r="L22" t="s">
        <v>73</v>
      </c>
      <c r="M22" t="s">
        <v>74</v>
      </c>
      <c r="N22" t="s">
        <v>53</v>
      </c>
      <c r="O22" t="s">
        <v>54</v>
      </c>
      <c r="P22">
        <v>99214</v>
      </c>
      <c r="Q22" t="s">
        <v>360</v>
      </c>
      <c r="R22" t="s">
        <v>361</v>
      </c>
      <c r="S22" t="s">
        <v>57</v>
      </c>
      <c r="T22" t="s">
        <v>57</v>
      </c>
      <c r="U22">
        <v>30</v>
      </c>
      <c r="V22">
        <v>185</v>
      </c>
      <c r="W22">
        <v>80</v>
      </c>
      <c r="X22">
        <v>37</v>
      </c>
      <c r="Y22">
        <v>25</v>
      </c>
      <c r="Z22">
        <v>62</v>
      </c>
      <c r="AA22">
        <v>123</v>
      </c>
      <c r="AB22" t="s">
        <v>58</v>
      </c>
      <c r="AC22" t="b">
        <v>0</v>
      </c>
      <c r="AE22" t="b">
        <v>0</v>
      </c>
      <c r="AF22" t="b">
        <v>0</v>
      </c>
      <c r="AG22" t="b">
        <v>0</v>
      </c>
      <c r="AH22" t="b">
        <v>0</v>
      </c>
      <c r="AJ22">
        <v>5</v>
      </c>
      <c r="AK22" t="s">
        <v>362</v>
      </c>
      <c r="AL22">
        <v>94</v>
      </c>
      <c r="AM22" t="s">
        <v>61</v>
      </c>
      <c r="AN22" t="s">
        <v>363</v>
      </c>
    </row>
    <row r="23" spans="1:40" ht="15">
      <c r="A23" t="s">
        <v>364</v>
      </c>
      <c r="B23" t="s">
        <v>365</v>
      </c>
      <c r="C23" t="s">
        <v>366</v>
      </c>
      <c r="D23" t="s">
        <v>367</v>
      </c>
      <c r="E23" t="s">
        <v>67</v>
      </c>
      <c r="F23" t="s">
        <v>368</v>
      </c>
      <c r="G23" t="s">
        <v>69</v>
      </c>
      <c r="H23" t="s">
        <v>369</v>
      </c>
      <c r="I23" t="s">
        <v>370</v>
      </c>
      <c r="J23">
        <v>0.61458333333333337</v>
      </c>
      <c r="K23" t="s">
        <v>144</v>
      </c>
      <c r="L23" t="s">
        <v>145</v>
      </c>
      <c r="M23" t="s">
        <v>146</v>
      </c>
      <c r="N23" t="s">
        <v>371</v>
      </c>
      <c r="O23" t="s">
        <v>372</v>
      </c>
      <c r="P23">
        <v>99222</v>
      </c>
      <c r="Q23" t="s">
        <v>373</v>
      </c>
      <c r="R23" t="s">
        <v>57</v>
      </c>
      <c r="S23" t="s">
        <v>374</v>
      </c>
      <c r="T23">
        <v>47600</v>
      </c>
      <c r="U23">
        <v>95</v>
      </c>
      <c r="V23">
        <v>9800</v>
      </c>
      <c r="W23">
        <v>75</v>
      </c>
      <c r="X23">
        <v>2450</v>
      </c>
      <c r="Y23">
        <v>600</v>
      </c>
      <c r="Z23">
        <v>3050</v>
      </c>
      <c r="AA23">
        <v>6750</v>
      </c>
      <c r="AB23" t="s">
        <v>80</v>
      </c>
      <c r="AC23" t="b">
        <v>1</v>
      </c>
      <c r="AD23" t="s">
        <v>375</v>
      </c>
      <c r="AE23" t="b">
        <v>0</v>
      </c>
      <c r="AF23" t="b">
        <v>1</v>
      </c>
      <c r="AG23" t="b">
        <v>1</v>
      </c>
      <c r="AH23" t="b">
        <v>0</v>
      </c>
      <c r="AJ23">
        <v>4</v>
      </c>
      <c r="AK23" t="s">
        <v>376</v>
      </c>
      <c r="AL23">
        <v>86</v>
      </c>
      <c r="AM23" t="s">
        <v>153</v>
      </c>
      <c r="AN23" t="s">
        <v>377</v>
      </c>
    </row>
    <row r="24" spans="1:40" ht="15">
      <c r="A24" t="s">
        <v>378</v>
      </c>
      <c r="B24" t="s">
        <v>379</v>
      </c>
      <c r="C24" t="s">
        <v>380</v>
      </c>
      <c r="D24">
        <v>20219</v>
      </c>
      <c r="E24" t="s">
        <v>45</v>
      </c>
      <c r="F24" t="s">
        <v>381</v>
      </c>
      <c r="G24" t="s">
        <v>89</v>
      </c>
      <c r="H24" t="s">
        <v>382</v>
      </c>
      <c r="I24" t="s">
        <v>383</v>
      </c>
      <c r="J24">
        <v>0.47916666666666669</v>
      </c>
      <c r="K24" t="s">
        <v>50</v>
      </c>
      <c r="L24" t="s">
        <v>130</v>
      </c>
      <c r="M24" t="s">
        <v>131</v>
      </c>
      <c r="N24" t="s">
        <v>384</v>
      </c>
      <c r="O24" t="s">
        <v>385</v>
      </c>
      <c r="P24">
        <v>99214</v>
      </c>
      <c r="Q24" t="s">
        <v>386</v>
      </c>
      <c r="R24" t="s">
        <v>135</v>
      </c>
      <c r="S24" t="s">
        <v>57</v>
      </c>
      <c r="T24" t="s">
        <v>57</v>
      </c>
      <c r="U24">
        <v>40</v>
      </c>
      <c r="V24">
        <v>210</v>
      </c>
      <c r="W24">
        <v>100</v>
      </c>
      <c r="X24">
        <v>0</v>
      </c>
      <c r="Y24">
        <v>0</v>
      </c>
      <c r="Z24">
        <v>0</v>
      </c>
      <c r="AA24">
        <v>210</v>
      </c>
      <c r="AB24" t="s">
        <v>89</v>
      </c>
      <c r="AC24" t="b">
        <v>1</v>
      </c>
      <c r="AD24" t="s">
        <v>387</v>
      </c>
      <c r="AE24" t="b">
        <v>0</v>
      </c>
      <c r="AF24" t="b">
        <v>0</v>
      </c>
      <c r="AG24" t="b">
        <v>0</v>
      </c>
      <c r="AH24" t="b">
        <v>0</v>
      </c>
      <c r="AJ24">
        <v>4</v>
      </c>
      <c r="AK24" t="s">
        <v>388</v>
      </c>
      <c r="AL24">
        <v>95</v>
      </c>
      <c r="AM24" t="s">
        <v>61</v>
      </c>
      <c r="AN24" t="s">
        <v>389</v>
      </c>
    </row>
    <row r="25" spans="1:40" ht="15">
      <c r="A25" t="s">
        <v>390</v>
      </c>
      <c r="B25" t="s">
        <v>391</v>
      </c>
      <c r="C25" t="s">
        <v>392</v>
      </c>
      <c r="D25" t="s">
        <v>393</v>
      </c>
      <c r="E25" t="s">
        <v>67</v>
      </c>
      <c r="F25" t="s">
        <v>394</v>
      </c>
      <c r="G25" t="s">
        <v>47</v>
      </c>
      <c r="H25" t="s">
        <v>395</v>
      </c>
      <c r="I25" t="s">
        <v>59</v>
      </c>
      <c r="J25">
        <v>0.42708333333333331</v>
      </c>
      <c r="K25" t="s">
        <v>92</v>
      </c>
      <c r="L25" t="s">
        <v>245</v>
      </c>
      <c r="M25" t="s">
        <v>246</v>
      </c>
      <c r="N25" t="s">
        <v>396</v>
      </c>
      <c r="O25" t="s">
        <v>397</v>
      </c>
      <c r="P25">
        <v>99203</v>
      </c>
      <c r="Q25" t="s">
        <v>398</v>
      </c>
      <c r="R25" t="s">
        <v>57</v>
      </c>
      <c r="S25" t="s">
        <v>57</v>
      </c>
      <c r="T25" t="s">
        <v>57</v>
      </c>
      <c r="U25">
        <v>25</v>
      </c>
      <c r="V25">
        <v>200</v>
      </c>
      <c r="W25">
        <v>85</v>
      </c>
      <c r="X25">
        <v>30</v>
      </c>
      <c r="Y25">
        <v>20</v>
      </c>
      <c r="Z25">
        <v>50</v>
      </c>
      <c r="AA25">
        <v>150</v>
      </c>
      <c r="AB25" t="s">
        <v>118</v>
      </c>
      <c r="AC25" t="b">
        <v>1</v>
      </c>
      <c r="AD25" t="s">
        <v>264</v>
      </c>
      <c r="AE25" t="b">
        <v>0</v>
      </c>
      <c r="AF25" t="b">
        <v>0</v>
      </c>
      <c r="AG25" t="b">
        <v>1</v>
      </c>
      <c r="AH25" t="b">
        <v>0</v>
      </c>
      <c r="AJ25">
        <v>3</v>
      </c>
      <c r="AK25" t="s">
        <v>399</v>
      </c>
      <c r="AL25">
        <v>89</v>
      </c>
      <c r="AM25" t="s">
        <v>61</v>
      </c>
      <c r="AN25" t="s">
        <v>400</v>
      </c>
    </row>
    <row r="26" spans="1:40" ht="15">
      <c r="A26" t="s">
        <v>401</v>
      </c>
      <c r="B26" t="s">
        <v>402</v>
      </c>
      <c r="C26" t="s">
        <v>403</v>
      </c>
      <c r="D26">
        <v>23082</v>
      </c>
      <c r="E26" t="s">
        <v>45</v>
      </c>
      <c r="F26" t="s">
        <v>404</v>
      </c>
      <c r="G26" t="s">
        <v>127</v>
      </c>
      <c r="H26" t="s">
        <v>405</v>
      </c>
      <c r="I26" t="s">
        <v>81</v>
      </c>
      <c r="J26">
        <v>0.54166666666666663</v>
      </c>
      <c r="K26" t="s">
        <v>111</v>
      </c>
      <c r="L26" t="s">
        <v>112</v>
      </c>
      <c r="M26" t="s">
        <v>113</v>
      </c>
      <c r="N26" t="s">
        <v>406</v>
      </c>
      <c r="O26" t="s">
        <v>407</v>
      </c>
      <c r="P26">
        <v>99291</v>
      </c>
      <c r="Q26" t="s">
        <v>408</v>
      </c>
      <c r="R26" t="s">
        <v>117</v>
      </c>
      <c r="S26" t="s">
        <v>117</v>
      </c>
      <c r="T26" t="s">
        <v>57</v>
      </c>
      <c r="U26">
        <v>105</v>
      </c>
      <c r="V26">
        <v>650</v>
      </c>
      <c r="W26">
        <v>100</v>
      </c>
      <c r="X26">
        <v>0</v>
      </c>
      <c r="Y26">
        <v>0</v>
      </c>
      <c r="Z26">
        <v>0</v>
      </c>
      <c r="AA26">
        <v>650</v>
      </c>
      <c r="AB26" t="s">
        <v>127</v>
      </c>
      <c r="AC26" t="b">
        <v>1</v>
      </c>
      <c r="AD26" t="s">
        <v>168</v>
      </c>
      <c r="AE26" t="b">
        <v>0</v>
      </c>
      <c r="AF26" t="b">
        <v>1</v>
      </c>
      <c r="AG26" t="b">
        <v>0</v>
      </c>
      <c r="AH26" t="b">
        <v>0</v>
      </c>
      <c r="AJ26">
        <v>4</v>
      </c>
      <c r="AK26" t="s">
        <v>409</v>
      </c>
      <c r="AL26">
        <v>92</v>
      </c>
      <c r="AM26" t="s">
        <v>61</v>
      </c>
      <c r="AN26" t="s">
        <v>410</v>
      </c>
    </row>
    <row r="27" spans="1:40" ht="15">
      <c r="A27" t="s">
        <v>411</v>
      </c>
      <c r="B27" t="s">
        <v>412</v>
      </c>
      <c r="C27" t="s">
        <v>413</v>
      </c>
      <c r="D27" t="s">
        <v>414</v>
      </c>
      <c r="E27" t="s">
        <v>67</v>
      </c>
      <c r="F27" t="s">
        <v>415</v>
      </c>
      <c r="G27" t="s">
        <v>47</v>
      </c>
      <c r="H27" t="s">
        <v>416</v>
      </c>
      <c r="I27" t="s">
        <v>417</v>
      </c>
      <c r="J27">
        <v>0.35416666666666669</v>
      </c>
      <c r="K27" t="s">
        <v>212</v>
      </c>
      <c r="L27" t="s">
        <v>213</v>
      </c>
      <c r="M27" t="s">
        <v>214</v>
      </c>
      <c r="N27" t="s">
        <v>215</v>
      </c>
      <c r="O27" t="s">
        <v>216</v>
      </c>
      <c r="P27">
        <v>99213</v>
      </c>
      <c r="Q27" t="s">
        <v>217</v>
      </c>
      <c r="R27" t="s">
        <v>218</v>
      </c>
      <c r="S27" t="s">
        <v>218</v>
      </c>
      <c r="T27" t="s">
        <v>57</v>
      </c>
      <c r="U27">
        <v>35</v>
      </c>
      <c r="V27">
        <v>280</v>
      </c>
      <c r="W27">
        <v>80</v>
      </c>
      <c r="X27">
        <v>56</v>
      </c>
      <c r="Y27">
        <v>35</v>
      </c>
      <c r="Z27">
        <v>91</v>
      </c>
      <c r="AA27">
        <v>189</v>
      </c>
      <c r="AB27" t="s">
        <v>80</v>
      </c>
      <c r="AC27" t="b">
        <v>1</v>
      </c>
      <c r="AD27" t="s">
        <v>418</v>
      </c>
      <c r="AE27" t="b">
        <v>0</v>
      </c>
      <c r="AF27" t="b">
        <v>0</v>
      </c>
      <c r="AG27" t="b">
        <v>0</v>
      </c>
      <c r="AH27" t="b">
        <v>0</v>
      </c>
      <c r="AJ27">
        <v>5</v>
      </c>
      <c r="AK27" t="s">
        <v>419</v>
      </c>
      <c r="AL27">
        <v>98</v>
      </c>
      <c r="AM27" t="s">
        <v>61</v>
      </c>
      <c r="AN27" t="s">
        <v>420</v>
      </c>
    </row>
    <row r="28" spans="1:40" ht="15">
      <c r="A28" t="s">
        <v>421</v>
      </c>
      <c r="B28" t="s">
        <v>422</v>
      </c>
      <c r="C28" t="s">
        <v>423</v>
      </c>
      <c r="D28">
        <v>26246</v>
      </c>
      <c r="E28" t="s">
        <v>45</v>
      </c>
      <c r="F28" t="s">
        <v>424</v>
      </c>
      <c r="G28" t="s">
        <v>69</v>
      </c>
      <c r="H28" t="s">
        <v>425</v>
      </c>
      <c r="I28" t="s">
        <v>426</v>
      </c>
      <c r="J28">
        <v>0.65625</v>
      </c>
      <c r="K28" t="s">
        <v>72</v>
      </c>
      <c r="L28" t="s">
        <v>194</v>
      </c>
      <c r="M28" t="s">
        <v>195</v>
      </c>
      <c r="N28" t="s">
        <v>427</v>
      </c>
      <c r="O28" t="s">
        <v>428</v>
      </c>
      <c r="P28">
        <v>99213</v>
      </c>
      <c r="Q28" t="s">
        <v>429</v>
      </c>
      <c r="R28" t="s">
        <v>430</v>
      </c>
      <c r="S28" t="s">
        <v>57</v>
      </c>
      <c r="T28" t="s">
        <v>57</v>
      </c>
      <c r="U28">
        <v>50</v>
      </c>
      <c r="V28">
        <v>240</v>
      </c>
      <c r="W28">
        <v>70</v>
      </c>
      <c r="X28">
        <v>72</v>
      </c>
      <c r="Y28">
        <v>45</v>
      </c>
      <c r="Z28">
        <v>117</v>
      </c>
      <c r="AA28">
        <v>123</v>
      </c>
      <c r="AB28" t="s">
        <v>58</v>
      </c>
      <c r="AC28" t="b">
        <v>1</v>
      </c>
      <c r="AD28" t="s">
        <v>431</v>
      </c>
      <c r="AE28" t="b">
        <v>0</v>
      </c>
      <c r="AF28" t="b">
        <v>0</v>
      </c>
      <c r="AG28" t="b">
        <v>0</v>
      </c>
      <c r="AH28" t="b">
        <v>1</v>
      </c>
      <c r="AI28" t="s">
        <v>432</v>
      </c>
      <c r="AJ28">
        <v>3</v>
      </c>
      <c r="AK28" t="s">
        <v>433</v>
      </c>
      <c r="AL28">
        <v>91</v>
      </c>
      <c r="AM28" t="s">
        <v>172</v>
      </c>
      <c r="AN28" t="s">
        <v>434</v>
      </c>
    </row>
    <row r="29" spans="1:40" ht="15">
      <c r="A29" t="s">
        <v>435</v>
      </c>
      <c r="B29" t="s">
        <v>436</v>
      </c>
      <c r="C29" t="s">
        <v>437</v>
      </c>
      <c r="D29">
        <v>35644</v>
      </c>
      <c r="E29" t="s">
        <v>67</v>
      </c>
      <c r="F29" t="s">
        <v>438</v>
      </c>
      <c r="G29" t="s">
        <v>47</v>
      </c>
      <c r="H29" t="s">
        <v>439</v>
      </c>
      <c r="I29" t="s">
        <v>440</v>
      </c>
      <c r="J29">
        <v>0.40972222222222221</v>
      </c>
      <c r="K29" t="s">
        <v>180</v>
      </c>
      <c r="L29" t="s">
        <v>181</v>
      </c>
      <c r="M29" t="s">
        <v>182</v>
      </c>
      <c r="N29" t="s">
        <v>164</v>
      </c>
      <c r="O29" t="s">
        <v>165</v>
      </c>
      <c r="P29">
        <v>99212</v>
      </c>
      <c r="Q29" t="s">
        <v>166</v>
      </c>
      <c r="R29" t="s">
        <v>57</v>
      </c>
      <c r="S29" t="s">
        <v>57</v>
      </c>
      <c r="T29" t="s">
        <v>57</v>
      </c>
      <c r="U29">
        <v>20</v>
      </c>
      <c r="V29">
        <v>145</v>
      </c>
      <c r="W29">
        <v>90</v>
      </c>
      <c r="X29">
        <v>14.5</v>
      </c>
      <c r="Y29">
        <v>10</v>
      </c>
      <c r="Z29">
        <v>24.5</v>
      </c>
      <c r="AA29">
        <v>120.5</v>
      </c>
      <c r="AB29" t="s">
        <v>80</v>
      </c>
      <c r="AC29" t="b">
        <v>0</v>
      </c>
      <c r="AE29" t="b">
        <v>0</v>
      </c>
      <c r="AF29" t="b">
        <v>0</v>
      </c>
      <c r="AG29" t="b">
        <v>0</v>
      </c>
      <c r="AH29" t="b">
        <v>0</v>
      </c>
      <c r="AJ29">
        <v>4</v>
      </c>
      <c r="AK29" t="s">
        <v>441</v>
      </c>
      <c r="AL29">
        <v>93</v>
      </c>
      <c r="AM29" t="s">
        <v>61</v>
      </c>
      <c r="AN29" t="s">
        <v>442</v>
      </c>
    </row>
    <row r="30" spans="1:40" ht="15">
      <c r="A30" t="s">
        <v>443</v>
      </c>
      <c r="B30" t="s">
        <v>444</v>
      </c>
      <c r="C30" t="s">
        <v>445</v>
      </c>
      <c r="D30" t="s">
        <v>446</v>
      </c>
      <c r="E30" t="s">
        <v>45</v>
      </c>
      <c r="F30" t="s">
        <v>447</v>
      </c>
      <c r="G30" t="s">
        <v>89</v>
      </c>
      <c r="H30" t="s">
        <v>448</v>
      </c>
      <c r="I30" t="s">
        <v>151</v>
      </c>
      <c r="J30">
        <v>0.51041666666666663</v>
      </c>
      <c r="K30" t="s">
        <v>144</v>
      </c>
      <c r="L30" t="s">
        <v>286</v>
      </c>
      <c r="M30" t="s">
        <v>287</v>
      </c>
      <c r="N30" t="s">
        <v>288</v>
      </c>
      <c r="O30" t="s">
        <v>289</v>
      </c>
      <c r="P30">
        <v>99221</v>
      </c>
      <c r="Q30" t="s">
        <v>290</v>
      </c>
      <c r="R30" t="s">
        <v>57</v>
      </c>
      <c r="S30" t="s">
        <v>57</v>
      </c>
      <c r="T30">
        <v>66984</v>
      </c>
      <c r="U30">
        <v>80</v>
      </c>
      <c r="V30">
        <v>3600</v>
      </c>
      <c r="W30">
        <v>80</v>
      </c>
      <c r="X30">
        <v>720</v>
      </c>
      <c r="Y30">
        <v>200</v>
      </c>
      <c r="Z30">
        <v>920</v>
      </c>
      <c r="AA30">
        <v>2680</v>
      </c>
      <c r="AB30" t="s">
        <v>80</v>
      </c>
      <c r="AC30" t="b">
        <v>1</v>
      </c>
      <c r="AD30">
        <v>45507</v>
      </c>
      <c r="AE30" t="b">
        <v>0</v>
      </c>
      <c r="AF30" t="b">
        <v>1</v>
      </c>
      <c r="AG30" t="b">
        <v>1</v>
      </c>
      <c r="AH30" t="b">
        <v>0</v>
      </c>
      <c r="AJ30">
        <v>5</v>
      </c>
      <c r="AK30" t="s">
        <v>449</v>
      </c>
      <c r="AL30">
        <v>90</v>
      </c>
      <c r="AM30" t="s">
        <v>172</v>
      </c>
      <c r="AN30" t="s">
        <v>450</v>
      </c>
    </row>
    <row r="31" spans="1:40" ht="15">
      <c r="A31" t="s">
        <v>451</v>
      </c>
      <c r="B31" t="s">
        <v>452</v>
      </c>
      <c r="C31" t="s">
        <v>453</v>
      </c>
      <c r="D31" t="s">
        <v>454</v>
      </c>
      <c r="E31" t="s">
        <v>67</v>
      </c>
      <c r="F31" t="s">
        <v>455</v>
      </c>
      <c r="G31" t="s">
        <v>69</v>
      </c>
      <c r="H31" t="s">
        <v>456</v>
      </c>
      <c r="I31" t="s">
        <v>168</v>
      </c>
      <c r="J31">
        <v>0.6875</v>
      </c>
      <c r="K31" t="s">
        <v>92</v>
      </c>
      <c r="L31" t="s">
        <v>273</v>
      </c>
      <c r="M31" t="s">
        <v>274</v>
      </c>
      <c r="N31" t="s">
        <v>457</v>
      </c>
      <c r="O31" t="s">
        <v>458</v>
      </c>
      <c r="P31">
        <v>99204</v>
      </c>
      <c r="Q31" t="s">
        <v>459</v>
      </c>
      <c r="R31" t="s">
        <v>460</v>
      </c>
      <c r="S31" t="s">
        <v>57</v>
      </c>
      <c r="T31" t="s">
        <v>57</v>
      </c>
      <c r="U31">
        <v>55</v>
      </c>
      <c r="V31">
        <v>420</v>
      </c>
      <c r="W31">
        <v>75</v>
      </c>
      <c r="X31">
        <v>105</v>
      </c>
      <c r="Y31">
        <v>60</v>
      </c>
      <c r="Z31">
        <v>165</v>
      </c>
      <c r="AA31">
        <v>255</v>
      </c>
      <c r="AB31" t="s">
        <v>118</v>
      </c>
      <c r="AC31" t="b">
        <v>1</v>
      </c>
      <c r="AD31" t="s">
        <v>461</v>
      </c>
      <c r="AE31" t="b">
        <v>0</v>
      </c>
      <c r="AF31" t="b">
        <v>0</v>
      </c>
      <c r="AG31" t="b">
        <v>1</v>
      </c>
      <c r="AH31" t="b">
        <v>0</v>
      </c>
      <c r="AJ31">
        <v>4</v>
      </c>
      <c r="AK31" t="s">
        <v>462</v>
      </c>
      <c r="AL31">
        <v>87</v>
      </c>
      <c r="AM31" t="s">
        <v>61</v>
      </c>
      <c r="AN31" t="s">
        <v>463</v>
      </c>
    </row>
    <row r="32" spans="1:40" ht="15">
      <c r="A32" t="s">
        <v>464</v>
      </c>
      <c r="B32" t="s">
        <v>465</v>
      </c>
      <c r="C32" t="s">
        <v>466</v>
      </c>
      <c r="D32">
        <v>28675</v>
      </c>
      <c r="E32" t="s">
        <v>45</v>
      </c>
      <c r="F32" t="s">
        <v>467</v>
      </c>
      <c r="G32" t="s">
        <v>47</v>
      </c>
      <c r="H32" t="s">
        <v>468</v>
      </c>
      <c r="I32" t="s">
        <v>219</v>
      </c>
      <c r="J32">
        <v>0.41666666666666669</v>
      </c>
      <c r="K32" t="s">
        <v>50</v>
      </c>
      <c r="L32" t="s">
        <v>309</v>
      </c>
      <c r="M32" t="s">
        <v>310</v>
      </c>
      <c r="N32" t="s">
        <v>469</v>
      </c>
      <c r="O32" t="s">
        <v>470</v>
      </c>
      <c r="P32">
        <v>99214</v>
      </c>
      <c r="Q32" t="s">
        <v>313</v>
      </c>
      <c r="R32" t="s">
        <v>471</v>
      </c>
      <c r="S32" t="s">
        <v>234</v>
      </c>
      <c r="T32" t="s">
        <v>57</v>
      </c>
      <c r="U32">
        <v>40</v>
      </c>
      <c r="V32">
        <v>550</v>
      </c>
      <c r="W32">
        <v>80</v>
      </c>
      <c r="X32">
        <v>110</v>
      </c>
      <c r="Y32">
        <v>50</v>
      </c>
      <c r="Z32">
        <v>160</v>
      </c>
      <c r="AA32">
        <v>390</v>
      </c>
      <c r="AB32" t="s">
        <v>58</v>
      </c>
      <c r="AC32" t="b">
        <v>1</v>
      </c>
      <c r="AD32" t="s">
        <v>472</v>
      </c>
      <c r="AE32" t="b">
        <v>0</v>
      </c>
      <c r="AF32" t="b">
        <v>0</v>
      </c>
      <c r="AG32" t="b">
        <v>0</v>
      </c>
      <c r="AH32" t="b">
        <v>0</v>
      </c>
      <c r="AJ32">
        <v>3</v>
      </c>
      <c r="AK32" t="s">
        <v>473</v>
      </c>
      <c r="AL32">
        <v>88</v>
      </c>
      <c r="AM32" t="s">
        <v>153</v>
      </c>
      <c r="AN32" t="s">
        <v>474</v>
      </c>
    </row>
    <row r="33" spans="1:40" ht="15">
      <c r="A33" t="s">
        <v>475</v>
      </c>
      <c r="B33" t="s">
        <v>476</v>
      </c>
      <c r="C33" t="s">
        <v>477</v>
      </c>
      <c r="D33" t="s">
        <v>478</v>
      </c>
      <c r="E33" t="s">
        <v>67</v>
      </c>
      <c r="F33" t="s">
        <v>479</v>
      </c>
      <c r="G33" t="s">
        <v>69</v>
      </c>
      <c r="H33" t="s">
        <v>480</v>
      </c>
      <c r="I33" t="s">
        <v>481</v>
      </c>
      <c r="J33">
        <v>0.59375</v>
      </c>
      <c r="K33" t="s">
        <v>111</v>
      </c>
      <c r="L33" t="s">
        <v>258</v>
      </c>
      <c r="M33" t="s">
        <v>259</v>
      </c>
      <c r="N33" t="s">
        <v>482</v>
      </c>
      <c r="O33" t="s">
        <v>483</v>
      </c>
      <c r="P33">
        <v>99202</v>
      </c>
      <c r="Q33" t="s">
        <v>484</v>
      </c>
      <c r="R33" t="s">
        <v>57</v>
      </c>
      <c r="S33" t="s">
        <v>57</v>
      </c>
      <c r="T33" t="s">
        <v>57</v>
      </c>
      <c r="U33">
        <v>25</v>
      </c>
      <c r="V33">
        <v>160</v>
      </c>
      <c r="W33">
        <v>70</v>
      </c>
      <c r="X33">
        <v>48</v>
      </c>
      <c r="Y33">
        <v>30</v>
      </c>
      <c r="Z33">
        <v>78</v>
      </c>
      <c r="AA33">
        <v>82</v>
      </c>
      <c r="AB33" t="s">
        <v>80</v>
      </c>
      <c r="AC33" t="b">
        <v>0</v>
      </c>
      <c r="AE33" t="b">
        <v>0</v>
      </c>
      <c r="AF33" t="b">
        <v>1</v>
      </c>
      <c r="AG33" t="b">
        <v>0</v>
      </c>
      <c r="AH33" t="b">
        <v>0</v>
      </c>
      <c r="AJ33">
        <v>4</v>
      </c>
      <c r="AK33" t="s">
        <v>485</v>
      </c>
      <c r="AL33">
        <v>94</v>
      </c>
      <c r="AM33" t="s">
        <v>61</v>
      </c>
      <c r="AN33" t="s">
        <v>486</v>
      </c>
    </row>
    <row r="34" spans="1:40" ht="15">
      <c r="A34" t="s">
        <v>487</v>
      </c>
      <c r="B34" t="s">
        <v>488</v>
      </c>
      <c r="C34" t="s">
        <v>489</v>
      </c>
      <c r="D34">
        <v>24442</v>
      </c>
      <c r="E34" t="s">
        <v>45</v>
      </c>
      <c r="F34" t="s">
        <v>490</v>
      </c>
      <c r="G34" t="s">
        <v>127</v>
      </c>
      <c r="H34" t="s">
        <v>491</v>
      </c>
      <c r="I34" t="s">
        <v>492</v>
      </c>
      <c r="J34">
        <v>0.36458333333333331</v>
      </c>
      <c r="K34" t="s">
        <v>72</v>
      </c>
      <c r="L34" t="s">
        <v>228</v>
      </c>
      <c r="M34" t="s">
        <v>229</v>
      </c>
      <c r="N34" t="s">
        <v>493</v>
      </c>
      <c r="O34" t="s">
        <v>494</v>
      </c>
      <c r="P34">
        <v>99215</v>
      </c>
      <c r="Q34" t="s">
        <v>495</v>
      </c>
      <c r="R34" t="s">
        <v>496</v>
      </c>
      <c r="S34" t="s">
        <v>150</v>
      </c>
      <c r="T34" t="s">
        <v>57</v>
      </c>
      <c r="U34">
        <v>60</v>
      </c>
      <c r="V34">
        <v>1200</v>
      </c>
      <c r="W34">
        <v>100</v>
      </c>
      <c r="X34">
        <v>0</v>
      </c>
      <c r="Y34">
        <v>0</v>
      </c>
      <c r="Z34">
        <v>0</v>
      </c>
      <c r="AA34">
        <v>1200</v>
      </c>
      <c r="AB34" t="s">
        <v>127</v>
      </c>
      <c r="AC34" t="b">
        <v>1</v>
      </c>
      <c r="AD34" t="s">
        <v>497</v>
      </c>
      <c r="AE34" t="b">
        <v>0</v>
      </c>
      <c r="AF34" t="b">
        <v>0</v>
      </c>
      <c r="AG34" t="b">
        <v>0</v>
      </c>
      <c r="AH34" t="b">
        <v>0</v>
      </c>
      <c r="AJ34">
        <v>4</v>
      </c>
      <c r="AK34" t="s">
        <v>498</v>
      </c>
      <c r="AL34">
        <v>96</v>
      </c>
      <c r="AM34" t="s">
        <v>61</v>
      </c>
      <c r="AN34" t="s">
        <v>499</v>
      </c>
    </row>
    <row r="35" spans="1:40" ht="15">
      <c r="A35" t="s">
        <v>500</v>
      </c>
      <c r="B35" t="s">
        <v>501</v>
      </c>
      <c r="C35" t="s">
        <v>502</v>
      </c>
      <c r="D35">
        <v>34457</v>
      </c>
      <c r="E35" t="s">
        <v>67</v>
      </c>
      <c r="F35" t="s">
        <v>503</v>
      </c>
      <c r="G35" t="s">
        <v>47</v>
      </c>
      <c r="H35" t="s">
        <v>504</v>
      </c>
      <c r="I35" t="s">
        <v>235</v>
      </c>
      <c r="J35">
        <v>0.47916666666666669</v>
      </c>
      <c r="K35" t="s">
        <v>92</v>
      </c>
      <c r="L35" t="s">
        <v>346</v>
      </c>
      <c r="M35" t="s">
        <v>347</v>
      </c>
      <c r="N35" t="s">
        <v>505</v>
      </c>
      <c r="O35" t="s">
        <v>506</v>
      </c>
      <c r="P35">
        <v>99203</v>
      </c>
      <c r="Q35" t="s">
        <v>507</v>
      </c>
      <c r="R35" t="s">
        <v>351</v>
      </c>
      <c r="S35" t="s">
        <v>57</v>
      </c>
      <c r="T35" t="s">
        <v>57</v>
      </c>
      <c r="U35">
        <v>40</v>
      </c>
      <c r="V35">
        <v>220</v>
      </c>
      <c r="W35">
        <v>85</v>
      </c>
      <c r="X35">
        <v>33</v>
      </c>
      <c r="Y35">
        <v>25</v>
      </c>
      <c r="Z35">
        <v>58</v>
      </c>
      <c r="AA35">
        <v>162</v>
      </c>
      <c r="AB35" t="s">
        <v>58</v>
      </c>
      <c r="AC35" t="b">
        <v>1</v>
      </c>
      <c r="AD35" t="s">
        <v>508</v>
      </c>
      <c r="AE35" t="b">
        <v>0</v>
      </c>
      <c r="AF35" t="b">
        <v>0</v>
      </c>
      <c r="AG35" t="b">
        <v>1</v>
      </c>
      <c r="AH35" t="b">
        <v>0</v>
      </c>
      <c r="AJ35">
        <v>4</v>
      </c>
      <c r="AK35" t="s">
        <v>509</v>
      </c>
      <c r="AL35">
        <v>90</v>
      </c>
      <c r="AM35" t="s">
        <v>61</v>
      </c>
      <c r="AN35" t="s">
        <v>510</v>
      </c>
    </row>
    <row r="36" spans="1:40" ht="15">
      <c r="A36" t="s">
        <v>511</v>
      </c>
      <c r="B36" t="s">
        <v>512</v>
      </c>
      <c r="C36" t="s">
        <v>513</v>
      </c>
      <c r="D36">
        <v>21769</v>
      </c>
      <c r="E36" t="s">
        <v>45</v>
      </c>
      <c r="F36" t="s">
        <v>514</v>
      </c>
      <c r="G36" t="s">
        <v>89</v>
      </c>
      <c r="H36" t="s">
        <v>515</v>
      </c>
      <c r="I36">
        <v>45294</v>
      </c>
      <c r="J36">
        <v>0.54166666666666663</v>
      </c>
      <c r="K36" t="s">
        <v>144</v>
      </c>
      <c r="L36" t="s">
        <v>93</v>
      </c>
      <c r="M36" t="s">
        <v>94</v>
      </c>
      <c r="N36" t="s">
        <v>516</v>
      </c>
      <c r="O36" t="s">
        <v>517</v>
      </c>
      <c r="P36">
        <v>99223</v>
      </c>
      <c r="Q36" t="s">
        <v>518</v>
      </c>
      <c r="R36" t="s">
        <v>57</v>
      </c>
      <c r="S36" t="s">
        <v>519</v>
      </c>
      <c r="T36">
        <v>27130</v>
      </c>
      <c r="U36">
        <v>120</v>
      </c>
      <c r="V36">
        <v>18500</v>
      </c>
      <c r="W36">
        <v>80</v>
      </c>
      <c r="X36">
        <v>3700</v>
      </c>
      <c r="Y36">
        <v>800</v>
      </c>
      <c r="Z36">
        <v>4500</v>
      </c>
      <c r="AA36">
        <v>14000</v>
      </c>
      <c r="AB36" t="s">
        <v>80</v>
      </c>
      <c r="AC36" t="b">
        <v>1</v>
      </c>
      <c r="AD36" t="s">
        <v>264</v>
      </c>
      <c r="AE36" t="b">
        <v>0</v>
      </c>
      <c r="AF36" t="b">
        <v>1</v>
      </c>
      <c r="AG36" t="b">
        <v>1</v>
      </c>
      <c r="AH36" t="b">
        <v>0</v>
      </c>
      <c r="AJ36">
        <v>5</v>
      </c>
      <c r="AK36" t="s">
        <v>520</v>
      </c>
      <c r="AL36">
        <v>85</v>
      </c>
      <c r="AM36" t="s">
        <v>172</v>
      </c>
      <c r="AN36" t="s">
        <v>521</v>
      </c>
    </row>
    <row r="37" spans="1:40" ht="15">
      <c r="A37" t="s">
        <v>522</v>
      </c>
      <c r="B37" t="s">
        <v>523</v>
      </c>
      <c r="C37" t="s">
        <v>524</v>
      </c>
      <c r="D37" t="s">
        <v>525</v>
      </c>
      <c r="E37" t="s">
        <v>67</v>
      </c>
      <c r="F37" t="s">
        <v>526</v>
      </c>
      <c r="G37" t="s">
        <v>69</v>
      </c>
      <c r="H37" t="s">
        <v>527</v>
      </c>
      <c r="I37">
        <v>45385</v>
      </c>
      <c r="J37">
        <v>0.38541666666666669</v>
      </c>
      <c r="K37" t="s">
        <v>180</v>
      </c>
      <c r="L37" t="s">
        <v>181</v>
      </c>
      <c r="M37" t="s">
        <v>182</v>
      </c>
      <c r="N37" t="s">
        <v>528</v>
      </c>
      <c r="O37" t="s">
        <v>184</v>
      </c>
      <c r="P37">
        <v>99212</v>
      </c>
      <c r="Q37" t="s">
        <v>185</v>
      </c>
      <c r="R37" t="s">
        <v>57</v>
      </c>
      <c r="S37" t="s">
        <v>57</v>
      </c>
      <c r="T37" t="s">
        <v>57</v>
      </c>
      <c r="U37">
        <v>20</v>
      </c>
      <c r="V37">
        <v>135</v>
      </c>
      <c r="W37">
        <v>100</v>
      </c>
      <c r="X37">
        <v>0</v>
      </c>
      <c r="Y37">
        <v>0</v>
      </c>
      <c r="Z37">
        <v>0</v>
      </c>
      <c r="AA37">
        <v>135</v>
      </c>
      <c r="AB37" t="s">
        <v>69</v>
      </c>
      <c r="AC37" t="b">
        <v>0</v>
      </c>
      <c r="AE37" t="b">
        <v>0</v>
      </c>
      <c r="AF37" t="b">
        <v>0</v>
      </c>
      <c r="AG37" t="b">
        <v>0</v>
      </c>
      <c r="AH37" t="b">
        <v>0</v>
      </c>
      <c r="AJ37">
        <v>5</v>
      </c>
      <c r="AK37" t="s">
        <v>529</v>
      </c>
      <c r="AL37">
        <v>97</v>
      </c>
      <c r="AM37" t="s">
        <v>61</v>
      </c>
      <c r="AN37" t="s">
        <v>530</v>
      </c>
    </row>
    <row r="38" spans="1:40" ht="15">
      <c r="A38" t="s">
        <v>531</v>
      </c>
      <c r="B38" t="s">
        <v>532</v>
      </c>
      <c r="C38" t="s">
        <v>533</v>
      </c>
      <c r="D38">
        <v>26394</v>
      </c>
      <c r="E38" t="s">
        <v>45</v>
      </c>
      <c r="F38" t="s">
        <v>534</v>
      </c>
      <c r="G38" t="s">
        <v>47</v>
      </c>
      <c r="H38" t="s">
        <v>535</v>
      </c>
      <c r="I38">
        <v>45415</v>
      </c>
      <c r="J38">
        <v>0.64583333333333337</v>
      </c>
      <c r="K38" t="s">
        <v>50</v>
      </c>
      <c r="L38" t="s">
        <v>321</v>
      </c>
      <c r="M38" t="s">
        <v>322</v>
      </c>
      <c r="N38" t="s">
        <v>536</v>
      </c>
      <c r="O38" t="s">
        <v>537</v>
      </c>
      <c r="P38">
        <v>99214</v>
      </c>
      <c r="Q38" t="s">
        <v>538</v>
      </c>
      <c r="R38" t="s">
        <v>57</v>
      </c>
      <c r="S38" t="s">
        <v>57</v>
      </c>
      <c r="T38" t="s">
        <v>57</v>
      </c>
      <c r="U38">
        <v>45</v>
      </c>
      <c r="V38">
        <v>205</v>
      </c>
      <c r="W38">
        <v>75</v>
      </c>
      <c r="X38">
        <v>51.25</v>
      </c>
      <c r="Y38">
        <v>35</v>
      </c>
      <c r="Z38">
        <v>86.25</v>
      </c>
      <c r="AA38">
        <v>118.75</v>
      </c>
      <c r="AB38" t="s">
        <v>118</v>
      </c>
      <c r="AC38" t="b">
        <v>1</v>
      </c>
      <c r="AD38">
        <v>45416</v>
      </c>
      <c r="AE38" t="b">
        <v>0</v>
      </c>
      <c r="AF38" t="b">
        <v>0</v>
      </c>
      <c r="AG38" t="b">
        <v>0</v>
      </c>
      <c r="AH38" t="b">
        <v>0</v>
      </c>
      <c r="AJ38">
        <v>4</v>
      </c>
      <c r="AK38" t="s">
        <v>539</v>
      </c>
      <c r="AL38">
        <v>93</v>
      </c>
      <c r="AM38" t="s">
        <v>61</v>
      </c>
      <c r="AN38" t="s">
        <v>540</v>
      </c>
    </row>
    <row r="39" spans="1:40" ht="15">
      <c r="A39" t="s">
        <v>541</v>
      </c>
      <c r="B39" t="s">
        <v>542</v>
      </c>
      <c r="C39" t="s">
        <v>543</v>
      </c>
      <c r="D39" t="s">
        <v>544</v>
      </c>
      <c r="E39" t="s">
        <v>67</v>
      </c>
      <c r="F39" t="s">
        <v>545</v>
      </c>
      <c r="G39" t="s">
        <v>127</v>
      </c>
      <c r="H39" t="s">
        <v>546</v>
      </c>
      <c r="I39">
        <v>45446</v>
      </c>
      <c r="J39">
        <v>0.33333333333333331</v>
      </c>
      <c r="K39" t="s">
        <v>72</v>
      </c>
      <c r="L39" t="s">
        <v>162</v>
      </c>
      <c r="M39" t="s">
        <v>163</v>
      </c>
      <c r="N39" t="s">
        <v>547</v>
      </c>
      <c r="O39" t="s">
        <v>548</v>
      </c>
      <c r="P39">
        <v>99213</v>
      </c>
      <c r="Q39" t="s">
        <v>549</v>
      </c>
      <c r="R39" t="s">
        <v>167</v>
      </c>
      <c r="S39" t="s">
        <v>57</v>
      </c>
      <c r="T39" t="s">
        <v>57</v>
      </c>
      <c r="U39">
        <v>35</v>
      </c>
      <c r="V39">
        <v>195</v>
      </c>
      <c r="W39">
        <v>100</v>
      </c>
      <c r="X39">
        <v>0</v>
      </c>
      <c r="Y39">
        <v>0</v>
      </c>
      <c r="Z39">
        <v>0</v>
      </c>
      <c r="AA39">
        <v>195</v>
      </c>
      <c r="AB39" t="s">
        <v>127</v>
      </c>
      <c r="AC39" t="b">
        <v>0</v>
      </c>
      <c r="AE39" t="b">
        <v>0</v>
      </c>
      <c r="AF39" t="b">
        <v>0</v>
      </c>
      <c r="AG39" t="b">
        <v>0</v>
      </c>
      <c r="AH39" t="b">
        <v>1</v>
      </c>
      <c r="AI39" t="s">
        <v>550</v>
      </c>
      <c r="AJ39">
        <v>3</v>
      </c>
      <c r="AK39" t="s">
        <v>551</v>
      </c>
      <c r="AL39">
        <v>92</v>
      </c>
      <c r="AM39" t="s">
        <v>172</v>
      </c>
      <c r="AN39" t="s">
        <v>552</v>
      </c>
    </row>
    <row r="40" spans="1:40" ht="15">
      <c r="A40" t="s">
        <v>553</v>
      </c>
      <c r="B40" t="s">
        <v>554</v>
      </c>
      <c r="C40" t="s">
        <v>555</v>
      </c>
      <c r="D40" t="s">
        <v>556</v>
      </c>
      <c r="E40" t="s">
        <v>45</v>
      </c>
      <c r="F40" t="s">
        <v>557</v>
      </c>
      <c r="G40" t="s">
        <v>47</v>
      </c>
      <c r="H40" t="s">
        <v>558</v>
      </c>
      <c r="I40">
        <v>45476</v>
      </c>
      <c r="J40">
        <v>0.53125</v>
      </c>
      <c r="K40" t="s">
        <v>111</v>
      </c>
      <c r="L40" t="s">
        <v>245</v>
      </c>
      <c r="M40" t="s">
        <v>246</v>
      </c>
      <c r="N40" t="s">
        <v>559</v>
      </c>
      <c r="O40" t="s">
        <v>560</v>
      </c>
      <c r="P40">
        <v>99203</v>
      </c>
      <c r="Q40" t="s">
        <v>561</v>
      </c>
      <c r="R40" t="s">
        <v>57</v>
      </c>
      <c r="S40" t="s">
        <v>57</v>
      </c>
      <c r="T40" t="s">
        <v>57</v>
      </c>
      <c r="U40">
        <v>30</v>
      </c>
      <c r="V40">
        <v>225</v>
      </c>
      <c r="W40">
        <v>80</v>
      </c>
      <c r="X40">
        <v>45</v>
      </c>
      <c r="Y40">
        <v>30</v>
      </c>
      <c r="Z40">
        <v>75</v>
      </c>
      <c r="AA40">
        <v>150</v>
      </c>
      <c r="AB40" t="s">
        <v>80</v>
      </c>
      <c r="AC40" t="b">
        <v>1</v>
      </c>
      <c r="AD40" t="s">
        <v>387</v>
      </c>
      <c r="AE40" t="b">
        <v>0</v>
      </c>
      <c r="AF40" t="b">
        <v>1</v>
      </c>
      <c r="AG40" t="b">
        <v>0</v>
      </c>
      <c r="AH40" t="b">
        <v>0</v>
      </c>
      <c r="AJ40">
        <v>3</v>
      </c>
      <c r="AK40" t="s">
        <v>562</v>
      </c>
      <c r="AL40">
        <v>89</v>
      </c>
      <c r="AM40" t="s">
        <v>61</v>
      </c>
      <c r="AN40" t="s">
        <v>563</v>
      </c>
    </row>
    <row r="41" spans="1:40" ht="15">
      <c r="A41" t="s">
        <v>564</v>
      </c>
      <c r="B41" t="s">
        <v>565</v>
      </c>
      <c r="C41" t="s">
        <v>566</v>
      </c>
      <c r="D41">
        <v>34948</v>
      </c>
      <c r="E41" t="s">
        <v>67</v>
      </c>
      <c r="F41" t="s">
        <v>567</v>
      </c>
      <c r="G41" t="s">
        <v>69</v>
      </c>
      <c r="H41" t="s">
        <v>568</v>
      </c>
      <c r="I41">
        <v>45507</v>
      </c>
      <c r="J41">
        <v>0.70833333333333337</v>
      </c>
      <c r="K41" t="s">
        <v>92</v>
      </c>
      <c r="L41" t="s">
        <v>130</v>
      </c>
      <c r="M41" t="s">
        <v>131</v>
      </c>
      <c r="N41" t="s">
        <v>569</v>
      </c>
      <c r="O41" t="s">
        <v>570</v>
      </c>
      <c r="P41">
        <v>99204</v>
      </c>
      <c r="Q41" t="s">
        <v>571</v>
      </c>
      <c r="R41" t="s">
        <v>572</v>
      </c>
      <c r="S41" t="s">
        <v>57</v>
      </c>
      <c r="T41" t="s">
        <v>57</v>
      </c>
      <c r="U41">
        <v>50</v>
      </c>
      <c r="V41">
        <v>380</v>
      </c>
      <c r="W41">
        <v>70</v>
      </c>
      <c r="X41">
        <v>114</v>
      </c>
      <c r="Y41">
        <v>60</v>
      </c>
      <c r="Z41">
        <v>174</v>
      </c>
      <c r="AA41">
        <v>206</v>
      </c>
      <c r="AB41" t="s">
        <v>58</v>
      </c>
      <c r="AC41" t="b">
        <v>1</v>
      </c>
      <c r="AD41">
        <v>45508</v>
      </c>
      <c r="AE41" t="b">
        <v>0</v>
      </c>
      <c r="AF41" t="b">
        <v>0</v>
      </c>
      <c r="AG41" t="b">
        <v>1</v>
      </c>
      <c r="AH41" t="b">
        <v>0</v>
      </c>
      <c r="AJ41">
        <v>4</v>
      </c>
      <c r="AK41" t="s">
        <v>573</v>
      </c>
      <c r="AL41">
        <v>91</v>
      </c>
      <c r="AM41" t="s">
        <v>153</v>
      </c>
      <c r="AN41" t="s">
        <v>574</v>
      </c>
    </row>
    <row r="42" spans="1:40" ht="15">
      <c r="A42" t="s">
        <v>575</v>
      </c>
      <c r="B42" t="s">
        <v>576</v>
      </c>
      <c r="C42" t="s">
        <v>577</v>
      </c>
      <c r="D42" t="s">
        <v>578</v>
      </c>
      <c r="E42" t="s">
        <v>45</v>
      </c>
      <c r="F42" t="s">
        <v>579</v>
      </c>
      <c r="G42" t="s">
        <v>47</v>
      </c>
      <c r="H42" t="s">
        <v>580</v>
      </c>
      <c r="I42">
        <v>45599</v>
      </c>
      <c r="J42">
        <v>0.39583333333333331</v>
      </c>
      <c r="K42" t="s">
        <v>72</v>
      </c>
      <c r="L42" t="s">
        <v>73</v>
      </c>
      <c r="M42" t="s">
        <v>74</v>
      </c>
      <c r="N42" t="s">
        <v>581</v>
      </c>
      <c r="O42" t="s">
        <v>582</v>
      </c>
      <c r="P42">
        <v>99215</v>
      </c>
      <c r="Q42" t="s">
        <v>583</v>
      </c>
      <c r="R42" t="s">
        <v>584</v>
      </c>
      <c r="S42" t="s">
        <v>585</v>
      </c>
      <c r="T42" t="s">
        <v>57</v>
      </c>
      <c r="U42">
        <v>55</v>
      </c>
      <c r="V42">
        <v>320</v>
      </c>
      <c r="W42">
        <v>80</v>
      </c>
      <c r="X42">
        <v>64</v>
      </c>
      <c r="Y42">
        <v>40</v>
      </c>
      <c r="Z42">
        <v>104</v>
      </c>
      <c r="AA42">
        <v>216</v>
      </c>
      <c r="AB42" t="s">
        <v>80</v>
      </c>
      <c r="AC42" t="b">
        <v>1</v>
      </c>
      <c r="AD42">
        <v>45600</v>
      </c>
      <c r="AE42" t="b">
        <v>0</v>
      </c>
      <c r="AF42" t="b">
        <v>0</v>
      </c>
      <c r="AG42" t="b">
        <v>0</v>
      </c>
      <c r="AH42" t="b">
        <v>0</v>
      </c>
      <c r="AJ42">
        <v>4</v>
      </c>
      <c r="AK42" t="s">
        <v>586</v>
      </c>
      <c r="AL42">
        <v>90</v>
      </c>
      <c r="AM42" t="s">
        <v>61</v>
      </c>
      <c r="AN42" t="s">
        <v>587</v>
      </c>
    </row>
    <row r="43" spans="1:40" ht="15">
      <c r="A43" t="s">
        <v>588</v>
      </c>
      <c r="B43" t="s">
        <v>589</v>
      </c>
      <c r="C43" t="s">
        <v>590</v>
      </c>
      <c r="D43">
        <v>28348</v>
      </c>
      <c r="E43" t="s">
        <v>67</v>
      </c>
      <c r="F43" t="s">
        <v>591</v>
      </c>
      <c r="G43" t="s">
        <v>69</v>
      </c>
      <c r="H43" t="s">
        <v>592</v>
      </c>
      <c r="I43">
        <v>45629</v>
      </c>
      <c r="J43">
        <v>0.59375</v>
      </c>
      <c r="K43" t="s">
        <v>144</v>
      </c>
      <c r="L43" t="s">
        <v>145</v>
      </c>
      <c r="M43" t="s">
        <v>146</v>
      </c>
      <c r="N43" t="s">
        <v>593</v>
      </c>
      <c r="O43" t="s">
        <v>594</v>
      </c>
      <c r="P43">
        <v>99221</v>
      </c>
      <c r="Q43" t="s">
        <v>595</v>
      </c>
      <c r="R43" t="s">
        <v>57</v>
      </c>
      <c r="S43" t="s">
        <v>57</v>
      </c>
      <c r="T43">
        <v>49560</v>
      </c>
      <c r="U43">
        <v>85</v>
      </c>
      <c r="V43">
        <v>7500</v>
      </c>
      <c r="W43">
        <v>75</v>
      </c>
      <c r="X43">
        <v>1875</v>
      </c>
      <c r="Y43">
        <v>450</v>
      </c>
      <c r="Z43">
        <v>2325</v>
      </c>
      <c r="AA43">
        <v>5175</v>
      </c>
      <c r="AB43" t="s">
        <v>80</v>
      </c>
      <c r="AC43" t="b">
        <v>1</v>
      </c>
      <c r="AD43" t="s">
        <v>472</v>
      </c>
      <c r="AE43" t="b">
        <v>0</v>
      </c>
      <c r="AF43" t="b">
        <v>1</v>
      </c>
      <c r="AG43" t="b">
        <v>1</v>
      </c>
      <c r="AH43" t="b">
        <v>0</v>
      </c>
      <c r="AJ43">
        <v>5</v>
      </c>
      <c r="AK43" t="s">
        <v>596</v>
      </c>
      <c r="AL43">
        <v>87</v>
      </c>
      <c r="AM43" t="s">
        <v>153</v>
      </c>
      <c r="AN43" t="s">
        <v>597</v>
      </c>
    </row>
    <row r="44" spans="1:40" ht="15">
      <c r="A44" t="s">
        <v>598</v>
      </c>
      <c r="B44" t="s">
        <v>599</v>
      </c>
      <c r="C44" t="s">
        <v>600</v>
      </c>
      <c r="D44" t="s">
        <v>601</v>
      </c>
      <c r="E44" t="s">
        <v>45</v>
      </c>
      <c r="F44" t="s">
        <v>602</v>
      </c>
      <c r="G44" t="s">
        <v>89</v>
      </c>
      <c r="H44" t="s">
        <v>603</v>
      </c>
      <c r="I44" t="s">
        <v>375</v>
      </c>
      <c r="J44">
        <v>0.44791666666666669</v>
      </c>
      <c r="K44" t="s">
        <v>50</v>
      </c>
      <c r="L44" t="s">
        <v>194</v>
      </c>
      <c r="M44" t="s">
        <v>195</v>
      </c>
      <c r="N44" t="s">
        <v>604</v>
      </c>
      <c r="O44" t="s">
        <v>605</v>
      </c>
      <c r="P44">
        <v>99214</v>
      </c>
      <c r="Q44" t="s">
        <v>606</v>
      </c>
      <c r="R44" t="s">
        <v>57</v>
      </c>
      <c r="S44" t="s">
        <v>57</v>
      </c>
      <c r="T44" t="s">
        <v>57</v>
      </c>
      <c r="U44">
        <v>50</v>
      </c>
      <c r="V44">
        <v>280</v>
      </c>
      <c r="W44">
        <v>100</v>
      </c>
      <c r="X44">
        <v>0</v>
      </c>
      <c r="Y44">
        <v>0</v>
      </c>
      <c r="Z44">
        <v>0</v>
      </c>
      <c r="AA44">
        <v>280</v>
      </c>
      <c r="AB44" t="s">
        <v>89</v>
      </c>
      <c r="AC44" t="b">
        <v>1</v>
      </c>
      <c r="AD44" t="s">
        <v>607</v>
      </c>
      <c r="AE44" t="b">
        <v>0</v>
      </c>
      <c r="AF44" t="b">
        <v>0</v>
      </c>
      <c r="AG44" t="b">
        <v>0</v>
      </c>
      <c r="AH44" t="b">
        <v>0</v>
      </c>
      <c r="AJ44">
        <v>4</v>
      </c>
      <c r="AK44" t="s">
        <v>608</v>
      </c>
      <c r="AL44">
        <v>94</v>
      </c>
      <c r="AM44" t="s">
        <v>61</v>
      </c>
      <c r="AN44" t="s">
        <v>609</v>
      </c>
    </row>
    <row r="45" spans="1:40" ht="15">
      <c r="A45" t="s">
        <v>610</v>
      </c>
      <c r="B45" t="s">
        <v>611</v>
      </c>
      <c r="C45" t="s">
        <v>612</v>
      </c>
      <c r="D45" t="s">
        <v>613</v>
      </c>
      <c r="E45" t="s">
        <v>67</v>
      </c>
      <c r="F45" t="s">
        <v>614</v>
      </c>
      <c r="G45" t="s">
        <v>47</v>
      </c>
      <c r="H45" t="s">
        <v>615</v>
      </c>
      <c r="I45" t="s">
        <v>387</v>
      </c>
      <c r="J45">
        <v>0.5</v>
      </c>
      <c r="K45" t="s">
        <v>92</v>
      </c>
      <c r="L45" t="s">
        <v>245</v>
      </c>
      <c r="M45" t="s">
        <v>246</v>
      </c>
      <c r="N45" t="s">
        <v>616</v>
      </c>
      <c r="O45" t="s">
        <v>617</v>
      </c>
      <c r="P45">
        <v>99204</v>
      </c>
      <c r="Q45" t="s">
        <v>618</v>
      </c>
      <c r="R45" t="s">
        <v>57</v>
      </c>
      <c r="S45" t="s">
        <v>57</v>
      </c>
      <c r="T45" t="s">
        <v>57</v>
      </c>
      <c r="U45">
        <v>40</v>
      </c>
      <c r="V45">
        <v>310</v>
      </c>
      <c r="W45">
        <v>85</v>
      </c>
      <c r="X45">
        <v>46.5</v>
      </c>
      <c r="Y45">
        <v>30</v>
      </c>
      <c r="Z45">
        <v>76.5</v>
      </c>
      <c r="AA45">
        <v>233.5</v>
      </c>
      <c r="AB45" t="s">
        <v>118</v>
      </c>
      <c r="AC45" t="b">
        <v>1</v>
      </c>
      <c r="AD45" t="s">
        <v>619</v>
      </c>
      <c r="AE45" t="b">
        <v>0</v>
      </c>
      <c r="AF45" t="b">
        <v>0</v>
      </c>
      <c r="AG45" t="b">
        <v>1</v>
      </c>
      <c r="AH45" t="b">
        <v>0</v>
      </c>
      <c r="AJ45">
        <v>3</v>
      </c>
      <c r="AK45" t="s">
        <v>620</v>
      </c>
      <c r="AL45">
        <v>88</v>
      </c>
      <c r="AM45" t="s">
        <v>61</v>
      </c>
      <c r="AN45" t="s">
        <v>621</v>
      </c>
    </row>
    <row r="46" spans="1:40" ht="15">
      <c r="A46" t="s">
        <v>622</v>
      </c>
      <c r="B46" t="s">
        <v>623</v>
      </c>
      <c r="C46" t="s">
        <v>624</v>
      </c>
      <c r="D46" t="s">
        <v>625</v>
      </c>
      <c r="E46" t="s">
        <v>45</v>
      </c>
      <c r="F46" t="s">
        <v>626</v>
      </c>
      <c r="G46" t="s">
        <v>127</v>
      </c>
      <c r="H46" t="s">
        <v>627</v>
      </c>
      <c r="I46" t="s">
        <v>264</v>
      </c>
      <c r="J46">
        <v>0.34375</v>
      </c>
      <c r="K46" t="s">
        <v>111</v>
      </c>
      <c r="L46" t="s">
        <v>112</v>
      </c>
      <c r="M46" t="s">
        <v>113</v>
      </c>
      <c r="N46" t="s">
        <v>147</v>
      </c>
      <c r="O46" t="s">
        <v>148</v>
      </c>
      <c r="P46">
        <v>99291</v>
      </c>
      <c r="Q46" t="s">
        <v>628</v>
      </c>
      <c r="R46" t="s">
        <v>57</v>
      </c>
      <c r="S46" t="s">
        <v>150</v>
      </c>
      <c r="T46">
        <v>44970</v>
      </c>
      <c r="U46">
        <v>110</v>
      </c>
      <c r="V46">
        <v>6200</v>
      </c>
      <c r="W46">
        <v>100</v>
      </c>
      <c r="X46">
        <v>0</v>
      </c>
      <c r="Y46">
        <v>0</v>
      </c>
      <c r="Z46">
        <v>0</v>
      </c>
      <c r="AA46">
        <v>6200</v>
      </c>
      <c r="AB46" t="s">
        <v>127</v>
      </c>
      <c r="AC46" t="b">
        <v>1</v>
      </c>
      <c r="AD46" t="s">
        <v>629</v>
      </c>
      <c r="AE46" t="b">
        <v>0</v>
      </c>
      <c r="AF46" t="b">
        <v>1</v>
      </c>
      <c r="AG46" t="b">
        <v>0</v>
      </c>
      <c r="AH46" t="b">
        <v>0</v>
      </c>
      <c r="AJ46">
        <v>4</v>
      </c>
      <c r="AK46" t="s">
        <v>630</v>
      </c>
      <c r="AL46">
        <v>93</v>
      </c>
      <c r="AM46" t="s">
        <v>61</v>
      </c>
      <c r="AN46" t="s">
        <v>631</v>
      </c>
    </row>
    <row r="47" spans="1:40" ht="15">
      <c r="A47" t="s">
        <v>632</v>
      </c>
      <c r="B47" t="s">
        <v>633</v>
      </c>
      <c r="C47" t="s">
        <v>634</v>
      </c>
      <c r="D47" t="s">
        <v>635</v>
      </c>
      <c r="E47" t="s">
        <v>67</v>
      </c>
      <c r="F47" t="s">
        <v>636</v>
      </c>
      <c r="G47" t="s">
        <v>47</v>
      </c>
      <c r="H47" t="s">
        <v>637</v>
      </c>
      <c r="I47" t="s">
        <v>638</v>
      </c>
      <c r="J47">
        <v>0.47916666666666669</v>
      </c>
      <c r="K47" t="s">
        <v>212</v>
      </c>
      <c r="L47" t="s">
        <v>213</v>
      </c>
      <c r="M47" t="s">
        <v>214</v>
      </c>
      <c r="N47" t="s">
        <v>215</v>
      </c>
      <c r="O47" t="s">
        <v>216</v>
      </c>
      <c r="P47">
        <v>99213</v>
      </c>
      <c r="Q47" t="s">
        <v>217</v>
      </c>
      <c r="R47" t="s">
        <v>218</v>
      </c>
      <c r="S47" t="s">
        <v>218</v>
      </c>
      <c r="T47" t="s">
        <v>57</v>
      </c>
      <c r="U47">
        <v>35</v>
      </c>
      <c r="V47">
        <v>290</v>
      </c>
      <c r="W47">
        <v>80</v>
      </c>
      <c r="X47">
        <v>58</v>
      </c>
      <c r="Y47">
        <v>35</v>
      </c>
      <c r="Z47">
        <v>93</v>
      </c>
      <c r="AA47">
        <v>197</v>
      </c>
      <c r="AB47" t="s">
        <v>80</v>
      </c>
      <c r="AC47" t="b">
        <v>1</v>
      </c>
      <c r="AD47" t="s">
        <v>639</v>
      </c>
      <c r="AE47" t="b">
        <v>0</v>
      </c>
      <c r="AF47" t="b">
        <v>0</v>
      </c>
      <c r="AG47" t="b">
        <v>0</v>
      </c>
      <c r="AH47" t="b">
        <v>0</v>
      </c>
      <c r="AJ47">
        <v>5</v>
      </c>
      <c r="AK47" t="s">
        <v>640</v>
      </c>
      <c r="AL47">
        <v>97</v>
      </c>
      <c r="AM47" t="s">
        <v>61</v>
      </c>
      <c r="AN47" t="s">
        <v>641</v>
      </c>
    </row>
    <row r="48" spans="1:40" ht="15">
      <c r="A48" t="s">
        <v>642</v>
      </c>
      <c r="B48" t="s">
        <v>403</v>
      </c>
      <c r="C48" t="s">
        <v>643</v>
      </c>
      <c r="D48">
        <v>25146</v>
      </c>
      <c r="E48" t="s">
        <v>45</v>
      </c>
      <c r="F48" t="s">
        <v>644</v>
      </c>
      <c r="G48" t="s">
        <v>69</v>
      </c>
      <c r="H48" t="s">
        <v>645</v>
      </c>
      <c r="I48" t="s">
        <v>418</v>
      </c>
      <c r="J48">
        <v>0.69791666666666663</v>
      </c>
      <c r="K48" t="s">
        <v>72</v>
      </c>
      <c r="L48" t="s">
        <v>258</v>
      </c>
      <c r="M48" t="s">
        <v>259</v>
      </c>
      <c r="N48" t="s">
        <v>646</v>
      </c>
      <c r="O48" t="s">
        <v>647</v>
      </c>
      <c r="P48">
        <v>99213</v>
      </c>
      <c r="Q48" t="s">
        <v>648</v>
      </c>
      <c r="R48" t="s">
        <v>649</v>
      </c>
      <c r="S48" t="s">
        <v>650</v>
      </c>
      <c r="T48" t="s">
        <v>57</v>
      </c>
      <c r="U48">
        <v>60</v>
      </c>
      <c r="V48">
        <v>850</v>
      </c>
      <c r="W48">
        <v>70</v>
      </c>
      <c r="X48">
        <v>255</v>
      </c>
      <c r="Y48">
        <v>90</v>
      </c>
      <c r="Z48">
        <v>345</v>
      </c>
      <c r="AA48">
        <v>505</v>
      </c>
      <c r="AB48" t="s">
        <v>58</v>
      </c>
      <c r="AC48" t="b">
        <v>1</v>
      </c>
      <c r="AD48" t="s">
        <v>651</v>
      </c>
      <c r="AE48" t="b">
        <v>0</v>
      </c>
      <c r="AF48" t="b">
        <v>0</v>
      </c>
      <c r="AG48" t="b">
        <v>1</v>
      </c>
      <c r="AH48" t="b">
        <v>1</v>
      </c>
      <c r="AI48" t="s">
        <v>652</v>
      </c>
      <c r="AJ48">
        <v>3</v>
      </c>
      <c r="AK48" t="s">
        <v>653</v>
      </c>
      <c r="AL48">
        <v>86</v>
      </c>
      <c r="AM48" t="s">
        <v>172</v>
      </c>
      <c r="AN48" t="s">
        <v>654</v>
      </c>
    </row>
    <row r="49" spans="1:40" ht="15">
      <c r="A49" t="s">
        <v>655</v>
      </c>
      <c r="B49" t="s">
        <v>656</v>
      </c>
      <c r="C49" t="s">
        <v>657</v>
      </c>
      <c r="D49">
        <v>35922</v>
      </c>
      <c r="E49" t="s">
        <v>67</v>
      </c>
      <c r="F49" t="s">
        <v>658</v>
      </c>
      <c r="G49" t="s">
        <v>47</v>
      </c>
      <c r="H49" t="s">
        <v>659</v>
      </c>
      <c r="I49" t="s">
        <v>431</v>
      </c>
      <c r="J49">
        <v>0.375</v>
      </c>
      <c r="K49" t="s">
        <v>180</v>
      </c>
      <c r="L49" t="s">
        <v>181</v>
      </c>
      <c r="M49" t="s">
        <v>182</v>
      </c>
      <c r="N49" t="s">
        <v>660</v>
      </c>
      <c r="O49" t="s">
        <v>661</v>
      </c>
      <c r="P49">
        <v>99212</v>
      </c>
      <c r="Q49" t="s">
        <v>662</v>
      </c>
      <c r="R49" t="s">
        <v>57</v>
      </c>
      <c r="S49" t="s">
        <v>57</v>
      </c>
      <c r="T49" t="s">
        <v>57</v>
      </c>
      <c r="U49">
        <v>30</v>
      </c>
      <c r="V49">
        <v>175</v>
      </c>
      <c r="W49">
        <v>90</v>
      </c>
      <c r="X49">
        <v>17.5</v>
      </c>
      <c r="Y49">
        <v>10</v>
      </c>
      <c r="Z49">
        <v>27.5</v>
      </c>
      <c r="AA49">
        <v>147.5</v>
      </c>
      <c r="AB49" t="s">
        <v>80</v>
      </c>
      <c r="AC49" t="b">
        <v>0</v>
      </c>
      <c r="AE49" t="b">
        <v>0</v>
      </c>
      <c r="AF49" t="b">
        <v>0</v>
      </c>
      <c r="AG49" t="b">
        <v>0</v>
      </c>
      <c r="AH49" t="b">
        <v>0</v>
      </c>
      <c r="AJ49">
        <v>4</v>
      </c>
      <c r="AK49" t="s">
        <v>663</v>
      </c>
      <c r="AL49">
        <v>92</v>
      </c>
      <c r="AM49" t="s">
        <v>61</v>
      </c>
      <c r="AN49" t="s">
        <v>664</v>
      </c>
    </row>
    <row r="50" spans="1:40" ht="15">
      <c r="A50" t="s">
        <v>665</v>
      </c>
      <c r="B50" t="s">
        <v>666</v>
      </c>
      <c r="C50" t="s">
        <v>667</v>
      </c>
      <c r="D50" t="s">
        <v>668</v>
      </c>
      <c r="E50" t="s">
        <v>45</v>
      </c>
      <c r="F50" t="s">
        <v>669</v>
      </c>
      <c r="G50" t="s">
        <v>89</v>
      </c>
      <c r="H50" t="s">
        <v>670</v>
      </c>
      <c r="I50" t="s">
        <v>671</v>
      </c>
      <c r="J50">
        <v>0.60416666666666663</v>
      </c>
      <c r="K50" t="s">
        <v>144</v>
      </c>
      <c r="L50" t="s">
        <v>286</v>
      </c>
      <c r="M50" t="s">
        <v>287</v>
      </c>
      <c r="N50" t="s">
        <v>672</v>
      </c>
      <c r="O50" t="s">
        <v>673</v>
      </c>
      <c r="P50">
        <v>99222</v>
      </c>
      <c r="Q50" t="s">
        <v>674</v>
      </c>
      <c r="R50" t="s">
        <v>57</v>
      </c>
      <c r="S50" t="s">
        <v>57</v>
      </c>
      <c r="T50">
        <v>66170</v>
      </c>
      <c r="U50">
        <v>95</v>
      </c>
      <c r="V50">
        <v>4200</v>
      </c>
      <c r="W50">
        <v>80</v>
      </c>
      <c r="X50">
        <v>840</v>
      </c>
      <c r="Y50">
        <v>200</v>
      </c>
      <c r="Z50">
        <v>1040</v>
      </c>
      <c r="AA50">
        <v>3160</v>
      </c>
      <c r="AB50" t="s">
        <v>80</v>
      </c>
      <c r="AC50" t="b">
        <v>1</v>
      </c>
      <c r="AD50">
        <v>45386</v>
      </c>
      <c r="AE50" t="b">
        <v>0</v>
      </c>
      <c r="AF50" t="b">
        <v>1</v>
      </c>
      <c r="AG50" t="b">
        <v>1</v>
      </c>
      <c r="AH50" t="b">
        <v>0</v>
      </c>
      <c r="AJ50">
        <v>5</v>
      </c>
      <c r="AK50" t="s">
        <v>675</v>
      </c>
      <c r="AL50">
        <v>89</v>
      </c>
      <c r="AM50" t="s">
        <v>172</v>
      </c>
      <c r="AN50" t="s">
        <v>676</v>
      </c>
    </row>
    <row r="51" spans="1:40" ht="15">
      <c r="A51" t="s">
        <v>677</v>
      </c>
      <c r="B51" t="s">
        <v>678</v>
      </c>
      <c r="C51" t="s">
        <v>679</v>
      </c>
      <c r="D51" t="s">
        <v>680</v>
      </c>
      <c r="E51" t="s">
        <v>67</v>
      </c>
      <c r="F51" t="s">
        <v>681</v>
      </c>
      <c r="G51" t="s">
        <v>69</v>
      </c>
      <c r="H51" t="s">
        <v>682</v>
      </c>
      <c r="I51" t="s">
        <v>629</v>
      </c>
      <c r="J51">
        <v>0.42708333333333331</v>
      </c>
      <c r="K51" t="s">
        <v>92</v>
      </c>
      <c r="L51" t="s">
        <v>273</v>
      </c>
      <c r="M51" t="s">
        <v>274</v>
      </c>
      <c r="N51" t="s">
        <v>683</v>
      </c>
      <c r="O51" t="s">
        <v>684</v>
      </c>
      <c r="P51">
        <v>99204</v>
      </c>
      <c r="Q51" t="s">
        <v>685</v>
      </c>
      <c r="R51" t="s">
        <v>686</v>
      </c>
      <c r="S51" t="s">
        <v>57</v>
      </c>
      <c r="T51" t="s">
        <v>57</v>
      </c>
      <c r="U51">
        <v>45</v>
      </c>
      <c r="V51">
        <v>340</v>
      </c>
      <c r="W51">
        <v>75</v>
      </c>
      <c r="X51">
        <v>85</v>
      </c>
      <c r="Y51">
        <v>50</v>
      </c>
      <c r="Z51">
        <v>135</v>
      </c>
      <c r="AA51">
        <v>205</v>
      </c>
      <c r="AB51" t="s">
        <v>118</v>
      </c>
      <c r="AC51" t="b">
        <v>1</v>
      </c>
      <c r="AD51" t="s">
        <v>687</v>
      </c>
      <c r="AE51" t="b">
        <v>0</v>
      </c>
      <c r="AF51" t="b">
        <v>0</v>
      </c>
      <c r="AG51" t="b">
        <v>1</v>
      </c>
      <c r="AH51" t="b">
        <v>0</v>
      </c>
      <c r="AJ51">
        <v>4</v>
      </c>
      <c r="AK51" t="s">
        <v>688</v>
      </c>
      <c r="AL51">
        <v>90</v>
      </c>
      <c r="AM51" t="s">
        <v>61</v>
      </c>
      <c r="AN51" t="s">
        <v>689</v>
      </c>
    </row>
    <row r="52" spans="1:40" ht="15">
      <c r="A52" t="s">
        <v>690</v>
      </c>
      <c r="B52" t="s">
        <v>691</v>
      </c>
      <c r="C52" t="s">
        <v>692</v>
      </c>
      <c r="D52" t="s">
        <v>693</v>
      </c>
      <c r="E52" t="s">
        <v>45</v>
      </c>
      <c r="F52" t="s">
        <v>694</v>
      </c>
      <c r="G52" t="s">
        <v>47</v>
      </c>
      <c r="H52" t="s">
        <v>695</v>
      </c>
      <c r="I52" t="s">
        <v>696</v>
      </c>
      <c r="J52">
        <v>0.33333333333333331</v>
      </c>
      <c r="K52" t="s">
        <v>50</v>
      </c>
      <c r="L52" t="s">
        <v>309</v>
      </c>
      <c r="M52" t="s">
        <v>310</v>
      </c>
      <c r="N52" t="s">
        <v>697</v>
      </c>
      <c r="O52" t="s">
        <v>698</v>
      </c>
      <c r="P52">
        <v>99214</v>
      </c>
      <c r="Q52" t="s">
        <v>699</v>
      </c>
      <c r="R52" t="s">
        <v>700</v>
      </c>
      <c r="S52" t="s">
        <v>57</v>
      </c>
      <c r="T52" t="s">
        <v>57</v>
      </c>
      <c r="U52">
        <v>25</v>
      </c>
      <c r="V52">
        <v>195</v>
      </c>
      <c r="W52">
        <v>80</v>
      </c>
      <c r="X52">
        <v>39</v>
      </c>
      <c r="Y52">
        <v>25</v>
      </c>
      <c r="Z52">
        <v>64</v>
      </c>
      <c r="AA52">
        <v>131</v>
      </c>
      <c r="AB52" t="s">
        <v>58</v>
      </c>
      <c r="AC52" t="b">
        <v>1</v>
      </c>
      <c r="AD52">
        <v>45508</v>
      </c>
      <c r="AE52" t="b">
        <v>0</v>
      </c>
      <c r="AF52" t="b">
        <v>0</v>
      </c>
      <c r="AG52" t="b">
        <v>0</v>
      </c>
      <c r="AH52" t="b">
        <v>0</v>
      </c>
      <c r="AJ52">
        <v>3</v>
      </c>
      <c r="AK52" t="s">
        <v>701</v>
      </c>
      <c r="AL52">
        <v>94</v>
      </c>
      <c r="AM52" t="s">
        <v>61</v>
      </c>
      <c r="AN52" t="s">
        <v>702</v>
      </c>
    </row>
    <row r="53" spans="1:40" ht="15">
      <c r="A53" t="s">
        <v>703</v>
      </c>
      <c r="B53" t="s">
        <v>704</v>
      </c>
      <c r="C53" t="s">
        <v>705</v>
      </c>
      <c r="D53">
        <v>31026</v>
      </c>
      <c r="E53" t="s">
        <v>67</v>
      </c>
      <c r="F53" t="s">
        <v>706</v>
      </c>
      <c r="G53" t="s">
        <v>69</v>
      </c>
      <c r="H53" t="s">
        <v>707</v>
      </c>
      <c r="I53" t="s">
        <v>472</v>
      </c>
      <c r="J53">
        <v>0.57291666666666663</v>
      </c>
      <c r="K53" t="s">
        <v>111</v>
      </c>
      <c r="L53" t="s">
        <v>346</v>
      </c>
      <c r="M53" t="s">
        <v>347</v>
      </c>
      <c r="N53" t="s">
        <v>708</v>
      </c>
      <c r="O53" t="s">
        <v>506</v>
      </c>
      <c r="P53">
        <v>99292</v>
      </c>
      <c r="Q53" t="s">
        <v>709</v>
      </c>
      <c r="R53" t="s">
        <v>57</v>
      </c>
      <c r="S53" t="s">
        <v>57</v>
      </c>
      <c r="T53" t="s">
        <v>57</v>
      </c>
      <c r="U53">
        <v>40</v>
      </c>
      <c r="V53">
        <v>450</v>
      </c>
      <c r="W53">
        <v>70</v>
      </c>
      <c r="X53">
        <v>135</v>
      </c>
      <c r="Y53">
        <v>60</v>
      </c>
      <c r="Z53">
        <v>195</v>
      </c>
      <c r="AA53">
        <v>255</v>
      </c>
      <c r="AB53" t="s">
        <v>80</v>
      </c>
      <c r="AC53" t="b">
        <v>0</v>
      </c>
      <c r="AE53" t="b">
        <v>0</v>
      </c>
      <c r="AF53" t="b">
        <v>1</v>
      </c>
      <c r="AG53" t="b">
        <v>0</v>
      </c>
      <c r="AH53" t="b">
        <v>0</v>
      </c>
      <c r="AJ53">
        <v>4</v>
      </c>
      <c r="AK53" t="s">
        <v>710</v>
      </c>
      <c r="AL53">
        <v>91</v>
      </c>
      <c r="AM53" t="s">
        <v>61</v>
      </c>
      <c r="AN53" t="s">
        <v>711</v>
      </c>
    </row>
    <row r="54" spans="1:40" ht="15">
      <c r="A54" t="s">
        <v>712</v>
      </c>
      <c r="B54" t="s">
        <v>713</v>
      </c>
      <c r="C54" t="s">
        <v>714</v>
      </c>
      <c r="D54" t="s">
        <v>715</v>
      </c>
      <c r="E54" t="s">
        <v>45</v>
      </c>
      <c r="F54" t="s">
        <v>716</v>
      </c>
      <c r="G54" t="s">
        <v>127</v>
      </c>
      <c r="H54" t="s">
        <v>717</v>
      </c>
      <c r="I54" t="s">
        <v>718</v>
      </c>
      <c r="J54">
        <v>0.39583333333333331</v>
      </c>
      <c r="K54" t="s">
        <v>72</v>
      </c>
      <c r="L54" t="s">
        <v>228</v>
      </c>
      <c r="M54" t="s">
        <v>229</v>
      </c>
      <c r="N54" t="s">
        <v>719</v>
      </c>
      <c r="O54" t="s">
        <v>720</v>
      </c>
      <c r="P54">
        <v>99215</v>
      </c>
      <c r="Q54" t="s">
        <v>721</v>
      </c>
      <c r="R54" t="s">
        <v>722</v>
      </c>
      <c r="S54" t="s">
        <v>234</v>
      </c>
      <c r="T54" t="s">
        <v>57</v>
      </c>
      <c r="U54">
        <v>65</v>
      </c>
      <c r="V54">
        <v>1800</v>
      </c>
      <c r="W54">
        <v>100</v>
      </c>
      <c r="X54">
        <v>0</v>
      </c>
      <c r="Y54">
        <v>0</v>
      </c>
      <c r="Z54">
        <v>0</v>
      </c>
      <c r="AA54">
        <v>1800</v>
      </c>
      <c r="AB54" t="s">
        <v>127</v>
      </c>
      <c r="AC54" t="b">
        <v>1</v>
      </c>
      <c r="AD54" t="s">
        <v>723</v>
      </c>
      <c r="AE54" t="b">
        <v>0</v>
      </c>
      <c r="AF54" t="b">
        <v>0</v>
      </c>
      <c r="AG54" t="b">
        <v>0</v>
      </c>
      <c r="AH54" t="b">
        <v>0</v>
      </c>
      <c r="AJ54">
        <v>4</v>
      </c>
      <c r="AK54" t="s">
        <v>724</v>
      </c>
      <c r="AL54">
        <v>95</v>
      </c>
      <c r="AM54" t="s">
        <v>61</v>
      </c>
      <c r="AN54" t="s">
        <v>725</v>
      </c>
    </row>
    <row r="55" spans="1:40" ht="15">
      <c r="A55" t="s">
        <v>726</v>
      </c>
      <c r="B55" t="s">
        <v>727</v>
      </c>
      <c r="C55" t="s">
        <v>728</v>
      </c>
      <c r="D55">
        <v>34158</v>
      </c>
      <c r="E55" t="s">
        <v>67</v>
      </c>
      <c r="F55" t="s">
        <v>729</v>
      </c>
      <c r="G55" t="s">
        <v>47</v>
      </c>
      <c r="H55" t="s">
        <v>730</v>
      </c>
      <c r="I55" t="s">
        <v>497</v>
      </c>
      <c r="J55">
        <v>0.5</v>
      </c>
      <c r="K55" t="s">
        <v>92</v>
      </c>
      <c r="L55" t="s">
        <v>162</v>
      </c>
      <c r="M55" t="s">
        <v>163</v>
      </c>
      <c r="N55" t="s">
        <v>164</v>
      </c>
      <c r="O55" t="s">
        <v>165</v>
      </c>
      <c r="P55">
        <v>99203</v>
      </c>
      <c r="Q55" t="s">
        <v>731</v>
      </c>
      <c r="R55" t="s">
        <v>167</v>
      </c>
      <c r="S55" t="s">
        <v>57</v>
      </c>
      <c r="T55" t="s">
        <v>57</v>
      </c>
      <c r="U55">
        <v>35</v>
      </c>
      <c r="V55">
        <v>230</v>
      </c>
      <c r="W55">
        <v>85</v>
      </c>
      <c r="X55">
        <v>34.5</v>
      </c>
      <c r="Y55">
        <v>25</v>
      </c>
      <c r="Z55">
        <v>59.5</v>
      </c>
      <c r="AA55">
        <v>170.5</v>
      </c>
      <c r="AB55" t="s">
        <v>58</v>
      </c>
      <c r="AC55" t="b">
        <v>1</v>
      </c>
      <c r="AD55" t="s">
        <v>732</v>
      </c>
      <c r="AE55" t="b">
        <v>0</v>
      </c>
      <c r="AF55" t="b">
        <v>0</v>
      </c>
      <c r="AG55" t="b">
        <v>1</v>
      </c>
      <c r="AH55" t="b">
        <v>0</v>
      </c>
      <c r="AJ55">
        <v>4</v>
      </c>
      <c r="AK55" t="s">
        <v>733</v>
      </c>
      <c r="AL55">
        <v>89</v>
      </c>
      <c r="AM55" t="s">
        <v>61</v>
      </c>
      <c r="AN55" t="s">
        <v>734</v>
      </c>
    </row>
    <row r="56" spans="1:40" ht="15">
      <c r="A56" t="s">
        <v>735</v>
      </c>
      <c r="B56" t="s">
        <v>736</v>
      </c>
      <c r="C56" t="s">
        <v>737</v>
      </c>
      <c r="D56" t="s">
        <v>738</v>
      </c>
      <c r="E56" t="s">
        <v>45</v>
      </c>
      <c r="F56" t="s">
        <v>739</v>
      </c>
      <c r="G56" t="s">
        <v>89</v>
      </c>
      <c r="H56" t="s">
        <v>740</v>
      </c>
      <c r="I56" t="s">
        <v>508</v>
      </c>
      <c r="J56">
        <v>0.63541666666666663</v>
      </c>
      <c r="K56" t="s">
        <v>144</v>
      </c>
      <c r="L56" t="s">
        <v>93</v>
      </c>
      <c r="M56" t="s">
        <v>94</v>
      </c>
      <c r="N56" t="s">
        <v>741</v>
      </c>
      <c r="O56" t="s">
        <v>742</v>
      </c>
      <c r="P56">
        <v>99223</v>
      </c>
      <c r="Q56" t="s">
        <v>743</v>
      </c>
      <c r="R56" t="s">
        <v>57</v>
      </c>
      <c r="S56" t="s">
        <v>98</v>
      </c>
      <c r="T56">
        <v>27447</v>
      </c>
      <c r="U56">
        <v>115</v>
      </c>
      <c r="V56">
        <v>16500</v>
      </c>
      <c r="W56">
        <v>80</v>
      </c>
      <c r="X56">
        <v>3300</v>
      </c>
      <c r="Y56">
        <v>800</v>
      </c>
      <c r="Z56">
        <v>4100</v>
      </c>
      <c r="AA56">
        <v>12400</v>
      </c>
      <c r="AB56" t="s">
        <v>80</v>
      </c>
      <c r="AC56" t="b">
        <v>1</v>
      </c>
      <c r="AD56">
        <v>45630</v>
      </c>
      <c r="AE56" t="b">
        <v>0</v>
      </c>
      <c r="AF56" t="b">
        <v>1</v>
      </c>
      <c r="AG56" t="b">
        <v>1</v>
      </c>
      <c r="AH56" t="b">
        <v>0</v>
      </c>
      <c r="AJ56">
        <v>5</v>
      </c>
      <c r="AK56" t="s">
        <v>744</v>
      </c>
      <c r="AL56">
        <v>84</v>
      </c>
      <c r="AM56" t="s">
        <v>172</v>
      </c>
      <c r="AN56" t="s">
        <v>745</v>
      </c>
    </row>
    <row r="57" spans="1:40" ht="15">
      <c r="A57" t="s">
        <v>746</v>
      </c>
      <c r="B57" t="s">
        <v>747</v>
      </c>
      <c r="C57" t="s">
        <v>748</v>
      </c>
      <c r="D57" t="s">
        <v>749</v>
      </c>
      <c r="E57" t="s">
        <v>67</v>
      </c>
      <c r="F57" t="s">
        <v>750</v>
      </c>
      <c r="G57" t="s">
        <v>69</v>
      </c>
      <c r="H57" t="s">
        <v>751</v>
      </c>
      <c r="I57">
        <v>45295</v>
      </c>
      <c r="J57">
        <v>0.4375</v>
      </c>
      <c r="K57" t="s">
        <v>180</v>
      </c>
      <c r="L57" t="s">
        <v>181</v>
      </c>
      <c r="M57" t="s">
        <v>182</v>
      </c>
      <c r="N57" t="s">
        <v>752</v>
      </c>
      <c r="O57" t="s">
        <v>753</v>
      </c>
      <c r="P57">
        <v>99211</v>
      </c>
      <c r="Q57" t="s">
        <v>754</v>
      </c>
      <c r="R57" t="s">
        <v>57</v>
      </c>
      <c r="S57" t="s">
        <v>57</v>
      </c>
      <c r="T57" t="s">
        <v>57</v>
      </c>
      <c r="U57">
        <v>15</v>
      </c>
      <c r="V57">
        <v>120</v>
      </c>
      <c r="W57">
        <v>100</v>
      </c>
      <c r="X57">
        <v>0</v>
      </c>
      <c r="Y57">
        <v>0</v>
      </c>
      <c r="Z57">
        <v>0</v>
      </c>
      <c r="AA57">
        <v>120</v>
      </c>
      <c r="AB57" t="s">
        <v>69</v>
      </c>
      <c r="AC57" t="b">
        <v>0</v>
      </c>
      <c r="AE57" t="b">
        <v>0</v>
      </c>
      <c r="AF57" t="b">
        <v>0</v>
      </c>
      <c r="AG57" t="b">
        <v>0</v>
      </c>
      <c r="AH57" t="b">
        <v>0</v>
      </c>
      <c r="AJ57">
        <v>5</v>
      </c>
      <c r="AK57" t="s">
        <v>755</v>
      </c>
      <c r="AL57">
        <v>96</v>
      </c>
      <c r="AM57" t="s">
        <v>61</v>
      </c>
      <c r="AN57" t="s">
        <v>756</v>
      </c>
    </row>
    <row r="58" spans="1:40" ht="15">
      <c r="A58" t="s">
        <v>757</v>
      </c>
      <c r="B58" t="s">
        <v>758</v>
      </c>
      <c r="C58" t="s">
        <v>759</v>
      </c>
      <c r="D58">
        <v>27099</v>
      </c>
      <c r="E58" t="s">
        <v>45</v>
      </c>
      <c r="F58" t="s">
        <v>760</v>
      </c>
      <c r="G58" t="s">
        <v>47</v>
      </c>
      <c r="H58" t="s">
        <v>761</v>
      </c>
      <c r="I58">
        <v>45326</v>
      </c>
      <c r="J58">
        <v>0.70833333333333337</v>
      </c>
      <c r="K58" t="s">
        <v>50</v>
      </c>
      <c r="L58" t="s">
        <v>321</v>
      </c>
      <c r="M58" t="s">
        <v>322</v>
      </c>
      <c r="N58" t="s">
        <v>762</v>
      </c>
      <c r="O58" t="s">
        <v>763</v>
      </c>
      <c r="P58">
        <v>99214</v>
      </c>
      <c r="Q58" t="s">
        <v>764</v>
      </c>
      <c r="R58" t="s">
        <v>765</v>
      </c>
      <c r="S58" t="s">
        <v>57</v>
      </c>
      <c r="T58" t="s">
        <v>57</v>
      </c>
      <c r="U58">
        <v>50</v>
      </c>
      <c r="V58">
        <v>240</v>
      </c>
      <c r="W58">
        <v>75</v>
      </c>
      <c r="X58">
        <v>60</v>
      </c>
      <c r="Y58">
        <v>35</v>
      </c>
      <c r="Z58">
        <v>95</v>
      </c>
      <c r="AA58">
        <v>145</v>
      </c>
      <c r="AB58" t="s">
        <v>118</v>
      </c>
      <c r="AC58" t="b">
        <v>1</v>
      </c>
      <c r="AD58">
        <v>45327</v>
      </c>
      <c r="AE58" t="b">
        <v>0</v>
      </c>
      <c r="AF58" t="b">
        <v>0</v>
      </c>
      <c r="AG58" t="b">
        <v>0</v>
      </c>
      <c r="AH58" t="b">
        <v>0</v>
      </c>
      <c r="AJ58">
        <v>4</v>
      </c>
      <c r="AK58" t="s">
        <v>766</v>
      </c>
      <c r="AL58">
        <v>93</v>
      </c>
      <c r="AM58" t="s">
        <v>61</v>
      </c>
      <c r="AN58" t="s">
        <v>767</v>
      </c>
    </row>
    <row r="59" spans="1:40" ht="15">
      <c r="A59" t="s">
        <v>768</v>
      </c>
      <c r="B59" t="s">
        <v>769</v>
      </c>
      <c r="C59" t="s">
        <v>770</v>
      </c>
      <c r="D59">
        <v>32022</v>
      </c>
      <c r="E59" t="s">
        <v>67</v>
      </c>
      <c r="F59" t="s">
        <v>771</v>
      </c>
      <c r="G59" t="s">
        <v>127</v>
      </c>
      <c r="H59" t="s">
        <v>772</v>
      </c>
      <c r="I59">
        <v>45355</v>
      </c>
      <c r="J59">
        <v>0.36458333333333331</v>
      </c>
      <c r="K59" t="s">
        <v>72</v>
      </c>
      <c r="L59" t="s">
        <v>130</v>
      </c>
      <c r="M59" t="s">
        <v>131</v>
      </c>
      <c r="N59" t="s">
        <v>132</v>
      </c>
      <c r="O59" t="s">
        <v>133</v>
      </c>
      <c r="P59">
        <v>99213</v>
      </c>
      <c r="Q59" t="s">
        <v>773</v>
      </c>
      <c r="R59" t="s">
        <v>135</v>
      </c>
      <c r="S59" t="s">
        <v>57</v>
      </c>
      <c r="T59" t="s">
        <v>57</v>
      </c>
      <c r="U59">
        <v>30</v>
      </c>
      <c r="V59">
        <v>185</v>
      </c>
      <c r="W59">
        <v>100</v>
      </c>
      <c r="X59">
        <v>0</v>
      </c>
      <c r="Y59">
        <v>0</v>
      </c>
      <c r="Z59">
        <v>0</v>
      </c>
      <c r="AA59">
        <v>185</v>
      </c>
      <c r="AB59" t="s">
        <v>127</v>
      </c>
      <c r="AC59" t="b">
        <v>0</v>
      </c>
      <c r="AE59" t="b">
        <v>0</v>
      </c>
      <c r="AF59" t="b">
        <v>0</v>
      </c>
      <c r="AG59" t="b">
        <v>0</v>
      </c>
      <c r="AH59" t="b">
        <v>1</v>
      </c>
      <c r="AI59" t="s">
        <v>774</v>
      </c>
      <c r="AJ59">
        <v>3</v>
      </c>
      <c r="AK59" t="s">
        <v>775</v>
      </c>
      <c r="AL59">
        <v>94</v>
      </c>
      <c r="AM59" t="s">
        <v>172</v>
      </c>
      <c r="AN59" t="s">
        <v>776</v>
      </c>
    </row>
    <row r="60" spans="1:40" ht="15">
      <c r="A60" t="s">
        <v>777</v>
      </c>
      <c r="B60" t="s">
        <v>778</v>
      </c>
      <c r="C60" t="s">
        <v>779</v>
      </c>
      <c r="D60" t="s">
        <v>780</v>
      </c>
      <c r="E60" t="s">
        <v>45</v>
      </c>
      <c r="F60" t="s">
        <v>781</v>
      </c>
      <c r="G60" t="s">
        <v>47</v>
      </c>
      <c r="H60" t="s">
        <v>782</v>
      </c>
      <c r="I60">
        <v>45386</v>
      </c>
      <c r="J60">
        <v>0.46875</v>
      </c>
      <c r="K60" t="s">
        <v>111</v>
      </c>
      <c r="L60" t="s">
        <v>245</v>
      </c>
      <c r="M60" t="s">
        <v>246</v>
      </c>
      <c r="N60" t="s">
        <v>783</v>
      </c>
      <c r="O60" t="s">
        <v>784</v>
      </c>
      <c r="P60">
        <v>99203</v>
      </c>
      <c r="Q60" t="s">
        <v>785</v>
      </c>
      <c r="R60" t="s">
        <v>57</v>
      </c>
      <c r="S60" t="s">
        <v>57</v>
      </c>
      <c r="T60" t="s">
        <v>57</v>
      </c>
      <c r="U60">
        <v>35</v>
      </c>
      <c r="V60">
        <v>260</v>
      </c>
      <c r="W60">
        <v>80</v>
      </c>
      <c r="X60">
        <v>52</v>
      </c>
      <c r="Y60">
        <v>35</v>
      </c>
      <c r="Z60">
        <v>87</v>
      </c>
      <c r="AA60">
        <v>173</v>
      </c>
      <c r="AB60" t="s">
        <v>80</v>
      </c>
      <c r="AC60" t="b">
        <v>1</v>
      </c>
      <c r="AD60">
        <v>45600</v>
      </c>
      <c r="AE60" t="b">
        <v>0</v>
      </c>
      <c r="AF60" t="b">
        <v>1</v>
      </c>
      <c r="AG60" t="b">
        <v>0</v>
      </c>
      <c r="AH60" t="b">
        <v>0</v>
      </c>
      <c r="AJ60">
        <v>3</v>
      </c>
      <c r="AK60" t="s">
        <v>786</v>
      </c>
      <c r="AL60">
        <v>88</v>
      </c>
      <c r="AM60" t="s">
        <v>61</v>
      </c>
      <c r="AN60" t="s">
        <v>787</v>
      </c>
    </row>
    <row r="61" spans="1:40" ht="15">
      <c r="A61" t="s">
        <v>788</v>
      </c>
      <c r="B61" t="s">
        <v>789</v>
      </c>
      <c r="C61" t="s">
        <v>790</v>
      </c>
      <c r="D61">
        <v>35381</v>
      </c>
      <c r="E61" t="s">
        <v>67</v>
      </c>
      <c r="F61" t="s">
        <v>791</v>
      </c>
      <c r="G61" t="s">
        <v>69</v>
      </c>
      <c r="H61" t="s">
        <v>792</v>
      </c>
      <c r="I61">
        <v>45416</v>
      </c>
      <c r="J61">
        <v>0.58333333333333337</v>
      </c>
      <c r="K61" t="s">
        <v>92</v>
      </c>
      <c r="L61" t="s">
        <v>73</v>
      </c>
      <c r="M61" t="s">
        <v>74</v>
      </c>
      <c r="N61" t="s">
        <v>793</v>
      </c>
      <c r="O61" t="s">
        <v>794</v>
      </c>
      <c r="P61">
        <v>99204</v>
      </c>
      <c r="Q61" t="s">
        <v>795</v>
      </c>
      <c r="R61" t="s">
        <v>796</v>
      </c>
      <c r="S61" t="s">
        <v>57</v>
      </c>
      <c r="T61" t="s">
        <v>57</v>
      </c>
      <c r="U61">
        <v>50</v>
      </c>
      <c r="V61">
        <v>420</v>
      </c>
      <c r="W61">
        <v>70</v>
      </c>
      <c r="X61">
        <v>126</v>
      </c>
      <c r="Y61">
        <v>65</v>
      </c>
      <c r="Z61">
        <v>191</v>
      </c>
      <c r="AA61">
        <v>229</v>
      </c>
      <c r="AB61" t="s">
        <v>58</v>
      </c>
      <c r="AC61" t="b">
        <v>1</v>
      </c>
      <c r="AD61">
        <v>45417</v>
      </c>
      <c r="AE61" t="b">
        <v>0</v>
      </c>
      <c r="AF61" t="b">
        <v>0</v>
      </c>
      <c r="AG61" t="b">
        <v>1</v>
      </c>
      <c r="AH61" t="b">
        <v>0</v>
      </c>
      <c r="AJ61">
        <v>4</v>
      </c>
      <c r="AK61" t="s">
        <v>797</v>
      </c>
      <c r="AL61">
        <v>90</v>
      </c>
      <c r="AM61" t="s">
        <v>153</v>
      </c>
      <c r="AN61" t="s">
        <v>798</v>
      </c>
    </row>
    <row r="62" spans="1:40" ht="15">
      <c r="A62" t="s">
        <v>799</v>
      </c>
      <c r="B62" t="s">
        <v>800</v>
      </c>
      <c r="C62" t="s">
        <v>801</v>
      </c>
      <c r="D62" t="s">
        <v>802</v>
      </c>
      <c r="E62" t="s">
        <v>45</v>
      </c>
      <c r="F62" t="s">
        <v>803</v>
      </c>
      <c r="G62" t="s">
        <v>47</v>
      </c>
      <c r="H62" t="s">
        <v>804</v>
      </c>
      <c r="I62">
        <v>45508</v>
      </c>
      <c r="J62">
        <v>0.40625</v>
      </c>
      <c r="K62" t="s">
        <v>72</v>
      </c>
      <c r="L62" t="s">
        <v>194</v>
      </c>
      <c r="M62" t="s">
        <v>195</v>
      </c>
      <c r="N62" t="s">
        <v>196</v>
      </c>
      <c r="O62" t="s">
        <v>197</v>
      </c>
      <c r="P62">
        <v>99213</v>
      </c>
      <c r="Q62" t="s">
        <v>805</v>
      </c>
      <c r="R62" t="s">
        <v>57</v>
      </c>
      <c r="S62" t="s">
        <v>57</v>
      </c>
      <c r="T62" t="s">
        <v>57</v>
      </c>
      <c r="U62">
        <v>25</v>
      </c>
      <c r="V62">
        <v>190</v>
      </c>
      <c r="W62">
        <v>80</v>
      </c>
      <c r="X62">
        <v>38</v>
      </c>
      <c r="Y62">
        <v>25</v>
      </c>
      <c r="Z62">
        <v>63</v>
      </c>
      <c r="AA62">
        <v>127</v>
      </c>
      <c r="AB62" t="s">
        <v>80</v>
      </c>
      <c r="AC62" t="b">
        <v>0</v>
      </c>
      <c r="AE62" t="b">
        <v>0</v>
      </c>
      <c r="AF62" t="b">
        <v>0</v>
      </c>
      <c r="AG62" t="b">
        <v>0</v>
      </c>
      <c r="AH62" t="b">
        <v>0</v>
      </c>
      <c r="AJ62">
        <v>4</v>
      </c>
      <c r="AK62" t="s">
        <v>806</v>
      </c>
      <c r="AL62">
        <v>92</v>
      </c>
      <c r="AM62" t="s">
        <v>61</v>
      </c>
      <c r="AN62" t="s">
        <v>807</v>
      </c>
    </row>
    <row r="63" spans="1:40" ht="15">
      <c r="A63" t="s">
        <v>808</v>
      </c>
      <c r="B63" t="s">
        <v>809</v>
      </c>
      <c r="C63" t="s">
        <v>810</v>
      </c>
      <c r="D63">
        <v>28620</v>
      </c>
      <c r="E63" t="s">
        <v>67</v>
      </c>
      <c r="F63" t="s">
        <v>811</v>
      </c>
      <c r="G63" t="s">
        <v>69</v>
      </c>
      <c r="H63" t="s">
        <v>812</v>
      </c>
      <c r="I63">
        <v>45539</v>
      </c>
      <c r="J63">
        <v>0.64583333333333337</v>
      </c>
      <c r="K63" t="s">
        <v>144</v>
      </c>
      <c r="L63" t="s">
        <v>145</v>
      </c>
      <c r="M63" t="s">
        <v>146</v>
      </c>
      <c r="N63" t="s">
        <v>147</v>
      </c>
      <c r="O63" t="s">
        <v>148</v>
      </c>
      <c r="P63">
        <v>99222</v>
      </c>
      <c r="Q63" t="s">
        <v>628</v>
      </c>
      <c r="R63" t="s">
        <v>57</v>
      </c>
      <c r="S63" t="s">
        <v>150</v>
      </c>
      <c r="T63">
        <v>44970</v>
      </c>
      <c r="U63">
        <v>100</v>
      </c>
      <c r="V63">
        <v>6100</v>
      </c>
      <c r="W63">
        <v>75</v>
      </c>
      <c r="X63">
        <v>1525</v>
      </c>
      <c r="Y63">
        <v>400</v>
      </c>
      <c r="Z63">
        <v>1925</v>
      </c>
      <c r="AA63">
        <v>4175</v>
      </c>
      <c r="AB63" t="s">
        <v>80</v>
      </c>
      <c r="AC63" t="b">
        <v>1</v>
      </c>
      <c r="AD63" t="s">
        <v>813</v>
      </c>
      <c r="AE63" t="b">
        <v>0</v>
      </c>
      <c r="AF63" t="b">
        <v>1</v>
      </c>
      <c r="AG63" t="b">
        <v>1</v>
      </c>
      <c r="AH63" t="b">
        <v>0</v>
      </c>
      <c r="AJ63">
        <v>4</v>
      </c>
      <c r="AK63" t="s">
        <v>814</v>
      </c>
      <c r="AL63">
        <v>87</v>
      </c>
      <c r="AM63" t="s">
        <v>153</v>
      </c>
      <c r="AN63" t="s">
        <v>815</v>
      </c>
    </row>
    <row r="64" spans="1:40" ht="15">
      <c r="A64" t="s">
        <v>816</v>
      </c>
      <c r="B64" t="s">
        <v>817</v>
      </c>
      <c r="C64" t="s">
        <v>818</v>
      </c>
      <c r="D64" t="s">
        <v>819</v>
      </c>
      <c r="E64" t="s">
        <v>67</v>
      </c>
      <c r="F64" t="s">
        <v>820</v>
      </c>
      <c r="G64" t="s">
        <v>89</v>
      </c>
      <c r="H64" t="s">
        <v>821</v>
      </c>
      <c r="I64">
        <v>45569</v>
      </c>
      <c r="J64">
        <v>0.45833333333333331</v>
      </c>
      <c r="K64" t="s">
        <v>50</v>
      </c>
      <c r="L64" t="s">
        <v>273</v>
      </c>
      <c r="M64" t="s">
        <v>274</v>
      </c>
      <c r="N64" t="s">
        <v>822</v>
      </c>
      <c r="O64" t="s">
        <v>823</v>
      </c>
      <c r="P64">
        <v>99214</v>
      </c>
      <c r="Q64" t="s">
        <v>824</v>
      </c>
      <c r="R64" t="s">
        <v>825</v>
      </c>
      <c r="S64" t="s">
        <v>57</v>
      </c>
      <c r="T64" t="s">
        <v>57</v>
      </c>
      <c r="U64">
        <v>40</v>
      </c>
      <c r="V64">
        <v>310</v>
      </c>
      <c r="W64">
        <v>100</v>
      </c>
      <c r="X64">
        <v>0</v>
      </c>
      <c r="Y64">
        <v>0</v>
      </c>
      <c r="Z64">
        <v>0</v>
      </c>
      <c r="AA64">
        <v>310</v>
      </c>
      <c r="AB64" t="s">
        <v>89</v>
      </c>
      <c r="AC64" t="b">
        <v>1</v>
      </c>
      <c r="AD64">
        <v>45570</v>
      </c>
      <c r="AE64" t="b">
        <v>0</v>
      </c>
      <c r="AF64" t="b">
        <v>0</v>
      </c>
      <c r="AG64" t="b">
        <v>0</v>
      </c>
      <c r="AH64" t="b">
        <v>0</v>
      </c>
      <c r="AJ64">
        <v>5</v>
      </c>
      <c r="AK64" t="s">
        <v>826</v>
      </c>
      <c r="AL64">
        <v>94</v>
      </c>
      <c r="AM64" t="s">
        <v>61</v>
      </c>
      <c r="AN64" t="s">
        <v>827</v>
      </c>
    </row>
    <row r="65" spans="1:40" ht="15">
      <c r="A65" t="s">
        <v>828</v>
      </c>
      <c r="B65" t="s">
        <v>829</v>
      </c>
      <c r="C65" t="s">
        <v>830</v>
      </c>
      <c r="D65" t="s">
        <v>831</v>
      </c>
      <c r="E65" t="s">
        <v>45</v>
      </c>
      <c r="F65" t="s">
        <v>832</v>
      </c>
      <c r="G65" t="s">
        <v>47</v>
      </c>
      <c r="H65" t="s">
        <v>833</v>
      </c>
      <c r="I65">
        <v>45600</v>
      </c>
      <c r="J65">
        <v>0.57291666666666663</v>
      </c>
      <c r="K65" t="s">
        <v>92</v>
      </c>
      <c r="L65" t="s">
        <v>258</v>
      </c>
      <c r="M65" t="s">
        <v>259</v>
      </c>
      <c r="N65" t="s">
        <v>834</v>
      </c>
      <c r="O65" t="s">
        <v>261</v>
      </c>
      <c r="P65">
        <v>99204</v>
      </c>
      <c r="Q65" t="s">
        <v>835</v>
      </c>
      <c r="R65" t="s">
        <v>263</v>
      </c>
      <c r="S65" t="s">
        <v>57</v>
      </c>
      <c r="T65">
        <v>43235</v>
      </c>
      <c r="U65">
        <v>60</v>
      </c>
      <c r="V65">
        <v>950</v>
      </c>
      <c r="W65">
        <v>80</v>
      </c>
      <c r="X65">
        <v>190</v>
      </c>
      <c r="Y65">
        <v>60</v>
      </c>
      <c r="Z65">
        <v>250</v>
      </c>
      <c r="AA65">
        <v>700</v>
      </c>
      <c r="AB65" t="s">
        <v>118</v>
      </c>
      <c r="AC65" t="b">
        <v>1</v>
      </c>
      <c r="AD65">
        <v>45601</v>
      </c>
      <c r="AE65" t="b">
        <v>0</v>
      </c>
      <c r="AF65" t="b">
        <v>0</v>
      </c>
      <c r="AG65" t="b">
        <v>1</v>
      </c>
      <c r="AH65" t="b">
        <v>0</v>
      </c>
      <c r="AJ65">
        <v>3</v>
      </c>
      <c r="AK65" t="s">
        <v>836</v>
      </c>
      <c r="AL65">
        <v>86</v>
      </c>
      <c r="AM65" t="s">
        <v>61</v>
      </c>
      <c r="AN65" t="s">
        <v>837</v>
      </c>
    </row>
    <row r="66" spans="1:40" ht="15">
      <c r="A66" t="s">
        <v>838</v>
      </c>
      <c r="B66" t="s">
        <v>476</v>
      </c>
      <c r="C66" t="s">
        <v>839</v>
      </c>
      <c r="D66">
        <v>33055</v>
      </c>
      <c r="E66" t="s">
        <v>67</v>
      </c>
      <c r="F66" t="s">
        <v>840</v>
      </c>
      <c r="G66" t="s">
        <v>69</v>
      </c>
      <c r="H66" t="s">
        <v>841</v>
      </c>
      <c r="I66">
        <v>45630</v>
      </c>
      <c r="J66">
        <v>0.35416666666666669</v>
      </c>
      <c r="K66" t="s">
        <v>111</v>
      </c>
      <c r="L66" t="s">
        <v>213</v>
      </c>
      <c r="M66" t="s">
        <v>214</v>
      </c>
      <c r="N66" t="s">
        <v>842</v>
      </c>
      <c r="O66" t="s">
        <v>843</v>
      </c>
      <c r="P66">
        <v>99203</v>
      </c>
      <c r="Q66" t="s">
        <v>398</v>
      </c>
      <c r="R66" t="s">
        <v>844</v>
      </c>
      <c r="S66" t="s">
        <v>218</v>
      </c>
      <c r="T66" t="s">
        <v>57</v>
      </c>
      <c r="U66">
        <v>50</v>
      </c>
      <c r="V66">
        <v>380</v>
      </c>
      <c r="W66">
        <v>70</v>
      </c>
      <c r="X66">
        <v>114</v>
      </c>
      <c r="Y66">
        <v>55</v>
      </c>
      <c r="Z66">
        <v>169</v>
      </c>
      <c r="AA66">
        <v>211</v>
      </c>
      <c r="AB66" t="s">
        <v>80</v>
      </c>
      <c r="AC66" t="b">
        <v>1</v>
      </c>
      <c r="AD66" t="s">
        <v>651</v>
      </c>
      <c r="AE66" t="b">
        <v>0</v>
      </c>
      <c r="AF66" t="b">
        <v>1</v>
      </c>
      <c r="AG66" t="b">
        <v>0</v>
      </c>
      <c r="AH66" t="b">
        <v>0</v>
      </c>
      <c r="AJ66">
        <v>4</v>
      </c>
      <c r="AK66" t="s">
        <v>845</v>
      </c>
      <c r="AL66">
        <v>90</v>
      </c>
      <c r="AM66" t="s">
        <v>61</v>
      </c>
      <c r="AN66" t="s">
        <v>846</v>
      </c>
    </row>
    <row r="67" spans="1:40" ht="15">
      <c r="A67" t="s">
        <v>847</v>
      </c>
      <c r="B67" t="s">
        <v>848</v>
      </c>
      <c r="C67" t="s">
        <v>849</v>
      </c>
      <c r="D67" t="s">
        <v>850</v>
      </c>
      <c r="E67" t="s">
        <v>45</v>
      </c>
      <c r="F67" t="s">
        <v>851</v>
      </c>
      <c r="G67" t="s">
        <v>47</v>
      </c>
      <c r="H67" t="s">
        <v>852</v>
      </c>
      <c r="I67" t="s">
        <v>853</v>
      </c>
      <c r="J67">
        <v>0.51041666666666663</v>
      </c>
      <c r="K67" t="s">
        <v>180</v>
      </c>
      <c r="L67" t="s">
        <v>181</v>
      </c>
      <c r="M67" t="s">
        <v>182</v>
      </c>
      <c r="N67" t="s">
        <v>854</v>
      </c>
      <c r="O67" t="s">
        <v>855</v>
      </c>
      <c r="P67">
        <v>99212</v>
      </c>
      <c r="Q67" t="s">
        <v>116</v>
      </c>
      <c r="R67" t="s">
        <v>856</v>
      </c>
      <c r="S67" t="s">
        <v>57</v>
      </c>
      <c r="T67" t="s">
        <v>57</v>
      </c>
      <c r="U67">
        <v>20</v>
      </c>
      <c r="V67">
        <v>140</v>
      </c>
      <c r="W67">
        <v>90</v>
      </c>
      <c r="X67">
        <v>14</v>
      </c>
      <c r="Y67">
        <v>10</v>
      </c>
      <c r="Z67">
        <v>24</v>
      </c>
      <c r="AA67">
        <v>116</v>
      </c>
      <c r="AB67" t="s">
        <v>80</v>
      </c>
      <c r="AC67" t="b">
        <v>0</v>
      </c>
      <c r="AE67" t="b">
        <v>0</v>
      </c>
      <c r="AF67" t="b">
        <v>0</v>
      </c>
      <c r="AG67" t="b">
        <v>0</v>
      </c>
      <c r="AH67" t="b">
        <v>0</v>
      </c>
      <c r="AJ67">
        <v>5</v>
      </c>
      <c r="AK67" t="s">
        <v>857</v>
      </c>
      <c r="AL67">
        <v>95</v>
      </c>
      <c r="AM67" t="s">
        <v>61</v>
      </c>
      <c r="AN67" t="s">
        <v>858</v>
      </c>
    </row>
    <row r="68" spans="1:40" ht="15">
      <c r="A68" t="s">
        <v>859</v>
      </c>
      <c r="B68" t="s">
        <v>294</v>
      </c>
      <c r="C68" t="s">
        <v>779</v>
      </c>
      <c r="D68" t="s">
        <v>860</v>
      </c>
      <c r="E68" t="s">
        <v>67</v>
      </c>
      <c r="F68" t="s">
        <v>861</v>
      </c>
      <c r="G68" t="s">
        <v>127</v>
      </c>
      <c r="H68" t="s">
        <v>862</v>
      </c>
      <c r="I68" t="s">
        <v>863</v>
      </c>
      <c r="J68">
        <v>0.70833333333333337</v>
      </c>
      <c r="K68" t="s">
        <v>72</v>
      </c>
      <c r="L68" t="s">
        <v>228</v>
      </c>
      <c r="M68" t="s">
        <v>229</v>
      </c>
      <c r="N68" t="s">
        <v>230</v>
      </c>
      <c r="O68" t="s">
        <v>231</v>
      </c>
      <c r="P68">
        <v>99215</v>
      </c>
      <c r="Q68" t="s">
        <v>864</v>
      </c>
      <c r="R68" t="s">
        <v>233</v>
      </c>
      <c r="S68" t="s">
        <v>57</v>
      </c>
      <c r="T68" t="s">
        <v>57</v>
      </c>
      <c r="U68">
        <v>60</v>
      </c>
      <c r="V68">
        <v>520</v>
      </c>
      <c r="W68">
        <v>100</v>
      </c>
      <c r="X68">
        <v>0</v>
      </c>
      <c r="Y68">
        <v>0</v>
      </c>
      <c r="Z68">
        <v>0</v>
      </c>
      <c r="AA68">
        <v>520</v>
      </c>
      <c r="AB68" t="s">
        <v>127</v>
      </c>
      <c r="AC68" t="b">
        <v>1</v>
      </c>
      <c r="AD68" t="s">
        <v>865</v>
      </c>
      <c r="AE68" t="b">
        <v>0</v>
      </c>
      <c r="AF68" t="b">
        <v>0</v>
      </c>
      <c r="AG68" t="b">
        <v>0</v>
      </c>
      <c r="AH68" t="b">
        <v>0</v>
      </c>
      <c r="AJ68">
        <v>4</v>
      </c>
      <c r="AK68" t="s">
        <v>866</v>
      </c>
      <c r="AL68">
        <v>96</v>
      </c>
      <c r="AM68" t="s">
        <v>61</v>
      </c>
      <c r="AN68" t="s">
        <v>867</v>
      </c>
    </row>
    <row r="69" spans="1:40" ht="15">
      <c r="A69" t="s">
        <v>868</v>
      </c>
      <c r="B69" t="s">
        <v>869</v>
      </c>
      <c r="C69" t="s">
        <v>870</v>
      </c>
      <c r="D69">
        <v>23047</v>
      </c>
      <c r="E69" t="s">
        <v>45</v>
      </c>
      <c r="F69" t="s">
        <v>871</v>
      </c>
      <c r="G69" t="s">
        <v>89</v>
      </c>
      <c r="H69" t="s">
        <v>872</v>
      </c>
      <c r="I69" t="s">
        <v>873</v>
      </c>
      <c r="J69">
        <v>0.39583333333333331</v>
      </c>
      <c r="K69" t="s">
        <v>144</v>
      </c>
      <c r="L69" t="s">
        <v>286</v>
      </c>
      <c r="M69" t="s">
        <v>287</v>
      </c>
      <c r="N69" t="s">
        <v>288</v>
      </c>
      <c r="O69" t="s">
        <v>289</v>
      </c>
      <c r="P69">
        <v>99221</v>
      </c>
      <c r="Q69" t="s">
        <v>290</v>
      </c>
      <c r="R69" t="s">
        <v>57</v>
      </c>
      <c r="S69" t="s">
        <v>57</v>
      </c>
      <c r="T69">
        <v>66984</v>
      </c>
      <c r="U69">
        <v>80</v>
      </c>
      <c r="V69">
        <v>3550</v>
      </c>
      <c r="W69">
        <v>80</v>
      </c>
      <c r="X69">
        <v>710</v>
      </c>
      <c r="Y69">
        <v>200</v>
      </c>
      <c r="Z69">
        <v>910</v>
      </c>
      <c r="AA69">
        <v>2640</v>
      </c>
      <c r="AB69" t="s">
        <v>80</v>
      </c>
      <c r="AC69" t="b">
        <v>1</v>
      </c>
      <c r="AD69">
        <v>45296</v>
      </c>
      <c r="AE69" t="b">
        <v>0</v>
      </c>
      <c r="AF69" t="b">
        <v>1</v>
      </c>
      <c r="AG69" t="b">
        <v>1</v>
      </c>
      <c r="AH69" t="b">
        <v>0</v>
      </c>
      <c r="AJ69">
        <v>5</v>
      </c>
      <c r="AK69" t="s">
        <v>874</v>
      </c>
      <c r="AL69">
        <v>91</v>
      </c>
      <c r="AM69" t="s">
        <v>172</v>
      </c>
      <c r="AN69" t="s">
        <v>875</v>
      </c>
    </row>
    <row r="70" spans="1:40" ht="15">
      <c r="A70" t="s">
        <v>876</v>
      </c>
      <c r="B70" t="s">
        <v>877</v>
      </c>
      <c r="C70" t="s">
        <v>878</v>
      </c>
      <c r="D70" t="s">
        <v>879</v>
      </c>
      <c r="E70" t="s">
        <v>67</v>
      </c>
      <c r="F70" t="s">
        <v>880</v>
      </c>
      <c r="G70" t="s">
        <v>69</v>
      </c>
      <c r="H70" t="s">
        <v>881</v>
      </c>
      <c r="I70" t="s">
        <v>639</v>
      </c>
      <c r="J70">
        <v>0.61458333333333337</v>
      </c>
      <c r="K70" t="s">
        <v>92</v>
      </c>
      <c r="L70" t="s">
        <v>346</v>
      </c>
      <c r="M70" t="s">
        <v>347</v>
      </c>
      <c r="N70" t="s">
        <v>348</v>
      </c>
      <c r="O70" t="s">
        <v>349</v>
      </c>
      <c r="P70">
        <v>99203</v>
      </c>
      <c r="Q70" t="s">
        <v>882</v>
      </c>
      <c r="R70" t="s">
        <v>351</v>
      </c>
      <c r="S70" t="s">
        <v>57</v>
      </c>
      <c r="T70" t="s">
        <v>57</v>
      </c>
      <c r="U70">
        <v>35</v>
      </c>
      <c r="V70">
        <v>210</v>
      </c>
      <c r="W70">
        <v>75</v>
      </c>
      <c r="X70">
        <v>52.5</v>
      </c>
      <c r="Y70">
        <v>35</v>
      </c>
      <c r="Z70">
        <v>87.5</v>
      </c>
      <c r="AA70">
        <v>122.5</v>
      </c>
      <c r="AB70" t="s">
        <v>58</v>
      </c>
      <c r="AC70" t="b">
        <v>1</v>
      </c>
      <c r="AD70" t="s">
        <v>883</v>
      </c>
      <c r="AE70" t="b">
        <v>0</v>
      </c>
      <c r="AF70" t="b">
        <v>0</v>
      </c>
      <c r="AG70" t="b">
        <v>1</v>
      </c>
      <c r="AH70" t="b">
        <v>0</v>
      </c>
      <c r="AJ70">
        <v>4</v>
      </c>
      <c r="AK70" t="s">
        <v>884</v>
      </c>
      <c r="AL70">
        <v>89</v>
      </c>
      <c r="AM70" t="s">
        <v>61</v>
      </c>
      <c r="AN70" t="s">
        <v>885</v>
      </c>
    </row>
    <row r="71" spans="1:40" ht="15">
      <c r="A71" t="s">
        <v>886</v>
      </c>
      <c r="B71" t="s">
        <v>800</v>
      </c>
      <c r="C71" t="s">
        <v>887</v>
      </c>
      <c r="D71">
        <v>29107</v>
      </c>
      <c r="E71" t="s">
        <v>45</v>
      </c>
      <c r="F71" t="s">
        <v>888</v>
      </c>
      <c r="G71" t="s">
        <v>47</v>
      </c>
      <c r="H71" t="s">
        <v>889</v>
      </c>
      <c r="I71" t="s">
        <v>651</v>
      </c>
      <c r="J71">
        <v>0.45833333333333331</v>
      </c>
      <c r="K71" t="s">
        <v>50</v>
      </c>
      <c r="L71" t="s">
        <v>309</v>
      </c>
      <c r="M71" t="s">
        <v>310</v>
      </c>
      <c r="N71" t="s">
        <v>311</v>
      </c>
      <c r="O71" t="s">
        <v>312</v>
      </c>
      <c r="P71">
        <v>99214</v>
      </c>
      <c r="Q71" t="s">
        <v>313</v>
      </c>
      <c r="R71" t="s">
        <v>233</v>
      </c>
      <c r="S71" t="s">
        <v>57</v>
      </c>
      <c r="T71" t="s">
        <v>57</v>
      </c>
      <c r="U71">
        <v>30</v>
      </c>
      <c r="V71">
        <v>200</v>
      </c>
      <c r="W71">
        <v>80</v>
      </c>
      <c r="X71">
        <v>40</v>
      </c>
      <c r="Y71">
        <v>25</v>
      </c>
      <c r="Z71">
        <v>65</v>
      </c>
      <c r="AA71">
        <v>135</v>
      </c>
      <c r="AB71" t="s">
        <v>118</v>
      </c>
      <c r="AC71" t="b">
        <v>0</v>
      </c>
      <c r="AE71" t="b">
        <v>0</v>
      </c>
      <c r="AF71" t="b">
        <v>0</v>
      </c>
      <c r="AG71" t="b">
        <v>0</v>
      </c>
      <c r="AH71" t="b">
        <v>0</v>
      </c>
      <c r="AJ71">
        <v>4</v>
      </c>
      <c r="AK71" t="s">
        <v>890</v>
      </c>
      <c r="AL71">
        <v>93</v>
      </c>
      <c r="AM71" t="s">
        <v>61</v>
      </c>
      <c r="AN71" t="s">
        <v>891</v>
      </c>
    </row>
    <row r="72" spans="1:40" ht="15">
      <c r="A72" t="s">
        <v>892</v>
      </c>
      <c r="B72" t="s">
        <v>893</v>
      </c>
      <c r="C72" t="s">
        <v>894</v>
      </c>
      <c r="D72" t="s">
        <v>895</v>
      </c>
      <c r="E72" t="s">
        <v>67</v>
      </c>
      <c r="F72" t="s">
        <v>896</v>
      </c>
      <c r="G72" t="s">
        <v>69</v>
      </c>
      <c r="H72" t="s">
        <v>897</v>
      </c>
      <c r="I72" t="s">
        <v>687</v>
      </c>
      <c r="J72">
        <v>0.6875</v>
      </c>
      <c r="K72" t="s">
        <v>111</v>
      </c>
      <c r="L72" t="s">
        <v>73</v>
      </c>
      <c r="M72" t="s">
        <v>74</v>
      </c>
      <c r="N72" t="s">
        <v>898</v>
      </c>
      <c r="O72" t="s">
        <v>899</v>
      </c>
      <c r="P72">
        <v>99203</v>
      </c>
      <c r="Q72" t="s">
        <v>900</v>
      </c>
      <c r="R72" t="s">
        <v>361</v>
      </c>
      <c r="S72" t="s">
        <v>57</v>
      </c>
      <c r="T72" t="s">
        <v>57</v>
      </c>
      <c r="U72">
        <v>45</v>
      </c>
      <c r="V72">
        <v>340</v>
      </c>
      <c r="W72">
        <v>70</v>
      </c>
      <c r="X72">
        <v>102</v>
      </c>
      <c r="Y72">
        <v>50</v>
      </c>
      <c r="Z72">
        <v>152</v>
      </c>
      <c r="AA72">
        <v>188</v>
      </c>
      <c r="AB72" t="s">
        <v>80</v>
      </c>
      <c r="AC72" t="b">
        <v>1</v>
      </c>
      <c r="AD72" t="s">
        <v>901</v>
      </c>
      <c r="AE72" t="b">
        <v>0</v>
      </c>
      <c r="AF72" t="b">
        <v>1</v>
      </c>
      <c r="AG72" t="b">
        <v>0</v>
      </c>
      <c r="AH72" t="b">
        <v>0</v>
      </c>
      <c r="AJ72">
        <v>3</v>
      </c>
      <c r="AK72" t="s">
        <v>902</v>
      </c>
      <c r="AL72">
        <v>87</v>
      </c>
      <c r="AM72" t="s">
        <v>61</v>
      </c>
      <c r="AN72" t="s">
        <v>903</v>
      </c>
    </row>
    <row r="73" spans="1:40" ht="15">
      <c r="A73" t="s">
        <v>904</v>
      </c>
      <c r="B73" t="s">
        <v>905</v>
      </c>
      <c r="C73" t="s">
        <v>906</v>
      </c>
      <c r="D73">
        <v>21894</v>
      </c>
      <c r="E73" t="s">
        <v>45</v>
      </c>
      <c r="F73" t="s">
        <v>907</v>
      </c>
      <c r="G73" t="s">
        <v>127</v>
      </c>
      <c r="H73" t="s">
        <v>908</v>
      </c>
      <c r="I73" t="s">
        <v>813</v>
      </c>
      <c r="J73">
        <v>0.34375</v>
      </c>
      <c r="K73" t="s">
        <v>72</v>
      </c>
      <c r="L73" t="s">
        <v>321</v>
      </c>
      <c r="M73" t="s">
        <v>322</v>
      </c>
      <c r="N73" t="s">
        <v>909</v>
      </c>
      <c r="O73" t="s">
        <v>910</v>
      </c>
      <c r="P73">
        <v>99214</v>
      </c>
      <c r="Q73" t="s">
        <v>911</v>
      </c>
      <c r="R73" t="s">
        <v>57</v>
      </c>
      <c r="S73" t="s">
        <v>57</v>
      </c>
      <c r="T73" t="s">
        <v>57</v>
      </c>
      <c r="U73">
        <v>50</v>
      </c>
      <c r="V73">
        <v>255</v>
      </c>
      <c r="W73">
        <v>100</v>
      </c>
      <c r="X73">
        <v>0</v>
      </c>
      <c r="Y73">
        <v>0</v>
      </c>
      <c r="Z73">
        <v>0</v>
      </c>
      <c r="AA73">
        <v>255</v>
      </c>
      <c r="AB73" t="s">
        <v>127</v>
      </c>
      <c r="AC73" t="b">
        <v>0</v>
      </c>
      <c r="AE73" t="b">
        <v>0</v>
      </c>
      <c r="AF73" t="b">
        <v>0</v>
      </c>
      <c r="AG73" t="b">
        <v>0</v>
      </c>
      <c r="AH73" t="b">
        <v>1</v>
      </c>
      <c r="AI73" t="s">
        <v>912</v>
      </c>
      <c r="AJ73">
        <v>3</v>
      </c>
      <c r="AK73" t="s">
        <v>913</v>
      </c>
      <c r="AL73">
        <v>92</v>
      </c>
      <c r="AM73" t="s">
        <v>172</v>
      </c>
      <c r="AN73" t="s">
        <v>914</v>
      </c>
    </row>
    <row r="74" spans="1:40" ht="15">
      <c r="A74" t="s">
        <v>915</v>
      </c>
      <c r="B74" t="s">
        <v>916</v>
      </c>
      <c r="C74" t="s">
        <v>917</v>
      </c>
      <c r="D74" t="s">
        <v>918</v>
      </c>
      <c r="E74" t="s">
        <v>67</v>
      </c>
      <c r="F74" t="s">
        <v>919</v>
      </c>
      <c r="G74" t="s">
        <v>47</v>
      </c>
      <c r="H74" t="s">
        <v>920</v>
      </c>
      <c r="I74" t="s">
        <v>921</v>
      </c>
      <c r="J74">
        <v>0.53125</v>
      </c>
      <c r="K74" t="s">
        <v>92</v>
      </c>
      <c r="L74" t="s">
        <v>245</v>
      </c>
      <c r="M74" t="s">
        <v>246</v>
      </c>
      <c r="N74" t="s">
        <v>922</v>
      </c>
      <c r="O74" t="s">
        <v>923</v>
      </c>
      <c r="P74">
        <v>99204</v>
      </c>
      <c r="Q74" t="s">
        <v>924</v>
      </c>
      <c r="R74" t="s">
        <v>57</v>
      </c>
      <c r="S74" t="s">
        <v>57</v>
      </c>
      <c r="T74" t="s">
        <v>57</v>
      </c>
      <c r="U74">
        <v>40</v>
      </c>
      <c r="V74">
        <v>290</v>
      </c>
      <c r="W74">
        <v>85</v>
      </c>
      <c r="X74">
        <v>43.5</v>
      </c>
      <c r="Y74">
        <v>30</v>
      </c>
      <c r="Z74">
        <v>73.5</v>
      </c>
      <c r="AA74">
        <v>216.5</v>
      </c>
      <c r="AB74" t="s">
        <v>58</v>
      </c>
      <c r="AC74" t="b">
        <v>1</v>
      </c>
      <c r="AD74" t="s">
        <v>925</v>
      </c>
      <c r="AE74" t="b">
        <v>0</v>
      </c>
      <c r="AF74" t="b">
        <v>0</v>
      </c>
      <c r="AG74" t="b">
        <v>1</v>
      </c>
      <c r="AH74" t="b">
        <v>0</v>
      </c>
      <c r="AJ74">
        <v>4</v>
      </c>
      <c r="AK74" t="s">
        <v>926</v>
      </c>
      <c r="AL74">
        <v>90</v>
      </c>
      <c r="AM74" t="s">
        <v>61</v>
      </c>
      <c r="AN74" t="s">
        <v>927</v>
      </c>
    </row>
    <row r="75" spans="1:40" ht="15">
      <c r="A75" t="s">
        <v>928</v>
      </c>
      <c r="B75" t="s">
        <v>929</v>
      </c>
      <c r="C75" t="s">
        <v>930</v>
      </c>
      <c r="D75">
        <v>24691</v>
      </c>
      <c r="E75" t="s">
        <v>45</v>
      </c>
      <c r="F75" t="s">
        <v>931</v>
      </c>
      <c r="G75" t="s">
        <v>89</v>
      </c>
      <c r="H75" t="s">
        <v>932</v>
      </c>
      <c r="I75" t="s">
        <v>933</v>
      </c>
      <c r="J75">
        <v>0.625</v>
      </c>
      <c r="K75" t="s">
        <v>144</v>
      </c>
      <c r="L75" t="s">
        <v>93</v>
      </c>
      <c r="M75" t="s">
        <v>94</v>
      </c>
      <c r="N75" t="s">
        <v>934</v>
      </c>
      <c r="O75" t="s">
        <v>935</v>
      </c>
      <c r="P75">
        <v>99222</v>
      </c>
      <c r="Q75" t="s">
        <v>936</v>
      </c>
      <c r="R75" t="s">
        <v>57</v>
      </c>
      <c r="S75" t="s">
        <v>937</v>
      </c>
      <c r="T75">
        <v>29827</v>
      </c>
      <c r="U75">
        <v>90</v>
      </c>
      <c r="V75">
        <v>8200</v>
      </c>
      <c r="W75">
        <v>80</v>
      </c>
      <c r="X75">
        <v>1640</v>
      </c>
      <c r="Y75">
        <v>400</v>
      </c>
      <c r="Z75">
        <v>2040</v>
      </c>
      <c r="AA75">
        <v>6160</v>
      </c>
      <c r="AB75" t="s">
        <v>80</v>
      </c>
      <c r="AC75" t="b">
        <v>1</v>
      </c>
      <c r="AD75">
        <v>45540</v>
      </c>
      <c r="AE75" t="b">
        <v>0</v>
      </c>
      <c r="AF75" t="b">
        <v>1</v>
      </c>
      <c r="AG75" t="b">
        <v>1</v>
      </c>
      <c r="AH75" t="b">
        <v>0</v>
      </c>
      <c r="AJ75">
        <v>5</v>
      </c>
      <c r="AK75" t="s">
        <v>938</v>
      </c>
      <c r="AL75">
        <v>85</v>
      </c>
      <c r="AM75" t="s">
        <v>172</v>
      </c>
      <c r="AN75" t="s">
        <v>939</v>
      </c>
    </row>
    <row r="76" spans="1:40" ht="15">
      <c r="A76" t="s">
        <v>940</v>
      </c>
      <c r="B76" t="s">
        <v>941</v>
      </c>
      <c r="C76" t="s">
        <v>942</v>
      </c>
      <c r="D76">
        <v>30387</v>
      </c>
      <c r="E76" t="s">
        <v>67</v>
      </c>
      <c r="F76" t="s">
        <v>943</v>
      </c>
      <c r="G76" t="s">
        <v>69</v>
      </c>
      <c r="H76" t="s">
        <v>944</v>
      </c>
      <c r="I76" t="s">
        <v>945</v>
      </c>
      <c r="J76">
        <v>0.39583333333333331</v>
      </c>
      <c r="K76" t="s">
        <v>180</v>
      </c>
      <c r="L76" t="s">
        <v>181</v>
      </c>
      <c r="M76" t="s">
        <v>182</v>
      </c>
      <c r="N76" t="s">
        <v>946</v>
      </c>
      <c r="O76" t="s">
        <v>947</v>
      </c>
      <c r="P76">
        <v>99211</v>
      </c>
      <c r="Q76" t="s">
        <v>948</v>
      </c>
      <c r="R76" t="s">
        <v>57</v>
      </c>
      <c r="S76" t="s">
        <v>57</v>
      </c>
      <c r="T76" t="s">
        <v>57</v>
      </c>
      <c r="U76">
        <v>20</v>
      </c>
      <c r="V76">
        <v>125</v>
      </c>
      <c r="W76">
        <v>100</v>
      </c>
      <c r="X76">
        <v>0</v>
      </c>
      <c r="Y76">
        <v>0</v>
      </c>
      <c r="Z76">
        <v>0</v>
      </c>
      <c r="AA76">
        <v>125</v>
      </c>
      <c r="AB76" t="s">
        <v>69</v>
      </c>
      <c r="AC76" t="b">
        <v>0</v>
      </c>
      <c r="AE76" t="b">
        <v>0</v>
      </c>
      <c r="AF76" t="b">
        <v>0</v>
      </c>
      <c r="AG76" t="b">
        <v>0</v>
      </c>
      <c r="AH76" t="b">
        <v>0</v>
      </c>
      <c r="AJ76">
        <v>5</v>
      </c>
      <c r="AK76" t="s">
        <v>949</v>
      </c>
      <c r="AL76">
        <v>97</v>
      </c>
      <c r="AM76" t="s">
        <v>61</v>
      </c>
      <c r="AN76" t="s">
        <v>950</v>
      </c>
    </row>
    <row r="77" spans="1:40" ht="15">
      <c r="A77" t="s">
        <v>951</v>
      </c>
      <c r="B77" t="s">
        <v>952</v>
      </c>
      <c r="C77" t="s">
        <v>953</v>
      </c>
      <c r="D77" t="s">
        <v>954</v>
      </c>
      <c r="E77" t="s">
        <v>45</v>
      </c>
      <c r="F77" t="s">
        <v>955</v>
      </c>
      <c r="G77" t="s">
        <v>47</v>
      </c>
      <c r="H77" t="s">
        <v>956</v>
      </c>
      <c r="I77" t="s">
        <v>901</v>
      </c>
      <c r="J77">
        <v>0.59375</v>
      </c>
      <c r="K77" t="s">
        <v>50</v>
      </c>
      <c r="L77" t="s">
        <v>130</v>
      </c>
      <c r="M77" t="s">
        <v>131</v>
      </c>
      <c r="N77" t="s">
        <v>957</v>
      </c>
      <c r="O77" t="s">
        <v>958</v>
      </c>
      <c r="P77">
        <v>99215</v>
      </c>
      <c r="Q77" t="s">
        <v>959</v>
      </c>
      <c r="R77" t="s">
        <v>960</v>
      </c>
      <c r="S77" t="s">
        <v>57</v>
      </c>
      <c r="T77" t="s">
        <v>57</v>
      </c>
      <c r="U77">
        <v>55</v>
      </c>
      <c r="V77">
        <v>450</v>
      </c>
      <c r="W77">
        <v>80</v>
      </c>
      <c r="X77">
        <v>90</v>
      </c>
      <c r="Y77">
        <v>50</v>
      </c>
      <c r="Z77">
        <v>140</v>
      </c>
      <c r="AA77">
        <v>310</v>
      </c>
      <c r="AB77" t="s">
        <v>118</v>
      </c>
      <c r="AC77" t="b">
        <v>1</v>
      </c>
      <c r="AD77" t="s">
        <v>961</v>
      </c>
      <c r="AE77" t="b">
        <v>0</v>
      </c>
      <c r="AF77" t="b">
        <v>0</v>
      </c>
      <c r="AG77" t="b">
        <v>0</v>
      </c>
      <c r="AH77" t="b">
        <v>0</v>
      </c>
      <c r="AJ77">
        <v>4</v>
      </c>
      <c r="AK77" t="s">
        <v>962</v>
      </c>
      <c r="AL77">
        <v>94</v>
      </c>
      <c r="AM77" t="s">
        <v>61</v>
      </c>
      <c r="AN77" t="s">
        <v>963</v>
      </c>
    </row>
    <row r="78" spans="1:40" ht="15">
      <c r="A78" t="s">
        <v>964</v>
      </c>
      <c r="B78" t="s">
        <v>965</v>
      </c>
      <c r="C78" t="s">
        <v>966</v>
      </c>
      <c r="D78" t="s">
        <v>967</v>
      </c>
      <c r="E78" t="s">
        <v>67</v>
      </c>
      <c r="F78" t="s">
        <v>968</v>
      </c>
      <c r="G78" t="s">
        <v>127</v>
      </c>
      <c r="H78" t="s">
        <v>969</v>
      </c>
      <c r="I78" t="s">
        <v>970</v>
      </c>
      <c r="J78">
        <v>0.41666666666666669</v>
      </c>
      <c r="K78" t="s">
        <v>72</v>
      </c>
      <c r="L78" t="s">
        <v>162</v>
      </c>
      <c r="M78" t="s">
        <v>163</v>
      </c>
      <c r="N78" t="s">
        <v>164</v>
      </c>
      <c r="O78" t="s">
        <v>165</v>
      </c>
      <c r="P78">
        <v>99213</v>
      </c>
      <c r="Q78" t="s">
        <v>971</v>
      </c>
      <c r="R78" t="s">
        <v>167</v>
      </c>
      <c r="S78" t="s">
        <v>57</v>
      </c>
      <c r="T78" t="s">
        <v>57</v>
      </c>
      <c r="U78">
        <v>35</v>
      </c>
      <c r="V78">
        <v>210</v>
      </c>
      <c r="W78">
        <v>100</v>
      </c>
      <c r="X78">
        <v>0</v>
      </c>
      <c r="Y78">
        <v>0</v>
      </c>
      <c r="Z78">
        <v>0</v>
      </c>
      <c r="AA78">
        <v>210</v>
      </c>
      <c r="AB78" t="s">
        <v>127</v>
      </c>
      <c r="AC78" t="b">
        <v>0</v>
      </c>
      <c r="AE78" t="b">
        <v>0</v>
      </c>
      <c r="AF78" t="b">
        <v>0</v>
      </c>
      <c r="AG78" t="b">
        <v>0</v>
      </c>
      <c r="AH78" t="b">
        <v>0</v>
      </c>
      <c r="AJ78">
        <v>4</v>
      </c>
      <c r="AK78" t="s">
        <v>972</v>
      </c>
      <c r="AL78">
        <v>95</v>
      </c>
      <c r="AM78" t="s">
        <v>61</v>
      </c>
      <c r="AN78" t="s">
        <v>973</v>
      </c>
    </row>
    <row r="79" spans="1:40" ht="15">
      <c r="A79" t="s">
        <v>974</v>
      </c>
      <c r="B79" t="s">
        <v>975</v>
      </c>
      <c r="C79" t="s">
        <v>976</v>
      </c>
      <c r="D79" t="s">
        <v>977</v>
      </c>
      <c r="E79" t="s">
        <v>45</v>
      </c>
      <c r="F79" t="s">
        <v>978</v>
      </c>
      <c r="G79" t="s">
        <v>47</v>
      </c>
      <c r="H79" t="s">
        <v>979</v>
      </c>
      <c r="I79">
        <v>45296</v>
      </c>
      <c r="J79">
        <v>0.5625</v>
      </c>
      <c r="K79" t="s">
        <v>111</v>
      </c>
      <c r="L79" t="s">
        <v>258</v>
      </c>
      <c r="M79" t="s">
        <v>259</v>
      </c>
      <c r="N79" t="s">
        <v>980</v>
      </c>
      <c r="O79" t="s">
        <v>981</v>
      </c>
      <c r="P79">
        <v>99203</v>
      </c>
      <c r="Q79" t="s">
        <v>982</v>
      </c>
      <c r="R79" t="s">
        <v>983</v>
      </c>
      <c r="S79" t="s">
        <v>150</v>
      </c>
      <c r="T79" t="s">
        <v>57</v>
      </c>
      <c r="U79">
        <v>75</v>
      </c>
      <c r="V79">
        <v>680</v>
      </c>
      <c r="W79">
        <v>70</v>
      </c>
      <c r="X79">
        <v>204</v>
      </c>
      <c r="Y79">
        <v>80</v>
      </c>
      <c r="Z79">
        <v>284</v>
      </c>
      <c r="AA79">
        <v>396</v>
      </c>
      <c r="AB79" t="s">
        <v>80</v>
      </c>
      <c r="AC79" t="b">
        <v>1</v>
      </c>
      <c r="AD79">
        <v>45509</v>
      </c>
      <c r="AE79" t="b">
        <v>0</v>
      </c>
      <c r="AF79" t="b">
        <v>1</v>
      </c>
      <c r="AG79" t="b">
        <v>0</v>
      </c>
      <c r="AH79" t="b">
        <v>0</v>
      </c>
      <c r="AJ79">
        <v>3</v>
      </c>
      <c r="AK79" t="s">
        <v>984</v>
      </c>
      <c r="AL79">
        <v>88</v>
      </c>
      <c r="AM79" t="s">
        <v>61</v>
      </c>
      <c r="AN79" t="s">
        <v>985</v>
      </c>
    </row>
    <row r="80" spans="1:40" ht="15">
      <c r="A80" t="s">
        <v>986</v>
      </c>
      <c r="B80" t="s">
        <v>987</v>
      </c>
      <c r="C80" t="s">
        <v>988</v>
      </c>
      <c r="D80">
        <v>35653</v>
      </c>
      <c r="E80" t="s">
        <v>67</v>
      </c>
      <c r="F80" t="s">
        <v>989</v>
      </c>
      <c r="G80" t="s">
        <v>69</v>
      </c>
      <c r="H80" t="s">
        <v>990</v>
      </c>
      <c r="I80">
        <v>45327</v>
      </c>
      <c r="J80">
        <v>0.36458333333333331</v>
      </c>
      <c r="K80" t="s">
        <v>92</v>
      </c>
      <c r="L80" t="s">
        <v>194</v>
      </c>
      <c r="M80" t="s">
        <v>195</v>
      </c>
      <c r="N80" t="s">
        <v>427</v>
      </c>
      <c r="O80" t="s">
        <v>428</v>
      </c>
      <c r="P80">
        <v>99204</v>
      </c>
      <c r="Q80" t="s">
        <v>429</v>
      </c>
      <c r="R80" t="s">
        <v>430</v>
      </c>
      <c r="S80" t="s">
        <v>57</v>
      </c>
      <c r="T80" t="s">
        <v>57</v>
      </c>
      <c r="U80">
        <v>50</v>
      </c>
      <c r="V80">
        <v>410</v>
      </c>
      <c r="W80">
        <v>75</v>
      </c>
      <c r="X80">
        <v>102.5</v>
      </c>
      <c r="Y80">
        <v>55</v>
      </c>
      <c r="Z80">
        <v>157.5</v>
      </c>
      <c r="AA80">
        <v>252.5</v>
      </c>
      <c r="AB80" t="s">
        <v>58</v>
      </c>
      <c r="AC80" t="b">
        <v>1</v>
      </c>
      <c r="AD80">
        <v>45328</v>
      </c>
      <c r="AE80" t="b">
        <v>0</v>
      </c>
      <c r="AF80" t="b">
        <v>0</v>
      </c>
      <c r="AG80" t="b">
        <v>1</v>
      </c>
      <c r="AH80" t="b">
        <v>0</v>
      </c>
      <c r="AJ80">
        <v>4</v>
      </c>
      <c r="AK80" t="s">
        <v>991</v>
      </c>
      <c r="AL80">
        <v>89</v>
      </c>
      <c r="AM80" t="s">
        <v>153</v>
      </c>
      <c r="AN80" t="s">
        <v>992</v>
      </c>
    </row>
    <row r="81" spans="1:40" ht="15">
      <c r="A81" t="s">
        <v>993</v>
      </c>
      <c r="B81" t="s">
        <v>994</v>
      </c>
      <c r="C81" t="s">
        <v>995</v>
      </c>
      <c r="D81" t="s">
        <v>996</v>
      </c>
      <c r="E81" t="s">
        <v>45</v>
      </c>
      <c r="F81" t="s">
        <v>997</v>
      </c>
      <c r="G81" t="s">
        <v>47</v>
      </c>
      <c r="H81" t="s">
        <v>998</v>
      </c>
      <c r="I81">
        <v>45356</v>
      </c>
      <c r="J81">
        <v>0.66666666666666663</v>
      </c>
      <c r="K81" t="s">
        <v>72</v>
      </c>
      <c r="L81" t="s">
        <v>73</v>
      </c>
      <c r="M81" t="s">
        <v>74</v>
      </c>
      <c r="N81" t="s">
        <v>53</v>
      </c>
      <c r="O81" t="s">
        <v>54</v>
      </c>
      <c r="P81">
        <v>99214</v>
      </c>
      <c r="Q81" t="s">
        <v>360</v>
      </c>
      <c r="R81" t="s">
        <v>57</v>
      </c>
      <c r="S81" t="s">
        <v>57</v>
      </c>
      <c r="T81" t="s">
        <v>57</v>
      </c>
      <c r="U81">
        <v>30</v>
      </c>
      <c r="V81">
        <v>185</v>
      </c>
      <c r="W81">
        <v>80</v>
      </c>
      <c r="X81">
        <v>37</v>
      </c>
      <c r="Y81">
        <v>25</v>
      </c>
      <c r="Z81">
        <v>62</v>
      </c>
      <c r="AA81">
        <v>123</v>
      </c>
      <c r="AB81" t="s">
        <v>80</v>
      </c>
      <c r="AC81" t="b">
        <v>0</v>
      </c>
      <c r="AE81" t="b">
        <v>0</v>
      </c>
      <c r="AF81" t="b">
        <v>0</v>
      </c>
      <c r="AG81" t="b">
        <v>0</v>
      </c>
      <c r="AH81" t="b">
        <v>0</v>
      </c>
      <c r="AJ81">
        <v>5</v>
      </c>
      <c r="AK81" t="s">
        <v>999</v>
      </c>
      <c r="AL81">
        <v>94</v>
      </c>
      <c r="AM81" t="s">
        <v>61</v>
      </c>
      <c r="AN81" t="s">
        <v>1000</v>
      </c>
    </row>
    <row r="82" spans="1:40" ht="15">
      <c r="A82" t="s">
        <v>1001</v>
      </c>
      <c r="B82" t="s">
        <v>317</v>
      </c>
      <c r="C82" t="s">
        <v>1002</v>
      </c>
      <c r="D82" t="s">
        <v>1003</v>
      </c>
      <c r="E82" t="s">
        <v>67</v>
      </c>
      <c r="F82" t="s">
        <v>1004</v>
      </c>
      <c r="G82" t="s">
        <v>47</v>
      </c>
      <c r="H82" t="s">
        <v>1005</v>
      </c>
      <c r="I82">
        <v>45448</v>
      </c>
      <c r="J82">
        <v>0.38541666666666669</v>
      </c>
      <c r="K82" t="s">
        <v>144</v>
      </c>
      <c r="L82" t="s">
        <v>145</v>
      </c>
      <c r="M82" t="s">
        <v>146</v>
      </c>
      <c r="N82" t="s">
        <v>371</v>
      </c>
      <c r="O82" t="s">
        <v>372</v>
      </c>
      <c r="P82">
        <v>99222</v>
      </c>
      <c r="Q82" t="s">
        <v>373</v>
      </c>
      <c r="R82" t="s">
        <v>57</v>
      </c>
      <c r="S82" t="s">
        <v>374</v>
      </c>
      <c r="T82">
        <v>47600</v>
      </c>
      <c r="U82">
        <v>90</v>
      </c>
      <c r="V82">
        <v>9500</v>
      </c>
      <c r="W82">
        <v>75</v>
      </c>
      <c r="X82">
        <v>2375</v>
      </c>
      <c r="Y82">
        <v>600</v>
      </c>
      <c r="Z82">
        <v>2975</v>
      </c>
      <c r="AA82">
        <v>6525</v>
      </c>
      <c r="AB82" t="s">
        <v>80</v>
      </c>
      <c r="AC82" t="b">
        <v>1</v>
      </c>
      <c r="AD82" t="s">
        <v>1006</v>
      </c>
      <c r="AE82" t="b">
        <v>0</v>
      </c>
      <c r="AF82" t="b">
        <v>1</v>
      </c>
      <c r="AG82" t="b">
        <v>1</v>
      </c>
      <c r="AH82" t="b">
        <v>0</v>
      </c>
      <c r="AJ82">
        <v>4</v>
      </c>
      <c r="AK82" t="s">
        <v>1007</v>
      </c>
      <c r="AL82">
        <v>86</v>
      </c>
      <c r="AM82" t="s">
        <v>153</v>
      </c>
      <c r="AN82" t="s">
        <v>1008</v>
      </c>
    </row>
    <row r="83" spans="1:40" ht="15">
      <c r="A83" t="s">
        <v>1009</v>
      </c>
      <c r="B83" t="s">
        <v>1010</v>
      </c>
      <c r="C83" t="s">
        <v>1011</v>
      </c>
      <c r="D83" t="s">
        <v>1012</v>
      </c>
      <c r="E83" t="s">
        <v>45</v>
      </c>
      <c r="F83" t="s">
        <v>1013</v>
      </c>
      <c r="G83" t="s">
        <v>89</v>
      </c>
      <c r="H83" t="s">
        <v>1014</v>
      </c>
      <c r="I83">
        <v>45478</v>
      </c>
      <c r="J83">
        <v>0.60416666666666663</v>
      </c>
      <c r="K83" t="s">
        <v>50</v>
      </c>
      <c r="L83" t="s">
        <v>273</v>
      </c>
      <c r="M83" t="s">
        <v>274</v>
      </c>
      <c r="N83" t="s">
        <v>95</v>
      </c>
      <c r="O83" t="s">
        <v>96</v>
      </c>
      <c r="P83">
        <v>99214</v>
      </c>
      <c r="Q83" t="s">
        <v>97</v>
      </c>
      <c r="R83" t="s">
        <v>57</v>
      </c>
      <c r="S83" t="s">
        <v>57</v>
      </c>
      <c r="T83" t="s">
        <v>57</v>
      </c>
      <c r="U83">
        <v>40</v>
      </c>
      <c r="V83">
        <v>270</v>
      </c>
      <c r="W83">
        <v>100</v>
      </c>
      <c r="X83">
        <v>0</v>
      </c>
      <c r="Y83">
        <v>0</v>
      </c>
      <c r="Z83">
        <v>0</v>
      </c>
      <c r="AA83">
        <v>270</v>
      </c>
      <c r="AB83" t="s">
        <v>89</v>
      </c>
      <c r="AC83" t="b">
        <v>1</v>
      </c>
      <c r="AD83">
        <v>45479</v>
      </c>
      <c r="AE83" t="b">
        <v>0</v>
      </c>
      <c r="AF83" t="b">
        <v>0</v>
      </c>
      <c r="AG83" t="b">
        <v>0</v>
      </c>
      <c r="AH83" t="b">
        <v>0</v>
      </c>
      <c r="AJ83">
        <v>5</v>
      </c>
      <c r="AK83" t="s">
        <v>1015</v>
      </c>
      <c r="AL83">
        <v>93</v>
      </c>
      <c r="AM83" t="s">
        <v>61</v>
      </c>
      <c r="AN83" t="s">
        <v>1016</v>
      </c>
    </row>
    <row r="84" spans="1:40" ht="15">
      <c r="A84" t="s">
        <v>1017</v>
      </c>
      <c r="B84" t="s">
        <v>1018</v>
      </c>
      <c r="C84" t="s">
        <v>1019</v>
      </c>
      <c r="D84">
        <v>33912</v>
      </c>
      <c r="E84" t="s">
        <v>67</v>
      </c>
      <c r="F84" t="s">
        <v>1020</v>
      </c>
      <c r="G84" t="s">
        <v>69</v>
      </c>
      <c r="H84" t="s">
        <v>1021</v>
      </c>
      <c r="I84">
        <v>45509</v>
      </c>
      <c r="J84">
        <v>0.45833333333333331</v>
      </c>
      <c r="K84" t="s">
        <v>92</v>
      </c>
      <c r="L84" t="s">
        <v>245</v>
      </c>
      <c r="M84" t="s">
        <v>246</v>
      </c>
      <c r="N84" t="s">
        <v>396</v>
      </c>
      <c r="O84" t="s">
        <v>397</v>
      </c>
      <c r="P84">
        <v>99203</v>
      </c>
      <c r="Q84" t="s">
        <v>1022</v>
      </c>
      <c r="R84" t="s">
        <v>57</v>
      </c>
      <c r="S84" t="s">
        <v>57</v>
      </c>
      <c r="T84" t="s">
        <v>57</v>
      </c>
      <c r="U84">
        <v>30</v>
      </c>
      <c r="V84">
        <v>220</v>
      </c>
      <c r="W84">
        <v>85</v>
      </c>
      <c r="X84">
        <v>33</v>
      </c>
      <c r="Y84">
        <v>25</v>
      </c>
      <c r="Z84">
        <v>58</v>
      </c>
      <c r="AA84">
        <v>162</v>
      </c>
      <c r="AB84" t="s">
        <v>118</v>
      </c>
      <c r="AC84" t="b">
        <v>1</v>
      </c>
      <c r="AD84">
        <v>45510</v>
      </c>
      <c r="AE84" t="b">
        <v>0</v>
      </c>
      <c r="AF84" t="b">
        <v>0</v>
      </c>
      <c r="AG84" t="b">
        <v>1</v>
      </c>
      <c r="AH84" t="b">
        <v>0</v>
      </c>
      <c r="AJ84">
        <v>3</v>
      </c>
      <c r="AK84" t="s">
        <v>1023</v>
      </c>
      <c r="AL84">
        <v>89</v>
      </c>
      <c r="AM84" t="s">
        <v>61</v>
      </c>
      <c r="AN84" t="s">
        <v>1024</v>
      </c>
    </row>
    <row r="85" spans="1:40" ht="15">
      <c r="A85" t="s">
        <v>1025</v>
      </c>
      <c r="B85" t="s">
        <v>1026</v>
      </c>
      <c r="C85" t="s">
        <v>1027</v>
      </c>
      <c r="D85">
        <v>25393</v>
      </c>
      <c r="E85" t="s">
        <v>45</v>
      </c>
      <c r="F85" t="s">
        <v>1028</v>
      </c>
      <c r="G85" t="s">
        <v>127</v>
      </c>
      <c r="H85" t="s">
        <v>1029</v>
      </c>
      <c r="I85">
        <v>45540</v>
      </c>
      <c r="J85">
        <v>0.36458333333333331</v>
      </c>
      <c r="K85" t="s">
        <v>111</v>
      </c>
      <c r="L85" t="s">
        <v>112</v>
      </c>
      <c r="M85" t="s">
        <v>113</v>
      </c>
      <c r="N85" t="s">
        <v>406</v>
      </c>
      <c r="O85" t="s">
        <v>407</v>
      </c>
      <c r="P85">
        <v>99291</v>
      </c>
      <c r="Q85" t="s">
        <v>1030</v>
      </c>
      <c r="R85" t="s">
        <v>117</v>
      </c>
      <c r="S85" t="s">
        <v>117</v>
      </c>
      <c r="T85" t="s">
        <v>57</v>
      </c>
      <c r="U85">
        <v>95</v>
      </c>
      <c r="V85">
        <v>600</v>
      </c>
      <c r="W85">
        <v>100</v>
      </c>
      <c r="X85">
        <v>0</v>
      </c>
      <c r="Y85">
        <v>0</v>
      </c>
      <c r="Z85">
        <v>0</v>
      </c>
      <c r="AA85">
        <v>600</v>
      </c>
      <c r="AB85" t="s">
        <v>127</v>
      </c>
      <c r="AC85" t="b">
        <v>1</v>
      </c>
      <c r="AD85" t="s">
        <v>865</v>
      </c>
      <c r="AE85" t="b">
        <v>0</v>
      </c>
      <c r="AF85" t="b">
        <v>1</v>
      </c>
      <c r="AG85" t="b">
        <v>0</v>
      </c>
      <c r="AH85" t="b">
        <v>0</v>
      </c>
      <c r="AJ85">
        <v>4</v>
      </c>
      <c r="AK85" t="s">
        <v>1031</v>
      </c>
      <c r="AL85">
        <v>92</v>
      </c>
      <c r="AM85" t="s">
        <v>61</v>
      </c>
      <c r="AN85" t="s">
        <v>1032</v>
      </c>
    </row>
    <row r="86" spans="1:40" ht="15">
      <c r="A86" t="s">
        <v>1033</v>
      </c>
      <c r="B86" t="s">
        <v>1034</v>
      </c>
      <c r="C86" t="s">
        <v>1035</v>
      </c>
      <c r="D86" t="s">
        <v>1036</v>
      </c>
      <c r="E86" t="s">
        <v>67</v>
      </c>
      <c r="F86" t="s">
        <v>1037</v>
      </c>
      <c r="G86" t="s">
        <v>47</v>
      </c>
      <c r="H86" t="s">
        <v>1038</v>
      </c>
      <c r="I86">
        <v>45570</v>
      </c>
      <c r="J86">
        <v>0.55208333333333337</v>
      </c>
      <c r="K86" t="s">
        <v>212</v>
      </c>
      <c r="L86" t="s">
        <v>213</v>
      </c>
      <c r="M86" t="s">
        <v>214</v>
      </c>
      <c r="N86" t="s">
        <v>215</v>
      </c>
      <c r="O86" t="s">
        <v>216</v>
      </c>
      <c r="P86">
        <v>99213</v>
      </c>
      <c r="Q86" t="s">
        <v>217</v>
      </c>
      <c r="R86" t="s">
        <v>218</v>
      </c>
      <c r="S86" t="s">
        <v>218</v>
      </c>
      <c r="T86" t="s">
        <v>57</v>
      </c>
      <c r="U86">
        <v>35</v>
      </c>
      <c r="V86">
        <v>285</v>
      </c>
      <c r="W86">
        <v>80</v>
      </c>
      <c r="X86">
        <v>57</v>
      </c>
      <c r="Y86">
        <v>35</v>
      </c>
      <c r="Z86">
        <v>92</v>
      </c>
      <c r="AA86">
        <v>193</v>
      </c>
      <c r="AB86" t="s">
        <v>80</v>
      </c>
      <c r="AC86" t="b">
        <v>1</v>
      </c>
      <c r="AD86">
        <v>45571</v>
      </c>
      <c r="AE86" t="b">
        <v>0</v>
      </c>
      <c r="AF86" t="b">
        <v>0</v>
      </c>
      <c r="AG86" t="b">
        <v>0</v>
      </c>
      <c r="AH86" t="b">
        <v>0</v>
      </c>
      <c r="AJ86">
        <v>5</v>
      </c>
      <c r="AK86" t="s">
        <v>1039</v>
      </c>
      <c r="AL86">
        <v>96</v>
      </c>
      <c r="AM86" t="s">
        <v>61</v>
      </c>
      <c r="AN86" t="s">
        <v>1040</v>
      </c>
    </row>
    <row r="87" spans="1:40" ht="15">
      <c r="A87" t="s">
        <v>1041</v>
      </c>
      <c r="B87" t="s">
        <v>1042</v>
      </c>
      <c r="C87" t="s">
        <v>1043</v>
      </c>
      <c r="D87" t="s">
        <v>1044</v>
      </c>
      <c r="E87" t="s">
        <v>45</v>
      </c>
      <c r="F87" t="s">
        <v>1045</v>
      </c>
      <c r="G87" t="s">
        <v>69</v>
      </c>
      <c r="H87" t="s">
        <v>1046</v>
      </c>
      <c r="I87" t="s">
        <v>1047</v>
      </c>
      <c r="J87">
        <v>0.69791666666666663</v>
      </c>
      <c r="K87" t="s">
        <v>72</v>
      </c>
      <c r="L87" t="s">
        <v>258</v>
      </c>
      <c r="M87" t="s">
        <v>259</v>
      </c>
      <c r="N87" t="s">
        <v>1048</v>
      </c>
      <c r="O87" t="s">
        <v>647</v>
      </c>
      <c r="P87">
        <v>99213</v>
      </c>
      <c r="Q87" t="s">
        <v>1049</v>
      </c>
      <c r="R87" t="s">
        <v>1050</v>
      </c>
      <c r="S87" t="s">
        <v>57</v>
      </c>
      <c r="T87" t="s">
        <v>57</v>
      </c>
      <c r="U87">
        <v>65</v>
      </c>
      <c r="V87">
        <v>1200</v>
      </c>
      <c r="W87">
        <v>70</v>
      </c>
      <c r="X87">
        <v>360</v>
      </c>
      <c r="Y87">
        <v>100</v>
      </c>
      <c r="Z87">
        <v>460</v>
      </c>
      <c r="AA87">
        <v>740</v>
      </c>
      <c r="AB87" t="s">
        <v>58</v>
      </c>
      <c r="AC87" t="b">
        <v>1</v>
      </c>
      <c r="AD87" t="s">
        <v>1051</v>
      </c>
      <c r="AE87" t="b">
        <v>0</v>
      </c>
      <c r="AF87" t="b">
        <v>0</v>
      </c>
      <c r="AG87" t="b">
        <v>1</v>
      </c>
      <c r="AH87" t="b">
        <v>1</v>
      </c>
      <c r="AI87" t="s">
        <v>1052</v>
      </c>
      <c r="AJ87">
        <v>3</v>
      </c>
      <c r="AK87" t="s">
        <v>1053</v>
      </c>
      <c r="AL87">
        <v>85</v>
      </c>
      <c r="AM87" t="s">
        <v>172</v>
      </c>
      <c r="AN87" t="s">
        <v>1054</v>
      </c>
    </row>
    <row r="88" spans="1:40" ht="15">
      <c r="A88" t="s">
        <v>1055</v>
      </c>
      <c r="B88" t="s">
        <v>1056</v>
      </c>
      <c r="C88" t="s">
        <v>1057</v>
      </c>
      <c r="D88" t="s">
        <v>1058</v>
      </c>
      <c r="E88" t="s">
        <v>67</v>
      </c>
      <c r="F88" t="s">
        <v>1059</v>
      </c>
      <c r="G88" t="s">
        <v>47</v>
      </c>
      <c r="H88" t="s">
        <v>1060</v>
      </c>
      <c r="I88" t="s">
        <v>1061</v>
      </c>
      <c r="J88">
        <v>0.39583333333333331</v>
      </c>
      <c r="K88" t="s">
        <v>180</v>
      </c>
      <c r="L88" t="s">
        <v>181</v>
      </c>
      <c r="M88" t="s">
        <v>182</v>
      </c>
      <c r="N88" t="s">
        <v>1062</v>
      </c>
      <c r="O88" t="s">
        <v>1063</v>
      </c>
      <c r="P88">
        <v>99212</v>
      </c>
      <c r="Q88" t="s">
        <v>57</v>
      </c>
      <c r="R88" t="s">
        <v>57</v>
      </c>
      <c r="S88" t="s">
        <v>57</v>
      </c>
      <c r="T88" t="s">
        <v>57</v>
      </c>
      <c r="U88">
        <v>25</v>
      </c>
      <c r="V88">
        <v>180</v>
      </c>
      <c r="W88">
        <v>90</v>
      </c>
      <c r="X88">
        <v>18</v>
      </c>
      <c r="Y88">
        <v>10</v>
      </c>
      <c r="Z88">
        <v>28</v>
      </c>
      <c r="AA88">
        <v>152</v>
      </c>
      <c r="AB88" t="s">
        <v>80</v>
      </c>
      <c r="AC88" t="b">
        <v>0</v>
      </c>
      <c r="AE88" t="b">
        <v>0</v>
      </c>
      <c r="AF88" t="b">
        <v>0</v>
      </c>
      <c r="AG88" t="b">
        <v>0</v>
      </c>
      <c r="AH88" t="b">
        <v>0</v>
      </c>
      <c r="AJ88">
        <v>4</v>
      </c>
      <c r="AK88" t="s">
        <v>1064</v>
      </c>
      <c r="AL88">
        <v>94</v>
      </c>
      <c r="AM88" t="s">
        <v>61</v>
      </c>
      <c r="AN88" t="s">
        <v>1065</v>
      </c>
    </row>
    <row r="89" spans="1:40" ht="15">
      <c r="A89" t="s">
        <v>1066</v>
      </c>
      <c r="B89" t="s">
        <v>1067</v>
      </c>
      <c r="C89" t="s">
        <v>1068</v>
      </c>
      <c r="D89">
        <v>18386</v>
      </c>
      <c r="E89" t="s">
        <v>45</v>
      </c>
      <c r="F89" t="s">
        <v>1069</v>
      </c>
      <c r="G89" t="s">
        <v>89</v>
      </c>
      <c r="H89" t="s">
        <v>1070</v>
      </c>
      <c r="I89" t="s">
        <v>1071</v>
      </c>
      <c r="J89">
        <v>0.58333333333333337</v>
      </c>
      <c r="K89" t="s">
        <v>144</v>
      </c>
      <c r="L89" t="s">
        <v>286</v>
      </c>
      <c r="M89" t="s">
        <v>287</v>
      </c>
      <c r="N89" t="s">
        <v>288</v>
      </c>
      <c r="O89" t="s">
        <v>289</v>
      </c>
      <c r="P89">
        <v>99221</v>
      </c>
      <c r="Q89" t="s">
        <v>290</v>
      </c>
      <c r="R89" t="s">
        <v>57</v>
      </c>
      <c r="S89" t="s">
        <v>57</v>
      </c>
      <c r="T89">
        <v>66984</v>
      </c>
      <c r="U89">
        <v>85</v>
      </c>
      <c r="V89">
        <v>3650</v>
      </c>
      <c r="W89">
        <v>80</v>
      </c>
      <c r="X89">
        <v>730</v>
      </c>
      <c r="Y89">
        <v>200</v>
      </c>
      <c r="Z89">
        <v>930</v>
      </c>
      <c r="AA89">
        <v>2720</v>
      </c>
      <c r="AB89" t="s">
        <v>80</v>
      </c>
      <c r="AC89" t="b">
        <v>1</v>
      </c>
      <c r="AD89" t="s">
        <v>961</v>
      </c>
      <c r="AE89" t="b">
        <v>0</v>
      </c>
      <c r="AF89" t="b">
        <v>1</v>
      </c>
      <c r="AG89" t="b">
        <v>1</v>
      </c>
      <c r="AH89" t="b">
        <v>0</v>
      </c>
      <c r="AJ89">
        <v>5</v>
      </c>
      <c r="AK89" t="s">
        <v>1072</v>
      </c>
      <c r="AL89">
        <v>90</v>
      </c>
      <c r="AM89" t="s">
        <v>172</v>
      </c>
      <c r="AN89" t="s">
        <v>1073</v>
      </c>
    </row>
    <row r="90" spans="1:40" ht="15">
      <c r="A90" t="s">
        <v>1074</v>
      </c>
      <c r="B90" t="s">
        <v>1075</v>
      </c>
      <c r="C90" t="s">
        <v>1076</v>
      </c>
      <c r="D90" t="s">
        <v>1077</v>
      </c>
      <c r="E90" t="s">
        <v>67</v>
      </c>
      <c r="F90" t="s">
        <v>1078</v>
      </c>
      <c r="G90" t="s">
        <v>69</v>
      </c>
      <c r="H90" t="s">
        <v>1079</v>
      </c>
      <c r="I90" t="s">
        <v>865</v>
      </c>
      <c r="J90">
        <v>0.44791666666666669</v>
      </c>
      <c r="K90" t="s">
        <v>92</v>
      </c>
      <c r="L90" t="s">
        <v>346</v>
      </c>
      <c r="M90" t="s">
        <v>347</v>
      </c>
      <c r="N90" t="s">
        <v>1080</v>
      </c>
      <c r="O90" t="s">
        <v>1081</v>
      </c>
      <c r="P90">
        <v>99204</v>
      </c>
      <c r="Q90" t="s">
        <v>1082</v>
      </c>
      <c r="R90" t="s">
        <v>351</v>
      </c>
      <c r="S90" t="s">
        <v>57</v>
      </c>
      <c r="T90" t="s">
        <v>57</v>
      </c>
      <c r="U90">
        <v>45</v>
      </c>
      <c r="V90">
        <v>330</v>
      </c>
      <c r="W90">
        <v>75</v>
      </c>
      <c r="X90">
        <v>82.5</v>
      </c>
      <c r="Y90">
        <v>50</v>
      </c>
      <c r="Z90">
        <v>132.5</v>
      </c>
      <c r="AA90">
        <v>197.5</v>
      </c>
      <c r="AB90" t="s">
        <v>118</v>
      </c>
      <c r="AC90" t="b">
        <v>1</v>
      </c>
      <c r="AD90" t="s">
        <v>1083</v>
      </c>
      <c r="AE90" t="b">
        <v>0</v>
      </c>
      <c r="AF90" t="b">
        <v>0</v>
      </c>
      <c r="AG90" t="b">
        <v>1</v>
      </c>
      <c r="AH90" t="b">
        <v>0</v>
      </c>
      <c r="AJ90">
        <v>4</v>
      </c>
      <c r="AK90" t="s">
        <v>1084</v>
      </c>
      <c r="AL90">
        <v>91</v>
      </c>
      <c r="AM90" t="s">
        <v>61</v>
      </c>
      <c r="AN90" t="s">
        <v>1085</v>
      </c>
    </row>
    <row r="91" spans="1:40" ht="15">
      <c r="A91" t="s">
        <v>1086</v>
      </c>
      <c r="B91" t="s">
        <v>1087</v>
      </c>
      <c r="C91" t="s">
        <v>1088</v>
      </c>
      <c r="D91" t="s">
        <v>1089</v>
      </c>
      <c r="E91" t="s">
        <v>45</v>
      </c>
      <c r="F91" t="s">
        <v>1090</v>
      </c>
      <c r="G91" t="s">
        <v>47</v>
      </c>
      <c r="H91" t="s">
        <v>1091</v>
      </c>
      <c r="I91" t="s">
        <v>1092</v>
      </c>
      <c r="J91">
        <v>0.33333333333333331</v>
      </c>
      <c r="K91" t="s">
        <v>50</v>
      </c>
      <c r="L91" t="s">
        <v>309</v>
      </c>
      <c r="M91" t="s">
        <v>310</v>
      </c>
      <c r="N91" t="s">
        <v>469</v>
      </c>
      <c r="O91" t="s">
        <v>470</v>
      </c>
      <c r="P91">
        <v>99214</v>
      </c>
      <c r="Q91" t="s">
        <v>1093</v>
      </c>
      <c r="R91" t="s">
        <v>471</v>
      </c>
      <c r="S91" t="s">
        <v>234</v>
      </c>
      <c r="T91" t="s">
        <v>57</v>
      </c>
      <c r="U91">
        <v>40</v>
      </c>
      <c r="V91">
        <v>560</v>
      </c>
      <c r="W91">
        <v>80</v>
      </c>
      <c r="X91">
        <v>112</v>
      </c>
      <c r="Y91">
        <v>50</v>
      </c>
      <c r="Z91">
        <v>162</v>
      </c>
      <c r="AA91">
        <v>398</v>
      </c>
      <c r="AB91" t="s">
        <v>58</v>
      </c>
      <c r="AC91" t="b">
        <v>1</v>
      </c>
      <c r="AD91" t="s">
        <v>1094</v>
      </c>
      <c r="AE91" t="b">
        <v>0</v>
      </c>
      <c r="AF91" t="b">
        <v>0</v>
      </c>
      <c r="AG91" t="b">
        <v>0</v>
      </c>
      <c r="AH91" t="b">
        <v>0</v>
      </c>
      <c r="AJ91">
        <v>3</v>
      </c>
      <c r="AK91" t="s">
        <v>1095</v>
      </c>
      <c r="AL91">
        <v>88</v>
      </c>
      <c r="AM91" t="s">
        <v>153</v>
      </c>
      <c r="AN91" t="s">
        <v>1096</v>
      </c>
    </row>
    <row r="92" spans="1:40" ht="15">
      <c r="A92" t="s">
        <v>1097</v>
      </c>
      <c r="B92" t="s">
        <v>1098</v>
      </c>
      <c r="C92" t="s">
        <v>1099</v>
      </c>
      <c r="D92" t="s">
        <v>1100</v>
      </c>
      <c r="E92" t="s">
        <v>67</v>
      </c>
      <c r="F92" t="s">
        <v>1101</v>
      </c>
      <c r="G92" t="s">
        <v>69</v>
      </c>
      <c r="H92" t="s">
        <v>1102</v>
      </c>
      <c r="I92" t="s">
        <v>1006</v>
      </c>
      <c r="J92">
        <v>0.5625</v>
      </c>
      <c r="K92" t="s">
        <v>111</v>
      </c>
      <c r="L92" t="s">
        <v>162</v>
      </c>
      <c r="M92" t="s">
        <v>163</v>
      </c>
      <c r="N92" t="s">
        <v>1103</v>
      </c>
      <c r="O92" t="s">
        <v>548</v>
      </c>
      <c r="P92">
        <v>99203</v>
      </c>
      <c r="Q92" t="s">
        <v>1104</v>
      </c>
      <c r="R92" t="s">
        <v>117</v>
      </c>
      <c r="S92" t="s">
        <v>57</v>
      </c>
      <c r="T92" t="s">
        <v>57</v>
      </c>
      <c r="U92">
        <v>50</v>
      </c>
      <c r="V92">
        <v>320</v>
      </c>
      <c r="W92">
        <v>70</v>
      </c>
      <c r="X92">
        <v>96</v>
      </c>
      <c r="Y92">
        <v>55</v>
      </c>
      <c r="Z92">
        <v>151</v>
      </c>
      <c r="AA92">
        <v>169</v>
      </c>
      <c r="AB92" t="s">
        <v>80</v>
      </c>
      <c r="AC92" t="b">
        <v>1</v>
      </c>
      <c r="AD92" t="s">
        <v>1105</v>
      </c>
      <c r="AE92" t="b">
        <v>0</v>
      </c>
      <c r="AF92" t="b">
        <v>1</v>
      </c>
      <c r="AG92" t="b">
        <v>0</v>
      </c>
      <c r="AH92" t="b">
        <v>0</v>
      </c>
      <c r="AJ92">
        <v>3</v>
      </c>
      <c r="AK92" t="s">
        <v>1106</v>
      </c>
      <c r="AL92">
        <v>87</v>
      </c>
      <c r="AM92" t="s">
        <v>61</v>
      </c>
      <c r="AN92" t="s">
        <v>1107</v>
      </c>
    </row>
    <row r="93" spans="1:40" ht="15">
      <c r="A93" t="s">
        <v>1108</v>
      </c>
      <c r="B93" t="s">
        <v>1109</v>
      </c>
      <c r="C93" t="s">
        <v>1110</v>
      </c>
      <c r="D93">
        <v>26796</v>
      </c>
      <c r="E93" t="s">
        <v>45</v>
      </c>
      <c r="F93" t="s">
        <v>1111</v>
      </c>
      <c r="G93" t="s">
        <v>127</v>
      </c>
      <c r="H93" t="s">
        <v>1112</v>
      </c>
      <c r="I93" t="s">
        <v>1113</v>
      </c>
      <c r="J93">
        <v>0.38541666666666669</v>
      </c>
      <c r="K93" t="s">
        <v>72</v>
      </c>
      <c r="L93" t="s">
        <v>228</v>
      </c>
      <c r="M93" t="s">
        <v>229</v>
      </c>
      <c r="N93" t="s">
        <v>493</v>
      </c>
      <c r="O93" t="s">
        <v>494</v>
      </c>
      <c r="P93">
        <v>99215</v>
      </c>
      <c r="Q93" t="s">
        <v>1114</v>
      </c>
      <c r="R93" t="s">
        <v>496</v>
      </c>
      <c r="S93" t="s">
        <v>150</v>
      </c>
      <c r="T93" t="s">
        <v>57</v>
      </c>
      <c r="U93">
        <v>70</v>
      </c>
      <c r="V93">
        <v>1500</v>
      </c>
      <c r="W93">
        <v>100</v>
      </c>
      <c r="X93">
        <v>0</v>
      </c>
      <c r="Y93">
        <v>0</v>
      </c>
      <c r="Z93">
        <v>0</v>
      </c>
      <c r="AA93">
        <v>1500</v>
      </c>
      <c r="AB93" t="s">
        <v>127</v>
      </c>
      <c r="AC93" t="b">
        <v>1</v>
      </c>
      <c r="AD93" t="s">
        <v>1115</v>
      </c>
      <c r="AE93" t="b">
        <v>0</v>
      </c>
      <c r="AF93" t="b">
        <v>0</v>
      </c>
      <c r="AG93" t="b">
        <v>0</v>
      </c>
      <c r="AH93" t="b">
        <v>0</v>
      </c>
      <c r="AJ93">
        <v>4</v>
      </c>
      <c r="AK93" t="s">
        <v>1116</v>
      </c>
      <c r="AL93">
        <v>95</v>
      </c>
      <c r="AM93" t="s">
        <v>61</v>
      </c>
      <c r="AN93" t="s">
        <v>1117</v>
      </c>
    </row>
    <row r="94" spans="1:40" ht="15">
      <c r="A94" t="s">
        <v>1118</v>
      </c>
      <c r="B94" t="s">
        <v>1119</v>
      </c>
      <c r="C94" t="s">
        <v>1120</v>
      </c>
      <c r="D94" t="s">
        <v>1121</v>
      </c>
      <c r="E94" t="s">
        <v>67</v>
      </c>
      <c r="F94" t="s">
        <v>1122</v>
      </c>
      <c r="G94" t="s">
        <v>47</v>
      </c>
      <c r="H94" t="s">
        <v>1123</v>
      </c>
      <c r="I94" t="s">
        <v>1124</v>
      </c>
      <c r="J94">
        <v>0.5</v>
      </c>
      <c r="K94" t="s">
        <v>92</v>
      </c>
      <c r="L94" t="s">
        <v>321</v>
      </c>
      <c r="M94" t="s">
        <v>322</v>
      </c>
      <c r="N94" t="s">
        <v>323</v>
      </c>
      <c r="O94" t="s">
        <v>324</v>
      </c>
      <c r="P94">
        <v>99204</v>
      </c>
      <c r="Q94" t="s">
        <v>1125</v>
      </c>
      <c r="R94" t="s">
        <v>57</v>
      </c>
      <c r="S94" t="s">
        <v>57</v>
      </c>
      <c r="T94" t="s">
        <v>57</v>
      </c>
      <c r="U94">
        <v>50</v>
      </c>
      <c r="V94">
        <v>310</v>
      </c>
      <c r="W94">
        <v>85</v>
      </c>
      <c r="X94">
        <v>46.5</v>
      </c>
      <c r="Y94">
        <v>30</v>
      </c>
      <c r="Z94">
        <v>76.5</v>
      </c>
      <c r="AA94">
        <v>233.5</v>
      </c>
      <c r="AB94" t="s">
        <v>58</v>
      </c>
      <c r="AC94" t="b">
        <v>1</v>
      </c>
      <c r="AD94" t="s">
        <v>1126</v>
      </c>
      <c r="AE94" t="b">
        <v>0</v>
      </c>
      <c r="AF94" t="b">
        <v>0</v>
      </c>
      <c r="AG94" t="b">
        <v>1</v>
      </c>
      <c r="AH94" t="b">
        <v>0</v>
      </c>
      <c r="AJ94">
        <v>4</v>
      </c>
      <c r="AK94" t="s">
        <v>1127</v>
      </c>
      <c r="AL94">
        <v>89</v>
      </c>
      <c r="AM94" t="s">
        <v>61</v>
      </c>
      <c r="AN94" t="s">
        <v>1128</v>
      </c>
    </row>
    <row r="95" spans="1:40" ht="15">
      <c r="A95" t="s">
        <v>1129</v>
      </c>
      <c r="B95" t="s">
        <v>1130</v>
      </c>
      <c r="C95" t="s">
        <v>1131</v>
      </c>
      <c r="D95">
        <v>21499</v>
      </c>
      <c r="E95" t="s">
        <v>45</v>
      </c>
      <c r="F95" t="s">
        <v>1132</v>
      </c>
      <c r="G95" t="s">
        <v>89</v>
      </c>
      <c r="H95" t="s">
        <v>1133</v>
      </c>
      <c r="I95" t="s">
        <v>1134</v>
      </c>
      <c r="J95">
        <v>0.65625</v>
      </c>
      <c r="K95" t="s">
        <v>144</v>
      </c>
      <c r="L95" t="s">
        <v>93</v>
      </c>
      <c r="M95" t="s">
        <v>94</v>
      </c>
      <c r="N95" t="s">
        <v>1135</v>
      </c>
      <c r="O95" t="s">
        <v>1136</v>
      </c>
      <c r="P95">
        <v>99223</v>
      </c>
      <c r="Q95" t="s">
        <v>1137</v>
      </c>
      <c r="R95" t="s">
        <v>57</v>
      </c>
      <c r="S95" t="s">
        <v>519</v>
      </c>
      <c r="T95">
        <v>27244</v>
      </c>
      <c r="U95">
        <v>120</v>
      </c>
      <c r="V95">
        <v>14200</v>
      </c>
      <c r="W95">
        <v>80</v>
      </c>
      <c r="X95">
        <v>2840</v>
      </c>
      <c r="Y95">
        <v>800</v>
      </c>
      <c r="Z95">
        <v>3640</v>
      </c>
      <c r="AA95">
        <v>10560</v>
      </c>
      <c r="AB95" t="s">
        <v>80</v>
      </c>
      <c r="AC95" t="b">
        <v>1</v>
      </c>
      <c r="AD95">
        <v>45449</v>
      </c>
      <c r="AE95" t="b">
        <v>0</v>
      </c>
      <c r="AF95" t="b">
        <v>1</v>
      </c>
      <c r="AG95" t="b">
        <v>1</v>
      </c>
      <c r="AH95" t="b">
        <v>0</v>
      </c>
      <c r="AJ95">
        <v>5</v>
      </c>
      <c r="AK95" t="s">
        <v>1138</v>
      </c>
      <c r="AL95">
        <v>83</v>
      </c>
      <c r="AM95" t="s">
        <v>172</v>
      </c>
      <c r="AN95" t="s">
        <v>1139</v>
      </c>
    </row>
    <row r="96" spans="1:40" ht="15">
      <c r="A96" t="s">
        <v>1140</v>
      </c>
      <c r="B96" t="s">
        <v>1141</v>
      </c>
      <c r="C96" t="s">
        <v>1142</v>
      </c>
      <c r="D96" t="s">
        <v>1143</v>
      </c>
      <c r="E96" t="s">
        <v>67</v>
      </c>
      <c r="F96" t="s">
        <v>1144</v>
      </c>
      <c r="G96" t="s">
        <v>69</v>
      </c>
      <c r="H96" t="s">
        <v>1145</v>
      </c>
      <c r="I96" t="s">
        <v>925</v>
      </c>
      <c r="J96">
        <v>0.4375</v>
      </c>
      <c r="K96" t="s">
        <v>180</v>
      </c>
      <c r="L96" t="s">
        <v>181</v>
      </c>
      <c r="M96" t="s">
        <v>182</v>
      </c>
      <c r="N96" t="s">
        <v>697</v>
      </c>
      <c r="O96" t="s">
        <v>698</v>
      </c>
      <c r="P96">
        <v>99211</v>
      </c>
      <c r="Q96" t="s">
        <v>1146</v>
      </c>
      <c r="R96" t="s">
        <v>700</v>
      </c>
      <c r="S96" t="s">
        <v>57</v>
      </c>
      <c r="T96" t="s">
        <v>57</v>
      </c>
      <c r="U96">
        <v>25</v>
      </c>
      <c r="V96">
        <v>155</v>
      </c>
      <c r="W96">
        <v>100</v>
      </c>
      <c r="X96">
        <v>0</v>
      </c>
      <c r="Y96">
        <v>0</v>
      </c>
      <c r="Z96">
        <v>0</v>
      </c>
      <c r="AA96">
        <v>155</v>
      </c>
      <c r="AB96" t="s">
        <v>69</v>
      </c>
      <c r="AC96" t="b">
        <v>0</v>
      </c>
      <c r="AE96" t="b">
        <v>0</v>
      </c>
      <c r="AF96" t="b">
        <v>0</v>
      </c>
      <c r="AG96" t="b">
        <v>0</v>
      </c>
      <c r="AH96" t="b">
        <v>0</v>
      </c>
      <c r="AJ96">
        <v>5</v>
      </c>
      <c r="AK96" t="s">
        <v>1147</v>
      </c>
      <c r="AL96">
        <v>97</v>
      </c>
      <c r="AM96" t="s">
        <v>61</v>
      </c>
      <c r="AN96" t="s">
        <v>1148</v>
      </c>
    </row>
    <row r="97" spans="1:40" ht="15">
      <c r="A97" t="s">
        <v>1149</v>
      </c>
      <c r="B97" t="s">
        <v>1150</v>
      </c>
      <c r="C97" t="s">
        <v>1151</v>
      </c>
      <c r="D97">
        <v>24570</v>
      </c>
      <c r="E97" t="s">
        <v>45</v>
      </c>
      <c r="F97" t="s">
        <v>1152</v>
      </c>
      <c r="G97" t="s">
        <v>47</v>
      </c>
      <c r="H97" t="s">
        <v>1153</v>
      </c>
      <c r="I97" t="s">
        <v>1105</v>
      </c>
      <c r="J97">
        <v>0.70833333333333337</v>
      </c>
      <c r="K97" t="s">
        <v>50</v>
      </c>
      <c r="L97" t="s">
        <v>130</v>
      </c>
      <c r="M97" t="s">
        <v>131</v>
      </c>
      <c r="N97" t="s">
        <v>132</v>
      </c>
      <c r="O97" t="s">
        <v>133</v>
      </c>
      <c r="P97">
        <v>99214</v>
      </c>
      <c r="Q97" t="s">
        <v>134</v>
      </c>
      <c r="R97" t="s">
        <v>135</v>
      </c>
      <c r="S97" t="s">
        <v>57</v>
      </c>
      <c r="T97" t="s">
        <v>57</v>
      </c>
      <c r="U97">
        <v>40</v>
      </c>
      <c r="V97">
        <v>210</v>
      </c>
      <c r="W97">
        <v>75</v>
      </c>
      <c r="X97">
        <v>52.5</v>
      </c>
      <c r="Y97">
        <v>35</v>
      </c>
      <c r="Z97">
        <v>87.5</v>
      </c>
      <c r="AA97">
        <v>122.5</v>
      </c>
      <c r="AB97" t="s">
        <v>118</v>
      </c>
      <c r="AC97" t="b">
        <v>1</v>
      </c>
      <c r="AD97" t="s">
        <v>1154</v>
      </c>
      <c r="AE97" t="b">
        <v>0</v>
      </c>
      <c r="AF97" t="b">
        <v>0</v>
      </c>
      <c r="AG97" t="b">
        <v>0</v>
      </c>
      <c r="AH97" t="b">
        <v>0</v>
      </c>
      <c r="AJ97">
        <v>4</v>
      </c>
      <c r="AK97" t="s">
        <v>1155</v>
      </c>
      <c r="AL97">
        <v>94</v>
      </c>
      <c r="AM97" t="s">
        <v>61</v>
      </c>
      <c r="AN97" t="s">
        <v>1156</v>
      </c>
    </row>
    <row r="98" spans="1:40" ht="15">
      <c r="A98" t="s">
        <v>1157</v>
      </c>
      <c r="B98" t="s">
        <v>1158</v>
      </c>
      <c r="C98" t="s">
        <v>1159</v>
      </c>
      <c r="D98">
        <v>30560</v>
      </c>
      <c r="E98" t="s">
        <v>67</v>
      </c>
      <c r="F98" t="s">
        <v>1160</v>
      </c>
      <c r="G98" t="s">
        <v>127</v>
      </c>
      <c r="H98" t="s">
        <v>1161</v>
      </c>
      <c r="I98" t="s">
        <v>1162</v>
      </c>
      <c r="J98">
        <v>0.36458333333333331</v>
      </c>
      <c r="K98" t="s">
        <v>72</v>
      </c>
      <c r="L98" t="s">
        <v>73</v>
      </c>
      <c r="M98" t="s">
        <v>74</v>
      </c>
      <c r="N98" t="s">
        <v>53</v>
      </c>
      <c r="O98" t="s">
        <v>54</v>
      </c>
      <c r="P98">
        <v>99213</v>
      </c>
      <c r="Q98" t="s">
        <v>55</v>
      </c>
      <c r="R98" t="s">
        <v>57</v>
      </c>
      <c r="S98" t="s">
        <v>57</v>
      </c>
      <c r="T98" t="s">
        <v>57</v>
      </c>
      <c r="U98">
        <v>30</v>
      </c>
      <c r="V98">
        <v>175</v>
      </c>
      <c r="W98">
        <v>100</v>
      </c>
      <c r="X98">
        <v>0</v>
      </c>
      <c r="Y98">
        <v>0</v>
      </c>
      <c r="Z98">
        <v>0</v>
      </c>
      <c r="AA98">
        <v>175</v>
      </c>
      <c r="AB98" t="s">
        <v>127</v>
      </c>
      <c r="AC98" t="b">
        <v>0</v>
      </c>
      <c r="AE98" t="b">
        <v>0</v>
      </c>
      <c r="AF98" t="b">
        <v>0</v>
      </c>
      <c r="AG98" t="b">
        <v>0</v>
      </c>
      <c r="AH98" t="b">
        <v>1</v>
      </c>
      <c r="AI98" t="s">
        <v>1163</v>
      </c>
      <c r="AJ98">
        <v>3</v>
      </c>
      <c r="AK98" t="s">
        <v>1164</v>
      </c>
      <c r="AL98">
        <v>93</v>
      </c>
      <c r="AM98" t="s">
        <v>172</v>
      </c>
      <c r="AN98" t="s">
        <v>1165</v>
      </c>
    </row>
    <row r="99" spans="1:40" ht="15">
      <c r="A99" t="s">
        <v>1166</v>
      </c>
      <c r="B99" t="s">
        <v>1167</v>
      </c>
      <c r="C99" t="s">
        <v>1168</v>
      </c>
      <c r="D99" t="s">
        <v>1169</v>
      </c>
      <c r="E99" t="s">
        <v>45</v>
      </c>
      <c r="F99" t="s">
        <v>1170</v>
      </c>
      <c r="G99" t="s">
        <v>47</v>
      </c>
      <c r="H99" t="s">
        <v>1171</v>
      </c>
      <c r="I99" t="s">
        <v>961</v>
      </c>
      <c r="J99">
        <v>0.46875</v>
      </c>
      <c r="K99" t="s">
        <v>111</v>
      </c>
      <c r="L99" t="s">
        <v>245</v>
      </c>
      <c r="M99" t="s">
        <v>246</v>
      </c>
      <c r="N99" t="s">
        <v>559</v>
      </c>
      <c r="O99" t="s">
        <v>560</v>
      </c>
      <c r="P99">
        <v>99203</v>
      </c>
      <c r="Q99" t="s">
        <v>561</v>
      </c>
      <c r="R99" t="s">
        <v>57</v>
      </c>
      <c r="S99" t="s">
        <v>57</v>
      </c>
      <c r="T99" t="s">
        <v>57</v>
      </c>
      <c r="U99">
        <v>35</v>
      </c>
      <c r="V99">
        <v>240</v>
      </c>
      <c r="W99">
        <v>80</v>
      </c>
      <c r="X99">
        <v>48</v>
      </c>
      <c r="Y99">
        <v>30</v>
      </c>
      <c r="Z99">
        <v>78</v>
      </c>
      <c r="AA99">
        <v>162</v>
      </c>
      <c r="AB99" t="s">
        <v>80</v>
      </c>
      <c r="AC99" t="b">
        <v>1</v>
      </c>
      <c r="AD99">
        <v>45418</v>
      </c>
      <c r="AE99" t="b">
        <v>0</v>
      </c>
      <c r="AF99" t="b">
        <v>1</v>
      </c>
      <c r="AG99" t="b">
        <v>0</v>
      </c>
      <c r="AH99" t="b">
        <v>0</v>
      </c>
      <c r="AJ99">
        <v>3</v>
      </c>
      <c r="AK99" t="s">
        <v>1172</v>
      </c>
      <c r="AL99">
        <v>88</v>
      </c>
      <c r="AM99" t="s">
        <v>61</v>
      </c>
      <c r="AN99" t="s">
        <v>1173</v>
      </c>
    </row>
    <row r="100" spans="1:40" ht="15">
      <c r="A100" t="s">
        <v>1174</v>
      </c>
      <c r="B100" t="s">
        <v>1175</v>
      </c>
      <c r="C100" t="s">
        <v>976</v>
      </c>
      <c r="D100">
        <v>35410</v>
      </c>
      <c r="E100" t="s">
        <v>67</v>
      </c>
      <c r="F100" t="s">
        <v>1176</v>
      </c>
      <c r="G100" t="s">
        <v>69</v>
      </c>
      <c r="H100" t="s">
        <v>1177</v>
      </c>
      <c r="I100" t="s">
        <v>1178</v>
      </c>
      <c r="J100">
        <v>0.58333333333333337</v>
      </c>
      <c r="K100" t="s">
        <v>92</v>
      </c>
      <c r="L100" t="s">
        <v>194</v>
      </c>
      <c r="M100" t="s">
        <v>195</v>
      </c>
      <c r="N100" t="s">
        <v>1179</v>
      </c>
      <c r="O100" t="s">
        <v>1180</v>
      </c>
      <c r="P100">
        <v>99204</v>
      </c>
      <c r="Q100" t="s">
        <v>1181</v>
      </c>
      <c r="R100" t="s">
        <v>57</v>
      </c>
      <c r="S100" t="s">
        <v>1182</v>
      </c>
      <c r="T100" t="s">
        <v>57</v>
      </c>
      <c r="U100">
        <v>60</v>
      </c>
      <c r="V100">
        <v>850</v>
      </c>
      <c r="W100">
        <v>70</v>
      </c>
      <c r="X100">
        <v>255</v>
      </c>
      <c r="Y100">
        <v>90</v>
      </c>
      <c r="Z100">
        <v>345</v>
      </c>
      <c r="AA100">
        <v>505</v>
      </c>
      <c r="AB100" t="s">
        <v>58</v>
      </c>
      <c r="AC100" t="b">
        <v>1</v>
      </c>
      <c r="AD100" t="s">
        <v>1183</v>
      </c>
      <c r="AE100" t="b">
        <v>0</v>
      </c>
      <c r="AF100" t="b">
        <v>0</v>
      </c>
      <c r="AG100" t="b">
        <v>1</v>
      </c>
      <c r="AH100" t="b">
        <v>0</v>
      </c>
      <c r="AJ100">
        <v>4</v>
      </c>
      <c r="AK100" t="s">
        <v>1184</v>
      </c>
      <c r="AL100">
        <v>90</v>
      </c>
      <c r="AM100" t="s">
        <v>153</v>
      </c>
      <c r="AN100" t="s">
        <v>1185</v>
      </c>
    </row>
    <row r="101" spans="1:40" ht="15">
      <c r="A101" t="s">
        <v>1186</v>
      </c>
      <c r="B101" t="s">
        <v>1187</v>
      </c>
      <c r="C101" t="s">
        <v>1188</v>
      </c>
      <c r="D101" t="s">
        <v>1189</v>
      </c>
      <c r="E101" t="s">
        <v>45</v>
      </c>
      <c r="F101" t="s">
        <v>1190</v>
      </c>
      <c r="G101" t="s">
        <v>47</v>
      </c>
      <c r="H101" t="s">
        <v>1191</v>
      </c>
      <c r="I101" t="s">
        <v>1192</v>
      </c>
      <c r="J101">
        <v>0.40625</v>
      </c>
      <c r="K101" t="s">
        <v>72</v>
      </c>
      <c r="L101" t="s">
        <v>258</v>
      </c>
      <c r="M101" t="s">
        <v>259</v>
      </c>
      <c r="N101" t="s">
        <v>646</v>
      </c>
      <c r="O101" t="s">
        <v>647</v>
      </c>
      <c r="P101">
        <v>99213</v>
      </c>
      <c r="Q101" t="s">
        <v>648</v>
      </c>
      <c r="R101" t="s">
        <v>57</v>
      </c>
      <c r="S101" t="s">
        <v>57</v>
      </c>
      <c r="T101" t="s">
        <v>57</v>
      </c>
      <c r="U101">
        <v>40</v>
      </c>
      <c r="V101">
        <v>310</v>
      </c>
      <c r="W101">
        <v>80</v>
      </c>
      <c r="X101">
        <v>62</v>
      </c>
      <c r="Y101">
        <v>35</v>
      </c>
      <c r="Z101">
        <v>97</v>
      </c>
      <c r="AA101">
        <v>213</v>
      </c>
      <c r="AB101" t="s">
        <v>80</v>
      </c>
      <c r="AC101" t="b">
        <v>0</v>
      </c>
      <c r="AE101" t="b">
        <v>0</v>
      </c>
      <c r="AF101" t="b">
        <v>0</v>
      </c>
      <c r="AG101" t="b">
        <v>0</v>
      </c>
      <c r="AH101" t="b">
        <v>0</v>
      </c>
      <c r="AJ101">
        <v>4</v>
      </c>
      <c r="AK101" t="s">
        <v>1193</v>
      </c>
      <c r="AL101">
        <v>92</v>
      </c>
      <c r="AM101" t="s">
        <v>61</v>
      </c>
      <c r="AN101" t="s">
        <v>1194</v>
      </c>
    </row>
  </sheetData>
  <sheetProtection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DE2B993-33F6-48BD-B003-76FBDEB4836F}">
  <sheetPr codeName=""/>
  <dimension ref="A1:AV103"/>
  <sheetViews>
    <sheetView workbookViewId="0" topLeftCell="AK1">
      <pane ySplit="1" topLeftCell="A69" activePane="bottomLeft" state="frozen"/>
      <selection pane="topLeft" activeCell="M1" sqref="M1"/>
      <selection pane="bottomLeft" activeCell="AO79" sqref="AO79"/>
    </sheetView>
  </sheetViews>
  <sheetFormatPr defaultColWidth="9.14285714285714" defaultRowHeight="15"/>
  <cols>
    <col min="1" max="1" width="10.2857142857143" customWidth="1"/>
    <col min="2" max="2" width="20.1428571428571" customWidth="1"/>
    <col min="3" max="3" width="12.2857142857143" customWidth="1"/>
    <col min="4" max="4" width="8" customWidth="1"/>
    <col min="5" max="5" width="12.4285714285714" customWidth="1"/>
    <col min="6" max="6" width="14.8571428571429" customWidth="1"/>
    <col min="7" max="7" width="7.71428571428571" customWidth="1"/>
    <col min="8" max="9" width="13.8571428571429" customWidth="1"/>
    <col min="10" max="11" width="12" customWidth="1"/>
    <col min="12" max="13" width="16.5714285714286" customWidth="1"/>
    <col min="14" max="14" width="20.8571428571429" customWidth="1"/>
    <col min="15" max="15" width="9.71428571428571" customWidth="1"/>
    <col min="16" max="16" width="48.8571428571429" customWidth="1"/>
    <col min="17" max="17" width="20.4285714285714" customWidth="1"/>
    <col min="18" max="18" width="20.1428571428571" customWidth="1"/>
    <col min="19" max="19" width="15.7142857142857" customWidth="1"/>
    <col min="20" max="20" width="28.4285714285714" customWidth="1"/>
    <col min="21" max="21" width="18" customWidth="1"/>
    <col min="22" max="22" width="20.1428571428571" customWidth="1"/>
    <col min="23" max="23" width="15.4285714285714" customWidth="1"/>
    <col min="24" max="24" width="19" customWidth="1"/>
    <col min="25" max="25" width="15.2857142857143" customWidth="1"/>
    <col min="26" max="26" width="9.42857142857143" customWidth="1"/>
    <col min="27" max="27" width="22.4285714285714" customWidth="1"/>
    <col min="28" max="28" width="14.8571428571429" customWidth="1"/>
    <col min="29" max="29" width="18.5714285714286" customWidth="1"/>
    <col min="30" max="30" width="13.8571428571429" customWidth="1"/>
    <col min="31" max="31" width="12.5714285714286" customWidth="1"/>
    <col min="32" max="32" width="17" customWidth="1"/>
    <col min="33" max="33" width="18.4285714285714" customWidth="1"/>
    <col min="34" max="34" width="14.5714285714286" customWidth="1"/>
    <col min="35" max="35" width="17.8571428571429" customWidth="1"/>
    <col min="36" max="36" width="15.5714285714286" customWidth="1"/>
    <col min="37" max="37" width="12.8571428571429" customWidth="1"/>
    <col min="38" max="38" width="13.8571428571429" customWidth="1"/>
    <col min="39" max="39" width="25.8571428571429" customWidth="1"/>
    <col min="40" max="40" width="19.2857142857143" customWidth="1"/>
    <col min="41" max="41" width="34.1428571428571" customWidth="1"/>
    <col min="42" max="42" width="18.2857142857143" customWidth="1"/>
    <col min="43" max="43" width="13.4285714285714" customWidth="1"/>
    <col min="44" max="44" width="13.2857142857143" customWidth="1"/>
    <col min="45" max="45" width="26.4285714285714" customWidth="1"/>
    <col min="46" max="46" width="10.2857142857143" customWidth="1"/>
    <col min="47" max="47" width="11.1428571428571" customWidth="1"/>
    <col min="48" max="48" width="13.4285714285714" customWidth="1"/>
    <col min="49" max="49" width="10.7142857142857" customWidth="1"/>
    <col min="50" max="50" width="8" customWidth="1"/>
    <col min="51" max="51" width="12.4285714285714" customWidth="1"/>
    <col min="52" max="52" width="14.8571428571429" customWidth="1"/>
    <col min="53" max="53" width="7.71428571428571" customWidth="1"/>
    <col min="54" max="55" width="10.7142857142857" customWidth="1"/>
    <col min="56" max="56" width="12" customWidth="1"/>
    <col min="57" max="57" width="12.1428571428571" customWidth="1"/>
    <col min="58" max="58" width="9.71428571428571" customWidth="1"/>
    <col min="59" max="59" width="18" customWidth="1"/>
    <col min="60" max="60" width="20.1428571428571" customWidth="1"/>
    <col min="61" max="61" width="15.7142857142857" customWidth="1"/>
    <col min="62" max="62" width="21.7142857142857" customWidth="1"/>
    <col min="63" max="63" width="16.4285714285714" customWidth="1"/>
    <col min="64" max="64" width="16.7142857142857" customWidth="1"/>
    <col min="65" max="65" width="15.4285714285714" customWidth="1"/>
    <col min="66" max="66" width="19" customWidth="1"/>
    <col min="67" max="67" width="12.5714285714286" customWidth="1"/>
    <col min="68" max="68" width="9.42857142857143" customWidth="1"/>
    <col min="69" max="69" width="22.4285714285714" customWidth="1"/>
    <col min="70" max="70" width="14.8571428571429" customWidth="1"/>
    <col min="71" max="71" width="18.5714285714286" customWidth="1"/>
    <col min="72" max="72" width="13.8571428571429" customWidth="1"/>
    <col min="73" max="73" width="10.5714285714286" customWidth="1"/>
    <col min="74" max="74" width="17" customWidth="1"/>
    <col min="75" max="75" width="18.4285714285714" customWidth="1"/>
    <col min="76" max="76" width="14.5714285714286" customWidth="1"/>
    <col min="77" max="77" width="17.8571428571429" customWidth="1"/>
    <col min="78" max="78" width="15.5714285714286" customWidth="1"/>
    <col min="79" max="79" width="12.8571428571429" customWidth="1"/>
    <col min="80" max="80" width="13.8571428571429" customWidth="1"/>
    <col min="81" max="81" width="25.8571428571429" customWidth="1"/>
    <col min="82" max="82" width="19.2857142857143" customWidth="1"/>
    <col min="83" max="83" width="24.1428571428571" customWidth="1"/>
    <col min="84" max="84" width="18.2857142857143" customWidth="1"/>
    <col min="85" max="85" width="13.4285714285714" customWidth="1"/>
    <col min="86" max="86" width="13.2857142857143" customWidth="1"/>
    <col min="87" max="87" width="24.5714285714286" customWidth="1"/>
  </cols>
  <sheetData>
    <row r="1" spans="1:45" ht="15">
      <c r="A1" s="4" t="s">
        <v>1195</v>
      </c>
      <c r="B1" s="5" t="s">
        <v>1247</v>
      </c>
      <c r="C1" s="5" t="s">
        <v>5</v>
      </c>
      <c r="D1" s="5" t="s">
        <v>6</v>
      </c>
      <c r="E1" s="5" t="s">
        <v>1196</v>
      </c>
      <c r="F1" s="5" t="s">
        <v>1199</v>
      </c>
      <c r="G1" s="5" t="s">
        <v>1197</v>
      </c>
      <c r="H1" s="5" t="s">
        <v>1200</v>
      </c>
      <c r="I1" s="5" t="s">
        <v>1201</v>
      </c>
      <c r="J1" s="5" t="s">
        <v>1202</v>
      </c>
      <c r="K1" s="5" t="s">
        <v>1230</v>
      </c>
      <c r="L1" s="5" t="s">
        <v>1228</v>
      </c>
      <c r="M1" s="5" t="s">
        <v>13</v>
      </c>
      <c r="N1" s="5" t="s">
        <v>1492</v>
      </c>
      <c r="O1" s="5" t="s">
        <v>1198</v>
      </c>
      <c r="P1" s="5" t="s">
        <v>1203</v>
      </c>
      <c r="Q1" s="5" t="s">
        <v>1234</v>
      </c>
      <c r="R1" s="5" t="s">
        <v>1213</v>
      </c>
      <c r="S1" s="5" t="s">
        <v>1214</v>
      </c>
      <c r="T1" s="5" t="s">
        <v>1215</v>
      </c>
      <c r="U1" s="5" t="s">
        <v>1223</v>
      </c>
      <c r="V1" s="5" t="s">
        <v>1204</v>
      </c>
      <c r="W1" s="5" t="s">
        <v>1205</v>
      </c>
      <c r="X1" s="5" t="s">
        <v>1224</v>
      </c>
      <c r="Y1" s="5" t="s">
        <v>1206</v>
      </c>
      <c r="Z1" s="5" t="s">
        <v>1229</v>
      </c>
      <c r="AA1" s="5" t="s">
        <v>1225</v>
      </c>
      <c r="AB1" s="5" t="s">
        <v>1207</v>
      </c>
      <c r="AC1" s="5" t="s">
        <v>1208</v>
      </c>
      <c r="AD1" s="5" t="s">
        <v>1226</v>
      </c>
      <c r="AE1" s="5" t="s">
        <v>1209</v>
      </c>
      <c r="AF1" s="5" t="s">
        <v>1210</v>
      </c>
      <c r="AG1" s="5" t="s">
        <v>1211</v>
      </c>
      <c r="AH1" s="5" t="s">
        <v>1216</v>
      </c>
      <c r="AI1" s="5" t="s">
        <v>1217</v>
      </c>
      <c r="AJ1" s="5" t="s">
        <v>1218</v>
      </c>
      <c r="AK1" s="5" t="s">
        <v>1219</v>
      </c>
      <c r="AL1" s="5" t="s">
        <v>1227</v>
      </c>
      <c r="AM1" s="5" t="s">
        <v>1220</v>
      </c>
      <c r="AN1" s="5" t="s">
        <v>1221</v>
      </c>
      <c r="AO1" s="5" t="s">
        <v>38</v>
      </c>
      <c r="AP1" s="5" t="s">
        <v>1</v>
      </c>
      <c r="AQ1" s="5" t="s">
        <v>1222</v>
      </c>
      <c r="AR1" s="5" t="s">
        <v>1212</v>
      </c>
      <c r="AS1" s="6" t="s">
        <v>1237</v>
      </c>
    </row>
    <row r="2" spans="1:48" ht="15">
      <c r="A2" s="3" t="s">
        <v>41</v>
      </c>
      <c r="B2" s="1" t="s">
        <v>1248</v>
      </c>
      <c r="C2" s="2" t="s">
        <v>44</v>
      </c>
      <c r="D2" s="1" t="s">
        <v>45</v>
      </c>
      <c r="E2" s="1" t="s">
        <v>46</v>
      </c>
      <c r="F2" s="1" t="s">
        <v>47</v>
      </c>
      <c r="G2" s="1" t="s">
        <v>48</v>
      </c>
      <c r="H2" s="28" t="s">
        <v>49</v>
      </c>
      <c r="I2" s="29">
        <v>0.39583333333333331</v>
      </c>
      <c r="J2" s="2" t="str">
        <f>PROPER(Table1[[#This Row],[Visit Type2]])</f>
        <v>Checkup</v>
      </c>
      <c r="K2" s="1" t="s">
        <v>50</v>
      </c>
      <c r="L2" s="1" t="str">
        <f t="shared" si="0" ref="L2:L33">IF(M2="ER","Endocrinology",IF(M2="OB/GYN","Gastroentrology",M2))</f>
        <v>Primary Care</v>
      </c>
      <c r="M2" s="1" t="s">
        <v>51</v>
      </c>
      <c r="N2" s="72" t="s">
        <v>1391</v>
      </c>
      <c r="O2" s="1" t="s">
        <v>52</v>
      </c>
      <c r="P2" s="1" t="str">
        <f t="shared" si="1" ref="P2:P33">PROPER(SUBSTITUTE(SUBSTITUTE(SUBSTITUTE(SUBSTITUTE(SUBSTITUTE(SUBSTITUTE(SUBSTITUTE(SUBSTITUTE(SUBSTITUTE(SUBSTITUTE(Q2,"CAD","Coronary Artery Disease"),"GERD","Gastroesophageal Reflux Disease"),"BPH","Benign Prostatic Hyperplasia"),"COPD","Chronic Obstructive Pulmonary Disease"),"IBD","Inflammatory Bowel Disease"),"URI","Upper Respiratory Infection"),"PID","Pelvic Inflammatory Disease"),"DJD","Degenerative Joint Disease"),"RA","Rheumatoid Arthritis"),"DM","Diabetes Mellitus"))</f>
        <v>Hypertension</v>
      </c>
      <c r="Q2" s="1" t="s">
        <v>53</v>
      </c>
      <c r="R2" s="1" t="s">
        <v>54</v>
      </c>
      <c r="S2" s="1">
        <v>99214</v>
      </c>
      <c r="T2" s="1" t="s">
        <v>55</v>
      </c>
      <c r="U2" s="1" t="s">
        <v>56</v>
      </c>
      <c r="V2" s="1" t="s">
        <v>57</v>
      </c>
      <c r="W2" s="1" t="s">
        <v>57</v>
      </c>
      <c r="X2" s="1">
        <v>45</v>
      </c>
      <c r="Y2" s="17">
        <v>185</v>
      </c>
      <c r="Z2" s="8">
        <f>100</f>
        <v>100</v>
      </c>
      <c r="AA2" s="9">
        <f>80/(100)</f>
        <v>0.80000000000000004</v>
      </c>
      <c r="AB2" s="7">
        <v>37</v>
      </c>
      <c r="AC2" s="15">
        <v>25</v>
      </c>
      <c r="AD2" s="16">
        <v>62</v>
      </c>
      <c r="AE2" s="14">
        <v>123</v>
      </c>
      <c r="AF2" s="1" t="s">
        <v>58</v>
      </c>
      <c r="AG2" s="1" t="b">
        <v>1</v>
      </c>
      <c r="AH2" s="1" t="s">
        <v>59</v>
      </c>
      <c r="AI2" s="1" t="b">
        <v>0</v>
      </c>
      <c r="AJ2" s="1" t="b">
        <v>0</v>
      </c>
      <c r="AK2" s="1" t="b">
        <v>0</v>
      </c>
      <c r="AL2" s="1" t="b">
        <v>0</v>
      </c>
      <c r="AM2" s="1" t="s">
        <v>1236</v>
      </c>
      <c r="AN2" s="1">
        <v>4</v>
      </c>
      <c r="AO2" s="1" t="s">
        <v>60</v>
      </c>
      <c r="AP2" s="1">
        <v>95</v>
      </c>
      <c r="AQ2" s="1" t="s">
        <v>61</v>
      </c>
      <c r="AR2" s="1" t="s">
        <v>62</v>
      </c>
      <c r="AS2" s="11">
        <f>Table1[[#This Row],[Visit Cost]]*(1-Table1[[#This Row],[Insurance Coverage Pct]]/100)+Table1[[#This Row],[Copay Amount]]+Table1[[#This Row],[Deductible Applied]]</f>
        <v>245.52000000000001</v>
      </c>
      <c r="AV2" s="62"/>
    </row>
    <row r="3" spans="1:45" ht="15">
      <c r="A3" s="3" t="s">
        <v>63</v>
      </c>
      <c r="B3" s="1" t="s">
        <v>1249</v>
      </c>
      <c r="C3" s="2" t="s">
        <v>66</v>
      </c>
      <c r="D3" s="1" t="s">
        <v>67</v>
      </c>
      <c r="E3" s="1" t="s">
        <v>68</v>
      </c>
      <c r="F3" s="1" t="s">
        <v>69</v>
      </c>
      <c r="G3" s="1" t="s">
        <v>70</v>
      </c>
      <c r="H3" s="28" t="s">
        <v>71</v>
      </c>
      <c r="I3" s="29">
        <v>0.59375</v>
      </c>
      <c r="J3" s="2" t="str">
        <f>PROPER(Table1[[#This Row],[Visit Type2]])</f>
        <v>Follow-Up</v>
      </c>
      <c r="K3" s="1" t="s">
        <v>72</v>
      </c>
      <c r="L3" s="1" t="str">
        <f t="shared" si="0"/>
        <v>Cardiology</v>
      </c>
      <c r="M3" s="1" t="s">
        <v>73</v>
      </c>
      <c r="N3" s="72" t="s">
        <v>1392</v>
      </c>
      <c r="O3" s="1" t="s">
        <v>74</v>
      </c>
      <c r="P3" s="1" t="str">
        <f t="shared" si="1"/>
        <v>Coronary Artery Disease</v>
      </c>
      <c r="Q3" s="1" t="s">
        <v>75</v>
      </c>
      <c r="R3" s="1" t="s">
        <v>76</v>
      </c>
      <c r="S3" s="1">
        <v>99213</v>
      </c>
      <c r="T3" s="1" t="s">
        <v>77</v>
      </c>
      <c r="U3" s="1" t="s">
        <v>78</v>
      </c>
      <c r="V3" s="1" t="s">
        <v>79</v>
      </c>
      <c r="W3" s="1" t="s">
        <v>57</v>
      </c>
      <c r="X3" s="1">
        <v>60</v>
      </c>
      <c r="Y3" s="17">
        <v>225</v>
      </c>
      <c r="Z3" s="8">
        <f>100</f>
        <v>100</v>
      </c>
      <c r="AA3" s="9">
        <f>70/(100)</f>
        <v>0.69999999999999996</v>
      </c>
      <c r="AB3" s="7">
        <v>67.5</v>
      </c>
      <c r="AC3" s="15">
        <v>40</v>
      </c>
      <c r="AD3" s="16">
        <v>107.5</v>
      </c>
      <c r="AE3" s="14">
        <v>117.5</v>
      </c>
      <c r="AF3" s="1" t="s">
        <v>80</v>
      </c>
      <c r="AG3" s="1" t="b">
        <v>1</v>
      </c>
      <c r="AH3" s="1" t="s">
        <v>81</v>
      </c>
      <c r="AI3" s="1" t="b">
        <v>0</v>
      </c>
      <c r="AJ3" s="1" t="b">
        <v>0</v>
      </c>
      <c r="AK3" s="1" t="b">
        <v>1</v>
      </c>
      <c r="AL3" s="1" t="b">
        <v>0</v>
      </c>
      <c r="AM3" s="1" t="s">
        <v>1236</v>
      </c>
      <c r="AN3" s="1">
        <v>3</v>
      </c>
      <c r="AO3" s="1" t="s">
        <v>82</v>
      </c>
      <c r="AP3" s="1">
        <v>92</v>
      </c>
      <c r="AQ3" s="1" t="s">
        <v>83</v>
      </c>
      <c r="AR3" s="1" t="s">
        <v>84</v>
      </c>
      <c r="AS3" s="12">
        <f>Table1[[#This Row],[Visit Cost]]*(1-Table1[[#This Row],[Insurance Coverage Pct]]/100)+Table1[[#This Row],[Copay Amount]]+Table1[[#This Row],[Deductible Applied]]</f>
        <v>330.92500000000001</v>
      </c>
    </row>
    <row r="4" spans="1:45" ht="15">
      <c r="A4" s="3" t="s">
        <v>85</v>
      </c>
      <c r="B4" s="1" t="s">
        <v>1250</v>
      </c>
      <c r="C4" s="2">
        <v>23957</v>
      </c>
      <c r="D4" s="1" t="s">
        <v>45</v>
      </c>
      <c r="E4" s="1" t="s">
        <v>88</v>
      </c>
      <c r="F4" s="1" t="s">
        <v>89</v>
      </c>
      <c r="G4" s="1" t="s">
        <v>90</v>
      </c>
      <c r="H4" s="28" t="s">
        <v>91</v>
      </c>
      <c r="I4" s="29">
        <v>0.41666666666666669</v>
      </c>
      <c r="J4" s="2" t="str">
        <f>PROPER(Table1[[#This Row],[Visit Type2]])</f>
        <v>New Patient</v>
      </c>
      <c r="K4" s="1" t="s">
        <v>92</v>
      </c>
      <c r="L4" s="1" t="str">
        <f t="shared" si="0"/>
        <v>Orthopedics</v>
      </c>
      <c r="M4" s="1" t="s">
        <v>93</v>
      </c>
      <c r="N4" s="72" t="s">
        <v>1393</v>
      </c>
      <c r="O4" s="1" t="s">
        <v>94</v>
      </c>
      <c r="P4" s="1" t="str">
        <f t="shared" si="1"/>
        <v>Osteoarthritis</v>
      </c>
      <c r="Q4" s="1" t="s">
        <v>95</v>
      </c>
      <c r="R4" s="1" t="s">
        <v>96</v>
      </c>
      <c r="S4" s="1">
        <v>99204</v>
      </c>
      <c r="T4" s="1" t="s">
        <v>97</v>
      </c>
      <c r="U4" s="1" t="s">
        <v>98</v>
      </c>
      <c r="V4" s="1" t="s">
        <v>99</v>
      </c>
      <c r="W4" s="1" t="s">
        <v>57</v>
      </c>
      <c r="X4" s="1">
        <v>30</v>
      </c>
      <c r="Y4" s="17">
        <v>350</v>
      </c>
      <c r="Z4" s="8">
        <f>100</f>
        <v>100</v>
      </c>
      <c r="AA4" s="9">
        <f>85/(100)</f>
        <v>0.84999999999999998</v>
      </c>
      <c r="AB4" s="7">
        <v>52.5</v>
      </c>
      <c r="AC4" s="15">
        <v>30</v>
      </c>
      <c r="AD4" s="16">
        <v>82.5</v>
      </c>
      <c r="AE4" s="14">
        <v>267.5</v>
      </c>
      <c r="AF4" s="1" t="s">
        <v>58</v>
      </c>
      <c r="AG4" s="1" t="b">
        <v>0</v>
      </c>
      <c r="AH4" s="1" t="s">
        <v>1235</v>
      </c>
      <c r="AI4" s="1" t="b">
        <v>1</v>
      </c>
      <c r="AJ4" s="1" t="b">
        <v>1</v>
      </c>
      <c r="AK4" s="1" t="b">
        <v>0</v>
      </c>
      <c r="AL4" s="1" t="b">
        <v>0</v>
      </c>
      <c r="AM4" s="1" t="s">
        <v>100</v>
      </c>
      <c r="AN4" s="1">
        <v>5</v>
      </c>
      <c r="AO4" s="1" t="s">
        <v>101</v>
      </c>
      <c r="AP4" s="1">
        <v>88</v>
      </c>
      <c r="AQ4" s="1" t="s">
        <v>102</v>
      </c>
      <c r="AR4" s="1" t="s">
        <v>103</v>
      </c>
      <c r="AS4" s="12">
        <f>Table1[[#This Row],[Visit Cost]]*(1-Table1[[#This Row],[Insurance Coverage Pct]]/100)+Table1[[#This Row],[Copay Amount]]+Table1[[#This Row],[Deductible Applied]]</f>
        <v>429.52500000000003</v>
      </c>
    </row>
    <row r="5" spans="1:45" ht="15">
      <c r="A5" s="3" t="s">
        <v>104</v>
      </c>
      <c r="B5" s="1" t="s">
        <v>1251</v>
      </c>
      <c r="C5" s="2" t="s">
        <v>107</v>
      </c>
      <c r="D5" s="1" t="s">
        <v>67</v>
      </c>
      <c r="E5" s="1" t="s">
        <v>108</v>
      </c>
      <c r="F5" s="1" t="s">
        <v>47</v>
      </c>
      <c r="G5" s="1" t="s">
        <v>109</v>
      </c>
      <c r="H5" s="28" t="s">
        <v>110</v>
      </c>
      <c r="I5" s="29">
        <v>0.48958333333333331</v>
      </c>
      <c r="J5" s="2" t="str">
        <f>PROPER(Table1[[#This Row],[Visit Type2]])</f>
        <v>Urgent Care</v>
      </c>
      <c r="K5" s="1" t="s">
        <v>111</v>
      </c>
      <c r="L5" s="1" t="str">
        <f t="shared" si="0"/>
        <v>Endocrinology</v>
      </c>
      <c r="M5" s="1" t="s">
        <v>112</v>
      </c>
      <c r="N5" s="72" t="s">
        <v>1394</v>
      </c>
      <c r="O5" s="1" t="s">
        <v>113</v>
      </c>
      <c r="P5" s="1" t="str">
        <f t="shared" si="1"/>
        <v>Upper Respiratory</v>
      </c>
      <c r="Q5" s="1" t="s">
        <v>114</v>
      </c>
      <c r="R5" s="1" t="s">
        <v>115</v>
      </c>
      <c r="S5" s="1">
        <v>99285</v>
      </c>
      <c r="T5" s="1" t="s">
        <v>116</v>
      </c>
      <c r="U5" s="1" t="s">
        <v>117</v>
      </c>
      <c r="V5" s="1" t="s">
        <v>117</v>
      </c>
      <c r="W5" s="1" t="s">
        <v>57</v>
      </c>
      <c r="X5" s="1">
        <v>90</v>
      </c>
      <c r="Y5" s="17">
        <v>550</v>
      </c>
      <c r="Z5" s="8">
        <f>100</f>
        <v>100</v>
      </c>
      <c r="AA5" s="9">
        <f>60/(100)</f>
        <v>0.59999999999999998</v>
      </c>
      <c r="AB5" s="7">
        <v>220</v>
      </c>
      <c r="AC5" s="15">
        <v>100</v>
      </c>
      <c r="AD5" s="16">
        <v>320</v>
      </c>
      <c r="AE5" s="14">
        <v>230</v>
      </c>
      <c r="AF5" s="1" t="s">
        <v>118</v>
      </c>
      <c r="AG5" s="1" t="b">
        <v>1</v>
      </c>
      <c r="AH5" s="1" t="s">
        <v>119</v>
      </c>
      <c r="AI5" s="1" t="b">
        <v>0</v>
      </c>
      <c r="AJ5" s="1" t="b">
        <v>1</v>
      </c>
      <c r="AK5" s="1" t="b">
        <v>0</v>
      </c>
      <c r="AL5" s="1" t="b">
        <v>0</v>
      </c>
      <c r="AM5" s="1" t="s">
        <v>1236</v>
      </c>
      <c r="AN5" s="1">
        <v>4</v>
      </c>
      <c r="AO5" s="1" t="s">
        <v>120</v>
      </c>
      <c r="AP5" s="1">
        <v>90</v>
      </c>
      <c r="AQ5" s="1" t="s">
        <v>61</v>
      </c>
      <c r="AR5" s="1" t="s">
        <v>121</v>
      </c>
      <c r="AS5" s="12">
        <f>Table1[[#This Row],[Visit Cost]]*(1-Table1[[#This Row],[Insurance Coverage Pct]]/100)+Table1[[#This Row],[Copay Amount]]+Table1[[#This Row],[Deductible Applied]]</f>
        <v>866.70000000000005</v>
      </c>
    </row>
    <row r="6" spans="1:45" ht="15">
      <c r="A6" s="3" t="s">
        <v>122</v>
      </c>
      <c r="B6" s="1" t="s">
        <v>1252</v>
      </c>
      <c r="C6" s="2" t="s">
        <v>125</v>
      </c>
      <c r="D6" s="1" t="s">
        <v>45</v>
      </c>
      <c r="E6" s="1" t="s">
        <v>126</v>
      </c>
      <c r="F6" s="1" t="s">
        <v>127</v>
      </c>
      <c r="G6" s="1" t="s">
        <v>128</v>
      </c>
      <c r="H6" s="28" t="s">
        <v>129</v>
      </c>
      <c r="I6" s="29">
        <v>0.34375</v>
      </c>
      <c r="J6" s="2" t="str">
        <f>PROPER(Table1[[#This Row],[Visit Type2]])</f>
        <v>Checkup</v>
      </c>
      <c r="K6" s="1" t="s">
        <v>50</v>
      </c>
      <c r="L6" s="1" t="str">
        <f t="shared" si="0"/>
        <v>Endocrinology</v>
      </c>
      <c r="M6" s="1" t="s">
        <v>130</v>
      </c>
      <c r="N6" s="72" t="s">
        <v>1396</v>
      </c>
      <c r="O6" s="1" t="s">
        <v>131</v>
      </c>
      <c r="P6" s="1" t="str">
        <f t="shared" si="1"/>
        <v>Diabetes Type2</v>
      </c>
      <c r="Q6" s="1" t="s">
        <v>132</v>
      </c>
      <c r="R6" s="1" t="s">
        <v>133</v>
      </c>
      <c r="S6" s="1">
        <v>99214</v>
      </c>
      <c r="T6" s="1" t="s">
        <v>134</v>
      </c>
      <c r="U6" s="1" t="s">
        <v>135</v>
      </c>
      <c r="V6" s="1" t="s">
        <v>57</v>
      </c>
      <c r="W6" s="1" t="s">
        <v>57</v>
      </c>
      <c r="X6" s="1">
        <v>40</v>
      </c>
      <c r="Y6" s="17">
        <v>200</v>
      </c>
      <c r="Z6" s="8">
        <f>100</f>
        <v>100</v>
      </c>
      <c r="AA6" s="9">
        <f>100/(100)</f>
        <v>1</v>
      </c>
      <c r="AB6" s="7">
        <v>0</v>
      </c>
      <c r="AC6" s="15">
        <v>0</v>
      </c>
      <c r="AD6" s="16">
        <v>0</v>
      </c>
      <c r="AE6" s="14">
        <v>200</v>
      </c>
      <c r="AF6" s="1" t="s">
        <v>127</v>
      </c>
      <c r="AG6" s="1" t="b">
        <v>0</v>
      </c>
      <c r="AH6" s="1" t="s">
        <v>1235</v>
      </c>
      <c r="AI6" s="1" t="b">
        <v>0</v>
      </c>
      <c r="AJ6" s="1" t="b">
        <v>0</v>
      </c>
      <c r="AK6" s="1" t="b">
        <v>0</v>
      </c>
      <c r="AL6" s="1" t="b">
        <v>0</v>
      </c>
      <c r="AM6" s="1" t="s">
        <v>1236</v>
      </c>
      <c r="AN6" s="1">
        <v>5</v>
      </c>
      <c r="AO6" s="1" t="s">
        <v>136</v>
      </c>
      <c r="AP6" s="1">
        <v>98</v>
      </c>
      <c r="AQ6" s="1" t="s">
        <v>61</v>
      </c>
      <c r="AR6" s="1" t="s">
        <v>137</v>
      </c>
      <c r="AS6" s="12">
        <f>Table1[[#This Row],[Visit Cost]]*(1-Table1[[#This Row],[Insurance Coverage Pct]]/100)+Table1[[#This Row],[Copay Amount]]+Table1[[#This Row],[Deductible Applied]]</f>
        <v>198</v>
      </c>
    </row>
    <row r="7" spans="1:45" ht="15">
      <c r="A7" s="3" t="s">
        <v>138</v>
      </c>
      <c r="B7" s="1" t="s">
        <v>1253</v>
      </c>
      <c r="C7" s="2">
        <v>32275</v>
      </c>
      <c r="D7" s="1" t="s">
        <v>67</v>
      </c>
      <c r="E7" s="1" t="s">
        <v>141</v>
      </c>
      <c r="F7" s="1" t="s">
        <v>47</v>
      </c>
      <c r="G7" s="1" t="s">
        <v>142</v>
      </c>
      <c r="H7" s="28" t="s">
        <v>143</v>
      </c>
      <c r="I7" s="29">
        <v>0.5625</v>
      </c>
      <c r="J7" s="2" t="str">
        <f>PROPER(Table1[[#This Row],[Visit Type2]])</f>
        <v>Surgery</v>
      </c>
      <c r="K7" s="1" t="s">
        <v>144</v>
      </c>
      <c r="L7" s="1" t="str">
        <f t="shared" si="0"/>
        <v>General Surgery</v>
      </c>
      <c r="M7" s="1" t="s">
        <v>145</v>
      </c>
      <c r="N7" s="72" t="s">
        <v>1397</v>
      </c>
      <c r="O7" s="1" t="s">
        <v>146</v>
      </c>
      <c r="P7" s="1" t="str">
        <f t="shared" si="1"/>
        <v>Appendicitis</v>
      </c>
      <c r="Q7" s="1" t="s">
        <v>147</v>
      </c>
      <c r="R7" s="1" t="s">
        <v>148</v>
      </c>
      <c r="S7" s="1">
        <v>99223</v>
      </c>
      <c r="T7" s="1" t="s">
        <v>149</v>
      </c>
      <c r="U7" s="1" t="s">
        <v>57</v>
      </c>
      <c r="V7" s="1" t="s">
        <v>150</v>
      </c>
      <c r="W7" s="1">
        <v>44970</v>
      </c>
      <c r="X7" s="1">
        <v>120</v>
      </c>
      <c r="Y7" s="17">
        <v>12500</v>
      </c>
      <c r="Z7" s="8">
        <f>100</f>
        <v>100</v>
      </c>
      <c r="AA7" s="9">
        <f>80/(100)</f>
        <v>0.80000000000000004</v>
      </c>
      <c r="AB7" s="7">
        <v>2500</v>
      </c>
      <c r="AC7" s="15">
        <v>500</v>
      </c>
      <c r="AD7" s="16">
        <v>3000</v>
      </c>
      <c r="AE7" s="14">
        <v>9500</v>
      </c>
      <c r="AF7" s="1" t="s">
        <v>80</v>
      </c>
      <c r="AG7" s="1" t="b">
        <v>1</v>
      </c>
      <c r="AH7" s="1" t="s">
        <v>151</v>
      </c>
      <c r="AI7" s="1" t="b">
        <v>0</v>
      </c>
      <c r="AJ7" s="1" t="b">
        <v>1</v>
      </c>
      <c r="AK7" s="1" t="b">
        <v>1</v>
      </c>
      <c r="AL7" s="1" t="b">
        <v>0</v>
      </c>
      <c r="AM7" s="1" t="s">
        <v>1236</v>
      </c>
      <c r="AN7" s="1">
        <v>4</v>
      </c>
      <c r="AO7" s="1" t="s">
        <v>152</v>
      </c>
      <c r="AP7" s="1">
        <v>85</v>
      </c>
      <c r="AQ7" s="1" t="s">
        <v>153</v>
      </c>
      <c r="AR7" s="1" t="s">
        <v>154</v>
      </c>
      <c r="AS7" s="12">
        <f>Table1[[#This Row],[Visit Cost]]*(1-Table1[[#This Row],[Insurance Coverage Pct]]/100)+Table1[[#This Row],[Copay Amount]]+Table1[[#This Row],[Deductible Applied]]</f>
        <v>15400</v>
      </c>
    </row>
    <row r="8" spans="1:45" ht="15">
      <c r="A8" s="3" t="s">
        <v>155</v>
      </c>
      <c r="B8" s="1" t="s">
        <v>1254</v>
      </c>
      <c r="C8" s="2" t="s">
        <v>158</v>
      </c>
      <c r="D8" s="1" t="s">
        <v>45</v>
      </c>
      <c r="E8" s="1" t="s">
        <v>159</v>
      </c>
      <c r="F8" s="1" t="s">
        <v>69</v>
      </c>
      <c r="G8" s="1" t="s">
        <v>160</v>
      </c>
      <c r="H8" s="28" t="s">
        <v>161</v>
      </c>
      <c r="I8" s="29">
        <v>0.66666666666666663</v>
      </c>
      <c r="J8" s="2" t="str">
        <f>PROPER(Table1[[#This Row],[Visit Type2]])</f>
        <v>Follow-Up</v>
      </c>
      <c r="K8" s="1" t="s">
        <v>72</v>
      </c>
      <c r="L8" s="1" t="str">
        <f t="shared" si="0"/>
        <v>Pulmonology</v>
      </c>
      <c r="M8" s="1" t="s">
        <v>162</v>
      </c>
      <c r="N8" s="72" t="s">
        <v>1398</v>
      </c>
      <c r="O8" s="1" t="s">
        <v>163</v>
      </c>
      <c r="P8" s="1" t="str">
        <f t="shared" si="1"/>
        <v>Asthma</v>
      </c>
      <c r="Q8" s="1" t="s">
        <v>164</v>
      </c>
      <c r="R8" s="1" t="s">
        <v>165</v>
      </c>
      <c r="S8" s="1">
        <v>99213</v>
      </c>
      <c r="T8" s="1" t="s">
        <v>166</v>
      </c>
      <c r="U8" s="1" t="s">
        <v>167</v>
      </c>
      <c r="V8" s="1" t="s">
        <v>57</v>
      </c>
      <c r="W8" s="1" t="s">
        <v>57</v>
      </c>
      <c r="X8" s="1">
        <v>25</v>
      </c>
      <c r="Y8" s="17">
        <v>180</v>
      </c>
      <c r="Z8" s="8">
        <f>100</f>
        <v>100</v>
      </c>
      <c r="AA8" s="9">
        <f>70/(100)</f>
        <v>0.69999999999999996</v>
      </c>
      <c r="AB8" s="7">
        <v>54</v>
      </c>
      <c r="AC8" s="15">
        <v>35</v>
      </c>
      <c r="AD8" s="16">
        <v>89</v>
      </c>
      <c r="AE8" s="14">
        <v>91</v>
      </c>
      <c r="AF8" s="1" t="s">
        <v>58</v>
      </c>
      <c r="AG8" s="1" t="b">
        <v>1</v>
      </c>
      <c r="AH8" s="1" t="s">
        <v>168</v>
      </c>
      <c r="AI8" s="1" t="b">
        <v>0</v>
      </c>
      <c r="AJ8" s="1" t="b">
        <v>0</v>
      </c>
      <c r="AK8" s="1" t="b">
        <v>0</v>
      </c>
      <c r="AL8" s="1" t="b">
        <v>1</v>
      </c>
      <c r="AM8" s="1" t="s">
        <v>169</v>
      </c>
      <c r="AN8" s="1" t="s">
        <v>170</v>
      </c>
      <c r="AO8" s="1">
        <v>3</v>
      </c>
      <c r="AP8" s="1" t="s">
        <v>171</v>
      </c>
      <c r="AQ8" s="1">
        <v>93</v>
      </c>
      <c r="AR8" t="s">
        <v>173</v>
      </c>
      <c r="AS8" s="12">
        <f>Table1[[#This Row],[Visit Cost]]*(1-Table1[[#This Row],[Insurance Coverage Pct]]/100)+Table1[[#This Row],[Copay Amount]]+Table1[[#This Row],[Deductible Applied]]</f>
        <v>267.74000000000001</v>
      </c>
    </row>
    <row r="9" spans="1:45" ht="15">
      <c r="A9" s="3" t="s">
        <v>174</v>
      </c>
      <c r="B9" s="1" t="s">
        <v>1255</v>
      </c>
      <c r="C9" s="2">
        <v>35037</v>
      </c>
      <c r="D9" s="1" t="s">
        <v>67</v>
      </c>
      <c r="E9" s="1" t="s">
        <v>177</v>
      </c>
      <c r="F9" s="1" t="s">
        <v>47</v>
      </c>
      <c r="G9" s="1" t="s">
        <v>178</v>
      </c>
      <c r="H9" s="28" t="s">
        <v>179</v>
      </c>
      <c r="I9" s="29">
        <v>0.375</v>
      </c>
      <c r="J9" s="2" t="str">
        <f>PROPER(Table1[[#This Row],[Visit Type2]])</f>
        <v>Pediatric</v>
      </c>
      <c r="K9" s="1" t="s">
        <v>180</v>
      </c>
      <c r="L9" s="1" t="str">
        <f t="shared" si="0"/>
        <v>Pediatrics</v>
      </c>
      <c r="M9" s="1" t="s">
        <v>181</v>
      </c>
      <c r="N9" s="72" t="s">
        <v>1399</v>
      </c>
      <c r="O9" s="1" t="s">
        <v>182</v>
      </c>
      <c r="P9" s="1" t="str">
        <f t="shared" si="1"/>
        <v>Otitis Media</v>
      </c>
      <c r="Q9" s="1" t="s">
        <v>183</v>
      </c>
      <c r="R9" s="1" t="s">
        <v>184</v>
      </c>
      <c r="S9" s="1">
        <v>99212</v>
      </c>
      <c r="T9" s="1" t="s">
        <v>185</v>
      </c>
      <c r="U9" s="1" t="s">
        <v>57</v>
      </c>
      <c r="V9" s="1" t="s">
        <v>57</v>
      </c>
      <c r="W9" s="1" t="s">
        <v>57</v>
      </c>
      <c r="X9" s="1">
        <v>20</v>
      </c>
      <c r="Y9" s="17">
        <v>150</v>
      </c>
      <c r="Z9" s="8">
        <f>100</f>
        <v>100</v>
      </c>
      <c r="AA9" s="9">
        <f>90/(100)</f>
        <v>0.90000000000000002</v>
      </c>
      <c r="AB9" s="7">
        <v>15</v>
      </c>
      <c r="AC9" s="15">
        <v>10</v>
      </c>
      <c r="AD9" s="16">
        <v>25</v>
      </c>
      <c r="AE9" s="14">
        <v>125</v>
      </c>
      <c r="AF9" s="1" t="s">
        <v>80</v>
      </c>
      <c r="AG9" s="1" t="b">
        <v>0</v>
      </c>
      <c r="AH9" s="1" t="s">
        <v>1235</v>
      </c>
      <c r="AI9" s="1" t="b">
        <v>0</v>
      </c>
      <c r="AJ9" s="1" t="b">
        <v>0</v>
      </c>
      <c r="AK9" s="1" t="b">
        <v>0</v>
      </c>
      <c r="AL9" s="1" t="b">
        <v>0</v>
      </c>
      <c r="AM9" s="1" t="s">
        <v>1236</v>
      </c>
      <c r="AN9" s="1">
        <v>5</v>
      </c>
      <c r="AO9" s="1" t="s">
        <v>186</v>
      </c>
      <c r="AP9" s="1">
        <v>96</v>
      </c>
      <c r="AQ9" s="1" t="s">
        <v>61</v>
      </c>
      <c r="AR9" s="1" t="s">
        <v>187</v>
      </c>
      <c r="AS9" s="12">
        <f>Table1[[#This Row],[Visit Cost]]*(1-Table1[[#This Row],[Insurance Coverage Pct]]/100)+Table1[[#This Row],[Copay Amount]]+Table1[[#This Row],[Deductible Applied]]</f>
        <v>173.65000000000001</v>
      </c>
    </row>
    <row r="10" spans="1:45" ht="15">
      <c r="A10" s="3" t="s">
        <v>188</v>
      </c>
      <c r="B10" s="1" t="s">
        <v>1256</v>
      </c>
      <c r="C10" s="2" t="s">
        <v>191</v>
      </c>
      <c r="D10" s="1" t="s">
        <v>45</v>
      </c>
      <c r="E10" s="1" t="s">
        <v>192</v>
      </c>
      <c r="F10" s="1" t="s">
        <v>89</v>
      </c>
      <c r="G10" s="1" t="s">
        <v>193</v>
      </c>
      <c r="H10" s="28" t="s">
        <v>119</v>
      </c>
      <c r="I10" s="29">
        <v>0.61458333333333337</v>
      </c>
      <c r="J10" s="2" t="str">
        <f>PROPER(Table1[[#This Row],[Visit Type2]])</f>
        <v>New Patient</v>
      </c>
      <c r="K10" s="1" t="s">
        <v>92</v>
      </c>
      <c r="L10" s="1" t="str">
        <f t="shared" si="0"/>
        <v>Neurology</v>
      </c>
      <c r="M10" s="1" t="s">
        <v>194</v>
      </c>
      <c r="N10" s="72" t="s">
        <v>1400</v>
      </c>
      <c r="O10" s="1" t="s">
        <v>195</v>
      </c>
      <c r="P10" s="1" t="str">
        <f t="shared" si="1"/>
        <v>Migraine</v>
      </c>
      <c r="Q10" s="1" t="s">
        <v>196</v>
      </c>
      <c r="R10" s="1" t="s">
        <v>197</v>
      </c>
      <c r="S10" s="1">
        <v>99204</v>
      </c>
      <c r="T10" s="1" t="s">
        <v>198</v>
      </c>
      <c r="U10" s="1" t="s">
        <v>199</v>
      </c>
      <c r="V10" s="1" t="s">
        <v>200</v>
      </c>
      <c r="W10" s="1" t="s">
        <v>57</v>
      </c>
      <c r="X10" s="1">
        <v>50</v>
      </c>
      <c r="Y10" s="17">
        <v>450</v>
      </c>
      <c r="Z10" s="8">
        <f>100</f>
        <v>100</v>
      </c>
      <c r="AA10" s="9">
        <f>80/(100)</f>
        <v>0.80000000000000004</v>
      </c>
      <c r="AB10" s="7">
        <v>90</v>
      </c>
      <c r="AC10" s="15">
        <v>50</v>
      </c>
      <c r="AD10" s="16">
        <v>140</v>
      </c>
      <c r="AE10" s="14">
        <v>310</v>
      </c>
      <c r="AF10" s="1" t="s">
        <v>58</v>
      </c>
      <c r="AG10" s="1" t="b">
        <v>1</v>
      </c>
      <c r="AH10" s="1" t="s">
        <v>201</v>
      </c>
      <c r="AI10" s="1" t="b">
        <v>0</v>
      </c>
      <c r="AJ10" s="1" t="b">
        <v>0</v>
      </c>
      <c r="AK10" s="1" t="b">
        <v>1</v>
      </c>
      <c r="AL10" s="1" t="b">
        <v>0</v>
      </c>
      <c r="AM10" s="1" t="s">
        <v>1236</v>
      </c>
      <c r="AN10" s="1">
        <v>3</v>
      </c>
      <c r="AO10" s="1" t="s">
        <v>202</v>
      </c>
      <c r="AP10" s="1">
        <v>89</v>
      </c>
      <c r="AQ10" s="1" t="s">
        <v>203</v>
      </c>
      <c r="AR10" s="1" t="s">
        <v>204</v>
      </c>
      <c r="AS10" s="12">
        <f>Table1[[#This Row],[Visit Cost]]*(1-Table1[[#This Row],[Insurance Coverage Pct]]/100)+Table1[[#This Row],[Copay Amount]]+Table1[[#This Row],[Deductible Applied]]</f>
        <v>586.39999999999998</v>
      </c>
    </row>
    <row r="11" spans="1:45" ht="15">
      <c r="A11" s="3" t="s">
        <v>205</v>
      </c>
      <c r="B11" s="1" t="s">
        <v>1257</v>
      </c>
      <c r="C11" s="2" t="s">
        <v>208</v>
      </c>
      <c r="D11" s="1" t="s">
        <v>67</v>
      </c>
      <c r="E11" s="1" t="s">
        <v>209</v>
      </c>
      <c r="F11" s="1" t="s">
        <v>69</v>
      </c>
      <c r="G11" s="1" t="s">
        <v>210</v>
      </c>
      <c r="H11" s="28" t="s">
        <v>211</v>
      </c>
      <c r="I11" s="29">
        <v>0.4375</v>
      </c>
      <c r="J11" s="2" t="str">
        <f>PROPER(Table1[[#This Row],[Visit Type2]])</f>
        <v>Prenatal</v>
      </c>
      <c r="K11" s="1" t="s">
        <v>212</v>
      </c>
      <c r="L11" s="1" t="str">
        <f t="shared" si="0"/>
        <v>Gastroentrology</v>
      </c>
      <c r="M11" s="1" t="s">
        <v>213</v>
      </c>
      <c r="N11" s="72" t="s">
        <v>1401</v>
      </c>
      <c r="O11" s="1" t="s">
        <v>214</v>
      </c>
      <c r="P11" s="1" t="str">
        <f t="shared" si="1"/>
        <v>Pregnancy</v>
      </c>
      <c r="Q11" s="1" t="s">
        <v>215</v>
      </c>
      <c r="R11" s="1" t="s">
        <v>216</v>
      </c>
      <c r="S11" s="1">
        <v>99214</v>
      </c>
      <c r="T11" s="1" t="s">
        <v>217</v>
      </c>
      <c r="U11" s="1" t="s">
        <v>218</v>
      </c>
      <c r="V11" s="1" t="s">
        <v>218</v>
      </c>
      <c r="W11" s="1" t="s">
        <v>57</v>
      </c>
      <c r="X11" s="1">
        <v>40</v>
      </c>
      <c r="Y11" s="17">
        <v>300</v>
      </c>
      <c r="Z11" s="8">
        <f>100</f>
        <v>100</v>
      </c>
      <c r="AA11" s="9">
        <f>75/(100)</f>
        <v>0.75</v>
      </c>
      <c r="AB11" s="7">
        <v>75</v>
      </c>
      <c r="AC11" s="15">
        <v>40</v>
      </c>
      <c r="AD11" s="16">
        <v>115</v>
      </c>
      <c r="AE11" s="14">
        <v>185</v>
      </c>
      <c r="AF11" s="1" t="s">
        <v>80</v>
      </c>
      <c r="AG11" s="1" t="b">
        <v>1</v>
      </c>
      <c r="AH11" s="1" t="s">
        <v>219</v>
      </c>
      <c r="AI11" s="1" t="b">
        <v>0</v>
      </c>
      <c r="AJ11" s="1" t="b">
        <v>0</v>
      </c>
      <c r="AK11" s="1" t="b">
        <v>0</v>
      </c>
      <c r="AL11" s="1" t="b">
        <v>0</v>
      </c>
      <c r="AM11" s="1" t="s">
        <v>1236</v>
      </c>
      <c r="AN11" s="1">
        <v>5</v>
      </c>
      <c r="AO11" s="1" t="s">
        <v>220</v>
      </c>
      <c r="AP11" s="1">
        <v>97</v>
      </c>
      <c r="AQ11" s="1" t="s">
        <v>61</v>
      </c>
      <c r="AR11" s="1" t="s">
        <v>221</v>
      </c>
      <c r="AS11" s="12">
        <f>Table1[[#This Row],[Visit Cost]]*(1-Table1[[#This Row],[Insurance Coverage Pct]]/100)+Table1[[#This Row],[Copay Amount]]+Table1[[#This Row],[Deductible Applied]]</f>
        <v>412.75</v>
      </c>
    </row>
    <row r="12" spans="1:45" ht="15">
      <c r="A12" s="3" t="s">
        <v>222</v>
      </c>
      <c r="B12" s="1" t="s">
        <v>1258</v>
      </c>
      <c r="C12" s="2">
        <v>18120</v>
      </c>
      <c r="D12" s="1" t="s">
        <v>45</v>
      </c>
      <c r="E12" s="1" t="s">
        <v>225</v>
      </c>
      <c r="F12" s="1" t="s">
        <v>127</v>
      </c>
      <c r="G12" s="1" t="s">
        <v>226</v>
      </c>
      <c r="H12" s="28" t="s">
        <v>227</v>
      </c>
      <c r="I12" s="29">
        <v>0.33333333333333331</v>
      </c>
      <c r="J12" s="2" t="str">
        <f>PROPER(Table1[[#This Row],[Visit Type2]])</f>
        <v>Checkup</v>
      </c>
      <c r="K12" s="1" t="s">
        <v>50</v>
      </c>
      <c r="L12" s="1" t="str">
        <f t="shared" si="0"/>
        <v>Oncology</v>
      </c>
      <c r="M12" s="1" t="s">
        <v>228</v>
      </c>
      <c r="N12" s="72" t="s">
        <v>1402</v>
      </c>
      <c r="O12" s="1" t="s">
        <v>229</v>
      </c>
      <c r="P12" s="1" t="str">
        <f t="shared" si="1"/>
        <v>Prostate Cancer</v>
      </c>
      <c r="Q12" s="1" t="s">
        <v>230</v>
      </c>
      <c r="R12" s="1" t="s">
        <v>231</v>
      </c>
      <c r="S12" s="1">
        <v>99215</v>
      </c>
      <c r="T12" s="1" t="s">
        <v>232</v>
      </c>
      <c r="U12" s="1" t="s">
        <v>233</v>
      </c>
      <c r="V12" s="1" t="s">
        <v>234</v>
      </c>
      <c r="W12" s="1" t="s">
        <v>57</v>
      </c>
      <c r="X12" s="1">
        <v>60</v>
      </c>
      <c r="Y12" s="17">
        <v>500</v>
      </c>
      <c r="Z12" s="8">
        <f>100</f>
        <v>100</v>
      </c>
      <c r="AA12" s="9">
        <f>100/(100)</f>
        <v>1</v>
      </c>
      <c r="AB12" s="7">
        <v>0</v>
      </c>
      <c r="AC12" s="15">
        <v>0</v>
      </c>
      <c r="AD12" s="16">
        <v>0</v>
      </c>
      <c r="AE12" s="14">
        <v>500</v>
      </c>
      <c r="AF12" s="1" t="s">
        <v>127</v>
      </c>
      <c r="AG12" s="1" t="b">
        <v>1</v>
      </c>
      <c r="AH12" s="1" t="s">
        <v>235</v>
      </c>
      <c r="AI12" s="1" t="b">
        <v>0</v>
      </c>
      <c r="AJ12" s="1" t="b">
        <v>0</v>
      </c>
      <c r="AK12" s="1" t="b">
        <v>0</v>
      </c>
      <c r="AL12" s="1" t="b">
        <v>0</v>
      </c>
      <c r="AM12" s="1" t="s">
        <v>1236</v>
      </c>
      <c r="AN12" s="1">
        <v>4</v>
      </c>
      <c r="AO12" s="1" t="s">
        <v>236</v>
      </c>
      <c r="AP12" s="1">
        <v>94</v>
      </c>
      <c r="AQ12" s="1" t="s">
        <v>61</v>
      </c>
      <c r="AR12" s="1" t="s">
        <v>237</v>
      </c>
      <c r="AS12" s="12">
        <f>Table1[[#This Row],[Visit Cost]]*(1-Table1[[#This Row],[Insurance Coverage Pct]]/100)+Table1[[#This Row],[Copay Amount]]+Table1[[#This Row],[Deductible Applied]]</f>
        <v>495</v>
      </c>
    </row>
    <row r="13" spans="1:45" ht="15">
      <c r="A13" s="3" t="s">
        <v>238</v>
      </c>
      <c r="B13" s="1" t="s">
        <v>1259</v>
      </c>
      <c r="C13" s="2" t="s">
        <v>241</v>
      </c>
      <c r="D13" s="1" t="s">
        <v>67</v>
      </c>
      <c r="E13" s="1" t="s">
        <v>242</v>
      </c>
      <c r="F13" s="1" t="s">
        <v>47</v>
      </c>
      <c r="G13" s="1" t="s">
        <v>243</v>
      </c>
      <c r="H13" s="28" t="s">
        <v>244</v>
      </c>
      <c r="I13" s="29">
        <v>0.46875</v>
      </c>
      <c r="J13" s="2" t="str">
        <f>PROPER(Table1[[#This Row],[Visit Type2]])</f>
        <v>Urgent Care</v>
      </c>
      <c r="K13" s="1" t="s">
        <v>111</v>
      </c>
      <c r="L13" s="1" t="str">
        <f t="shared" si="0"/>
        <v>Dermatology</v>
      </c>
      <c r="M13" s="1" t="s">
        <v>245</v>
      </c>
      <c r="N13" s="72" t="s">
        <v>1403</v>
      </c>
      <c r="O13" s="1" t="s">
        <v>246</v>
      </c>
      <c r="P13" s="1" t="str">
        <f t="shared" si="1"/>
        <v>Contact Dermatitis</v>
      </c>
      <c r="Q13" s="1" t="s">
        <v>247</v>
      </c>
      <c r="R13" s="1" t="s">
        <v>248</v>
      </c>
      <c r="S13" s="1">
        <v>99202</v>
      </c>
      <c r="T13" s="1" t="s">
        <v>249</v>
      </c>
      <c r="U13" s="1" t="s">
        <v>57</v>
      </c>
      <c r="V13" s="1" t="s">
        <v>57</v>
      </c>
      <c r="W13" s="1" t="s">
        <v>57</v>
      </c>
      <c r="X13" s="1">
        <v>15</v>
      </c>
      <c r="Y13" s="17">
        <v>125</v>
      </c>
      <c r="Z13" s="8">
        <f>100</f>
        <v>100</v>
      </c>
      <c r="AA13" s="9">
        <f>85/(100)</f>
        <v>0.84999999999999998</v>
      </c>
      <c r="AB13" s="7">
        <v>18.75</v>
      </c>
      <c r="AC13" s="15">
        <v>15</v>
      </c>
      <c r="AD13" s="16">
        <v>33.75</v>
      </c>
      <c r="AE13" s="14">
        <v>91.25</v>
      </c>
      <c r="AF13" s="1" t="s">
        <v>58</v>
      </c>
      <c r="AG13" s="1" t="b">
        <v>0</v>
      </c>
      <c r="AH13" s="1" t="s">
        <v>1235</v>
      </c>
      <c r="AI13" s="1" t="b">
        <v>0</v>
      </c>
      <c r="AJ13" s="1" t="b">
        <v>1</v>
      </c>
      <c r="AK13" s="1" t="b">
        <v>0</v>
      </c>
      <c r="AL13" s="1" t="b">
        <v>0</v>
      </c>
      <c r="AM13" s="1" t="s">
        <v>1236</v>
      </c>
      <c r="AN13" s="1">
        <v>4</v>
      </c>
      <c r="AO13" s="1" t="s">
        <v>250</v>
      </c>
      <c r="AP13" s="1">
        <v>91</v>
      </c>
      <c r="AQ13" s="1" t="s">
        <v>61</v>
      </c>
      <c r="AR13" s="1" t="s">
        <v>251</v>
      </c>
      <c r="AS13" s="12">
        <f>Table1[[#This Row],[Visit Cost]]*(1-Table1[[#This Row],[Insurance Coverage Pct]]/100)+Table1[[#This Row],[Copay Amount]]+Table1[[#This Row],[Deductible Applied]]</f>
        <v>157.6875</v>
      </c>
    </row>
    <row r="14" spans="1:45" ht="15">
      <c r="A14" s="3" t="s">
        <v>252</v>
      </c>
      <c r="B14" s="1" t="s">
        <v>1260</v>
      </c>
      <c r="C14" s="2">
        <v>28313</v>
      </c>
      <c r="D14" s="1" t="s">
        <v>45</v>
      </c>
      <c r="E14" s="1" t="s">
        <v>255</v>
      </c>
      <c r="F14" s="1" t="s">
        <v>69</v>
      </c>
      <c r="G14" s="1" t="s">
        <v>256</v>
      </c>
      <c r="H14" s="28" t="s">
        <v>257</v>
      </c>
      <c r="I14" s="29">
        <v>0.54166666666666663</v>
      </c>
      <c r="J14" s="2" t="str">
        <f>PROPER(Table1[[#This Row],[Visit Type2]])</f>
        <v>Follow-Up</v>
      </c>
      <c r="K14" s="1" t="s">
        <v>72</v>
      </c>
      <c r="L14" s="1" t="str">
        <f t="shared" si="0"/>
        <v>Gastroenterology</v>
      </c>
      <c r="M14" s="1" t="s">
        <v>258</v>
      </c>
      <c r="N14" s="72" t="s">
        <v>1404</v>
      </c>
      <c r="O14" s="1" t="s">
        <v>259</v>
      </c>
      <c r="P14" s="1" t="str">
        <f t="shared" si="1"/>
        <v>Gastroesophageal Reflux Disease</v>
      </c>
      <c r="Q14" s="1" t="s">
        <v>260</v>
      </c>
      <c r="R14" s="1" t="s">
        <v>261</v>
      </c>
      <c r="S14" s="1">
        <v>99213</v>
      </c>
      <c r="T14" s="1" t="s">
        <v>262</v>
      </c>
      <c r="U14" s="1" t="s">
        <v>263</v>
      </c>
      <c r="V14" s="1" t="s">
        <v>57</v>
      </c>
      <c r="W14" s="1">
        <v>43239</v>
      </c>
      <c r="X14" s="1">
        <v>45</v>
      </c>
      <c r="Y14" s="17">
        <v>800</v>
      </c>
      <c r="Z14" s="8">
        <f>100</f>
        <v>100</v>
      </c>
      <c r="AA14" s="9">
        <f>70/(100)</f>
        <v>0.69999999999999996</v>
      </c>
      <c r="AB14" s="7">
        <v>240</v>
      </c>
      <c r="AC14" s="15">
        <v>80</v>
      </c>
      <c r="AD14" s="16">
        <v>320</v>
      </c>
      <c r="AE14" s="14">
        <v>480</v>
      </c>
      <c r="AF14" s="1" t="s">
        <v>80</v>
      </c>
      <c r="AG14" s="1" t="b">
        <v>1</v>
      </c>
      <c r="AH14" s="1" t="s">
        <v>264</v>
      </c>
      <c r="AI14" s="1" t="b">
        <v>0</v>
      </c>
      <c r="AJ14" s="1" t="b">
        <v>0</v>
      </c>
      <c r="AK14" s="1" t="b">
        <v>1</v>
      </c>
      <c r="AL14" s="1" t="b">
        <v>0</v>
      </c>
      <c r="AM14" s="1" t="s">
        <v>1236</v>
      </c>
      <c r="AN14" s="1">
        <v>3</v>
      </c>
      <c r="AO14" s="1" t="s">
        <v>265</v>
      </c>
      <c r="AP14" s="1">
        <v>87</v>
      </c>
      <c r="AQ14" s="1" t="s">
        <v>153</v>
      </c>
      <c r="AR14" s="1" t="s">
        <v>266</v>
      </c>
      <c r="AS14" s="12">
        <f>Table1[[#This Row],[Visit Cost]]*(1-Table1[[#This Row],[Insurance Coverage Pct]]/100)+Table1[[#This Row],[Copay Amount]]+Table1[[#This Row],[Deductible Applied]]</f>
        <v>1114.4000000000001</v>
      </c>
    </row>
    <row r="15" spans="1:45" ht="15">
      <c r="A15" s="3" t="s">
        <v>267</v>
      </c>
      <c r="B15" s="1" t="s">
        <v>1261</v>
      </c>
      <c r="C15" s="2" t="s">
        <v>270</v>
      </c>
      <c r="D15" s="1" t="s">
        <v>67</v>
      </c>
      <c r="E15" s="1" t="s">
        <v>271</v>
      </c>
      <c r="F15" s="1" t="s">
        <v>47</v>
      </c>
      <c r="G15" s="1" t="s">
        <v>272</v>
      </c>
      <c r="H15" s="28">
        <v>45293</v>
      </c>
      <c r="I15" s="29">
        <v>0.40625</v>
      </c>
      <c r="J15" s="2" t="str">
        <f>PROPER(Table1[[#This Row],[Visit Type2]])</f>
        <v>New Patient</v>
      </c>
      <c r="K15" s="1" t="s">
        <v>92</v>
      </c>
      <c r="L15" s="1" t="str">
        <f t="shared" si="0"/>
        <v>Rheumatology</v>
      </c>
      <c r="M15" s="1" t="s">
        <v>273</v>
      </c>
      <c r="N15" s="72" t="s">
        <v>1405</v>
      </c>
      <c r="O15" s="1" t="s">
        <v>274</v>
      </c>
      <c r="P15" s="1" t="str">
        <f t="shared" si="1"/>
        <v>Rheumatoid Arthritis</v>
      </c>
      <c r="Q15" s="1" t="s">
        <v>275</v>
      </c>
      <c r="R15" s="1" t="s">
        <v>276</v>
      </c>
      <c r="S15" s="1">
        <v>99204</v>
      </c>
      <c r="T15" s="1" t="s">
        <v>277</v>
      </c>
      <c r="U15" s="1" t="s">
        <v>278</v>
      </c>
      <c r="V15" s="1" t="s">
        <v>57</v>
      </c>
      <c r="W15" s="1" t="s">
        <v>57</v>
      </c>
      <c r="X15" s="1">
        <v>50</v>
      </c>
      <c r="Y15" s="17">
        <v>400</v>
      </c>
      <c r="Z15" s="8">
        <f>100</f>
        <v>100</v>
      </c>
      <c r="AA15" s="9">
        <f>80/(100)</f>
        <v>0.80000000000000004</v>
      </c>
      <c r="AB15" s="7">
        <v>80</v>
      </c>
      <c r="AC15" s="15">
        <v>45</v>
      </c>
      <c r="AD15" s="16">
        <v>125</v>
      </c>
      <c r="AE15" s="14">
        <v>275</v>
      </c>
      <c r="AF15" s="1" t="s">
        <v>118</v>
      </c>
      <c r="AG15" s="1" t="b">
        <v>1</v>
      </c>
      <c r="AH15" s="1">
        <v>45294</v>
      </c>
      <c r="AI15" s="1" t="b">
        <v>0</v>
      </c>
      <c r="AJ15" s="1" t="b">
        <v>0</v>
      </c>
      <c r="AK15" s="1" t="b">
        <v>1</v>
      </c>
      <c r="AL15" s="1" t="b">
        <v>0</v>
      </c>
      <c r="AM15" s="1" t="s">
        <v>1236</v>
      </c>
      <c r="AN15" s="1">
        <v>4</v>
      </c>
      <c r="AO15" s="1" t="s">
        <v>279</v>
      </c>
      <c r="AP15" s="1">
        <v>90</v>
      </c>
      <c r="AQ15" s="1" t="s">
        <v>61</v>
      </c>
      <c r="AR15" s="1" t="s">
        <v>280</v>
      </c>
      <c r="AS15" s="12">
        <f>Table1[[#This Row],[Visit Cost]]*(1-Table1[[#This Row],[Insurance Coverage Pct]]/100)+Table1[[#This Row],[Copay Amount]]+Table1[[#This Row],[Deductible Applied]]</f>
        <v>521.79999999999995</v>
      </c>
    </row>
    <row r="16" spans="1:45" ht="15">
      <c r="A16" s="3" t="s">
        <v>281</v>
      </c>
      <c r="B16" s="1" t="s">
        <v>1262</v>
      </c>
      <c r="C16" s="2">
        <v>21531</v>
      </c>
      <c r="D16" s="1" t="s">
        <v>45</v>
      </c>
      <c r="E16" s="1" t="s">
        <v>284</v>
      </c>
      <c r="F16" s="1" t="s">
        <v>89</v>
      </c>
      <c r="G16" s="1" t="s">
        <v>285</v>
      </c>
      <c r="H16" s="28">
        <v>45324</v>
      </c>
      <c r="I16" s="29">
        <v>0.60416666666666663</v>
      </c>
      <c r="J16" s="2" t="str">
        <f>PROPER(Table1[[#This Row],[Visit Type2]])</f>
        <v>Surgery</v>
      </c>
      <c r="K16" s="1" t="s">
        <v>144</v>
      </c>
      <c r="L16" s="1" t="str">
        <f t="shared" si="0"/>
        <v>Ophthalmology</v>
      </c>
      <c r="M16" s="1" t="s">
        <v>286</v>
      </c>
      <c r="N16" s="72" t="s">
        <v>1406</v>
      </c>
      <c r="O16" s="1" t="s">
        <v>287</v>
      </c>
      <c r="P16" s="1" t="str">
        <f t="shared" si="1"/>
        <v>Cataract</v>
      </c>
      <c r="Q16" s="1" t="s">
        <v>288</v>
      </c>
      <c r="R16" s="1" t="s">
        <v>289</v>
      </c>
      <c r="S16" s="1">
        <v>99221</v>
      </c>
      <c r="T16" s="1" t="s">
        <v>290</v>
      </c>
      <c r="U16" s="1" t="s">
        <v>57</v>
      </c>
      <c r="V16" s="1" t="s">
        <v>57</v>
      </c>
      <c r="W16" s="1">
        <v>66984</v>
      </c>
      <c r="X16" s="1">
        <v>75</v>
      </c>
      <c r="Y16" s="17">
        <v>3500</v>
      </c>
      <c r="Z16" s="8">
        <f>100</f>
        <v>100</v>
      </c>
      <c r="AA16" s="9">
        <f>80/(100)</f>
        <v>0.80000000000000004</v>
      </c>
      <c r="AB16" s="7">
        <v>700</v>
      </c>
      <c r="AC16" s="15">
        <v>200</v>
      </c>
      <c r="AD16" s="16">
        <v>900</v>
      </c>
      <c r="AE16" s="14">
        <v>2600</v>
      </c>
      <c r="AF16" s="1" t="s">
        <v>80</v>
      </c>
      <c r="AG16" s="1" t="b">
        <v>1</v>
      </c>
      <c r="AH16" s="1" t="s">
        <v>81</v>
      </c>
      <c r="AI16" s="1" t="b">
        <v>0</v>
      </c>
      <c r="AJ16" s="1" t="b">
        <v>1</v>
      </c>
      <c r="AK16" s="1" t="b">
        <v>1</v>
      </c>
      <c r="AL16" s="1" t="b">
        <v>0</v>
      </c>
      <c r="AM16" s="1" t="s">
        <v>1236</v>
      </c>
      <c r="AN16" s="1">
        <v>5</v>
      </c>
      <c r="AO16" s="1" t="s">
        <v>291</v>
      </c>
      <c r="AP16" s="1">
        <v>92</v>
      </c>
      <c r="AQ16" s="1" t="s">
        <v>172</v>
      </c>
      <c r="AR16" s="1" t="s">
        <v>292</v>
      </c>
      <c r="AS16" s="12">
        <f>Table1[[#This Row],[Visit Cost]]*(1-Table1[[#This Row],[Insurance Coverage Pct]]/100)+Table1[[#This Row],[Copay Amount]]+Table1[[#This Row],[Deductible Applied]]</f>
        <v>4372</v>
      </c>
    </row>
    <row r="17" spans="1:45" ht="15">
      <c r="A17" s="3" t="s">
        <v>293</v>
      </c>
      <c r="B17" s="1" t="s">
        <v>1263</v>
      </c>
      <c r="C17" s="2">
        <v>34037</v>
      </c>
      <c r="D17" s="1" t="s">
        <v>67</v>
      </c>
      <c r="E17" s="1" t="s">
        <v>296</v>
      </c>
      <c r="F17" s="1" t="s">
        <v>69</v>
      </c>
      <c r="G17" s="1" t="s">
        <v>297</v>
      </c>
      <c r="H17" s="28">
        <v>45414</v>
      </c>
      <c r="I17" s="29">
        <v>0.41666666666666669</v>
      </c>
      <c r="J17" s="2" t="str">
        <f>PROPER(Table1[[#This Row],[Visit Type2]])</f>
        <v>Pediatric</v>
      </c>
      <c r="K17" s="1" t="s">
        <v>180</v>
      </c>
      <c r="L17" s="1" t="str">
        <f t="shared" si="0"/>
        <v>Pediatrics</v>
      </c>
      <c r="M17" s="1" t="s">
        <v>181</v>
      </c>
      <c r="N17" s="72" t="s">
        <v>1407</v>
      </c>
      <c r="O17" s="1" t="s">
        <v>182</v>
      </c>
      <c r="P17" s="1" t="str">
        <f t="shared" si="1"/>
        <v>Well Child Visit</v>
      </c>
      <c r="Q17" s="1" t="s">
        <v>298</v>
      </c>
      <c r="R17" s="1" t="s">
        <v>299</v>
      </c>
      <c r="S17" s="1">
        <v>99211</v>
      </c>
      <c r="T17" s="1" t="s">
        <v>57</v>
      </c>
      <c r="U17" s="1" t="s">
        <v>300</v>
      </c>
      <c r="V17" s="1" t="s">
        <v>57</v>
      </c>
      <c r="W17" s="1" t="s">
        <v>57</v>
      </c>
      <c r="X17" s="1">
        <v>30</v>
      </c>
      <c r="Y17" s="17">
        <v>100</v>
      </c>
      <c r="Z17" s="8">
        <f>100</f>
        <v>100</v>
      </c>
      <c r="AA17" s="9">
        <f>100/(100)</f>
        <v>1</v>
      </c>
      <c r="AB17" s="7">
        <v>0</v>
      </c>
      <c r="AC17" s="15">
        <v>0</v>
      </c>
      <c r="AD17" s="16">
        <v>0</v>
      </c>
      <c r="AE17" s="14">
        <v>100</v>
      </c>
      <c r="AF17" s="1" t="s">
        <v>69</v>
      </c>
      <c r="AG17" s="1" t="b">
        <v>0</v>
      </c>
      <c r="AH17" s="1" t="s">
        <v>1235</v>
      </c>
      <c r="AI17" s="1" t="b">
        <v>0</v>
      </c>
      <c r="AJ17" s="1" t="b">
        <v>0</v>
      </c>
      <c r="AK17" s="1" t="b">
        <v>0</v>
      </c>
      <c r="AL17" s="1" t="b">
        <v>0</v>
      </c>
      <c r="AM17" s="1" t="s">
        <v>1236</v>
      </c>
      <c r="AN17" s="1">
        <v>5</v>
      </c>
      <c r="AO17" s="1" t="s">
        <v>301</v>
      </c>
      <c r="AP17" s="1">
        <v>99</v>
      </c>
      <c r="AQ17" s="1" t="s">
        <v>61</v>
      </c>
      <c r="AR17" s="1" t="s">
        <v>302</v>
      </c>
      <c r="AS17" s="12">
        <f>Table1[[#This Row],[Visit Cost]]*(1-Table1[[#This Row],[Insurance Coverage Pct]]/100)+Table1[[#This Row],[Copay Amount]]+Table1[[#This Row],[Deductible Applied]]</f>
        <v>99</v>
      </c>
    </row>
    <row r="18" spans="1:45" ht="15">
      <c r="A18" s="3" t="s">
        <v>303</v>
      </c>
      <c r="B18" s="1" t="s">
        <v>1264</v>
      </c>
      <c r="C18" s="2" t="s">
        <v>306</v>
      </c>
      <c r="D18" s="1" t="s">
        <v>45</v>
      </c>
      <c r="E18" s="1" t="s">
        <v>307</v>
      </c>
      <c r="F18" s="1" t="s">
        <v>47</v>
      </c>
      <c r="G18" s="1" t="s">
        <v>308</v>
      </c>
      <c r="H18" s="28">
        <v>45445</v>
      </c>
      <c r="I18" s="29">
        <v>0.67708333333333337</v>
      </c>
      <c r="J18" s="2" t="str">
        <f>PROPER(Table1[[#This Row],[Visit Type2]])</f>
        <v>Follow-Up</v>
      </c>
      <c r="K18" s="1" t="s">
        <v>72</v>
      </c>
      <c r="L18" s="1" t="str">
        <f t="shared" si="0"/>
        <v>Urology</v>
      </c>
      <c r="M18" s="1" t="s">
        <v>309</v>
      </c>
      <c r="N18" s="72" t="s">
        <v>1408</v>
      </c>
      <c r="O18" s="1" t="s">
        <v>310</v>
      </c>
      <c r="P18" s="1" t="str">
        <f t="shared" si="1"/>
        <v>Benign Prostatic Hyperplasia</v>
      </c>
      <c r="Q18" s="1" t="s">
        <v>311</v>
      </c>
      <c r="R18" s="1" t="s">
        <v>312</v>
      </c>
      <c r="S18" s="1">
        <v>99213</v>
      </c>
      <c r="T18" s="1" t="s">
        <v>313</v>
      </c>
      <c r="U18" s="1" t="s">
        <v>233</v>
      </c>
      <c r="V18" s="1" t="s">
        <v>57</v>
      </c>
      <c r="W18" s="1" t="s">
        <v>57</v>
      </c>
      <c r="X18" s="1">
        <v>25</v>
      </c>
      <c r="Y18" s="17">
        <v>190</v>
      </c>
      <c r="Z18" s="8">
        <f>100</f>
        <v>100</v>
      </c>
      <c r="AA18" s="9">
        <f>75/(100)</f>
        <v>0.75</v>
      </c>
      <c r="AB18" s="7">
        <v>47.5</v>
      </c>
      <c r="AC18" s="15">
        <v>30</v>
      </c>
      <c r="AD18" s="16">
        <v>77.5</v>
      </c>
      <c r="AE18" s="14">
        <v>112.5</v>
      </c>
      <c r="AF18" s="1" t="s">
        <v>58</v>
      </c>
      <c r="AG18" s="1" t="b">
        <v>0</v>
      </c>
      <c r="AH18" s="1" t="s">
        <v>1235</v>
      </c>
      <c r="AI18" s="1" t="b">
        <v>0</v>
      </c>
      <c r="AJ18" s="1" t="b">
        <v>0</v>
      </c>
      <c r="AK18" s="1" t="b">
        <v>0</v>
      </c>
      <c r="AL18" s="1" t="b">
        <v>0</v>
      </c>
      <c r="AM18" s="1" t="s">
        <v>1236</v>
      </c>
      <c r="AN18" s="1">
        <v>4</v>
      </c>
      <c r="AO18" s="1" t="s">
        <v>314</v>
      </c>
      <c r="AP18" s="1">
        <v>93</v>
      </c>
      <c r="AQ18" s="1" t="s">
        <v>61</v>
      </c>
      <c r="AR18" s="1" t="s">
        <v>315</v>
      </c>
      <c r="AS18" s="12">
        <f>Table1[[#This Row],[Visit Cost]]*(1-Table1[[#This Row],[Insurance Coverage Pct]]/100)+Table1[[#This Row],[Copay Amount]]+Table1[[#This Row],[Deductible Applied]]</f>
        <v>266.07500000000005</v>
      </c>
    </row>
    <row r="19" spans="1:45" ht="15">
      <c r="A19" s="3" t="s">
        <v>316</v>
      </c>
      <c r="B19" s="1" t="s">
        <v>1265</v>
      </c>
      <c r="C19" s="2">
        <v>32695</v>
      </c>
      <c r="D19" s="1" t="s">
        <v>67</v>
      </c>
      <c r="E19" s="1" t="s">
        <v>319</v>
      </c>
      <c r="F19" s="1" t="s">
        <v>127</v>
      </c>
      <c r="G19" s="1" t="s">
        <v>320</v>
      </c>
      <c r="H19" s="28">
        <v>45475</v>
      </c>
      <c r="I19" s="29">
        <v>0.36458333333333331</v>
      </c>
      <c r="J19" s="2" t="str">
        <f>PROPER(Table1[[#This Row],[Visit Type2]])</f>
        <v>Checkup</v>
      </c>
      <c r="K19" s="1" t="s">
        <v>50</v>
      </c>
      <c r="L19" s="1" t="str">
        <f t="shared" si="0"/>
        <v>Psychiatry</v>
      </c>
      <c r="M19" s="1" t="s">
        <v>321</v>
      </c>
      <c r="N19" s="72" t="s">
        <v>1409</v>
      </c>
      <c r="O19" s="1" t="s">
        <v>322</v>
      </c>
      <c r="P19" s="1" t="str">
        <f t="shared" si="1"/>
        <v>Depression</v>
      </c>
      <c r="Q19" s="1" t="s">
        <v>323</v>
      </c>
      <c r="R19" s="1" t="s">
        <v>324</v>
      </c>
      <c r="S19" s="1">
        <v>99214</v>
      </c>
      <c r="T19" s="1" t="s">
        <v>325</v>
      </c>
      <c r="U19" s="1" t="s">
        <v>57</v>
      </c>
      <c r="V19" s="1" t="s">
        <v>57</v>
      </c>
      <c r="W19" s="1" t="s">
        <v>57</v>
      </c>
      <c r="X19" s="1">
        <v>50</v>
      </c>
      <c r="Y19" s="17">
        <v>220</v>
      </c>
      <c r="Z19" s="8">
        <f>100</f>
        <v>100</v>
      </c>
      <c r="AA19" s="9">
        <f>100/(100)</f>
        <v>1</v>
      </c>
      <c r="AB19" s="7">
        <v>0</v>
      </c>
      <c r="AC19" s="15">
        <v>0</v>
      </c>
      <c r="AD19" s="16">
        <v>0</v>
      </c>
      <c r="AE19" s="14">
        <v>220</v>
      </c>
      <c r="AF19" s="1" t="s">
        <v>127</v>
      </c>
      <c r="AG19" s="1" t="b">
        <v>1</v>
      </c>
      <c r="AH19" s="1">
        <v>45476</v>
      </c>
      <c r="AI19" s="1" t="b">
        <v>0</v>
      </c>
      <c r="AJ19" s="1" t="b">
        <v>0</v>
      </c>
      <c r="AK19" s="1" t="b">
        <v>0</v>
      </c>
      <c r="AL19" s="1" t="b">
        <v>0</v>
      </c>
      <c r="AM19" s="1" t="s">
        <v>1236</v>
      </c>
      <c r="AN19" s="1">
        <v>4</v>
      </c>
      <c r="AO19" s="1" t="s">
        <v>326</v>
      </c>
      <c r="AP19" s="1">
        <v>96</v>
      </c>
      <c r="AQ19" s="1" t="s">
        <v>61</v>
      </c>
      <c r="AR19" s="1" t="s">
        <v>327</v>
      </c>
      <c r="AS19" s="12">
        <f>Table1[[#This Row],[Visit Cost]]*(1-Table1[[#This Row],[Insurance Coverage Pct]]/100)+Table1[[#This Row],[Copay Amount]]+Table1[[#This Row],[Deductible Applied]]</f>
        <v>217.80000000000001</v>
      </c>
    </row>
    <row r="20" spans="1:45" ht="15">
      <c r="A20" s="3" t="s">
        <v>328</v>
      </c>
      <c r="B20" s="1" t="s">
        <v>1266</v>
      </c>
      <c r="C20" s="2" t="s">
        <v>331</v>
      </c>
      <c r="D20" s="1" t="s">
        <v>45</v>
      </c>
      <c r="E20" s="1" t="s">
        <v>332</v>
      </c>
      <c r="F20" s="1" t="s">
        <v>47</v>
      </c>
      <c r="G20" s="1" t="s">
        <v>333</v>
      </c>
      <c r="H20" s="28">
        <v>45506</v>
      </c>
      <c r="I20" s="29">
        <v>0.5</v>
      </c>
      <c r="J20" s="2" t="str">
        <f>PROPER(Table1[[#This Row],[Visit Type2]])</f>
        <v>Urgent Care</v>
      </c>
      <c r="K20" s="1" t="s">
        <v>111</v>
      </c>
      <c r="L20" s="1" t="str">
        <f t="shared" si="0"/>
        <v>Orthopedics</v>
      </c>
      <c r="M20" s="1" t="s">
        <v>93</v>
      </c>
      <c r="N20" s="72" t="s">
        <v>1410</v>
      </c>
      <c r="O20" s="1" t="s">
        <v>94</v>
      </c>
      <c r="P20" s="1" t="str">
        <f t="shared" si="1"/>
        <v>Ankle Sprain</v>
      </c>
      <c r="Q20" s="1" t="s">
        <v>334</v>
      </c>
      <c r="R20" s="1" t="s">
        <v>335</v>
      </c>
      <c r="S20" s="1">
        <v>99203</v>
      </c>
      <c r="T20" s="1" t="s">
        <v>336</v>
      </c>
      <c r="U20" s="1" t="s">
        <v>337</v>
      </c>
      <c r="V20" s="1" t="s">
        <v>99</v>
      </c>
      <c r="W20" s="1" t="s">
        <v>57</v>
      </c>
      <c r="X20" s="1">
        <v>40</v>
      </c>
      <c r="Y20" s="17">
        <v>275</v>
      </c>
      <c r="Z20" s="8">
        <f>100</f>
        <v>100</v>
      </c>
      <c r="AA20" s="9">
        <f>70/(100)</f>
        <v>0.69999999999999996</v>
      </c>
      <c r="AB20" s="7">
        <v>82.5</v>
      </c>
      <c r="AC20" s="15">
        <v>50</v>
      </c>
      <c r="AD20" s="16">
        <v>132.5</v>
      </c>
      <c r="AE20" s="14">
        <v>142.5</v>
      </c>
      <c r="AF20" s="1" t="s">
        <v>80</v>
      </c>
      <c r="AG20" s="1" t="b">
        <v>1</v>
      </c>
      <c r="AH20" s="1" t="s">
        <v>151</v>
      </c>
      <c r="AI20" s="1" t="b">
        <v>0</v>
      </c>
      <c r="AJ20" s="1" t="b">
        <v>1</v>
      </c>
      <c r="AK20" s="1" t="b">
        <v>0</v>
      </c>
      <c r="AL20" s="1" t="b">
        <v>0</v>
      </c>
      <c r="AM20" s="1" t="s">
        <v>1236</v>
      </c>
      <c r="AN20" s="1">
        <v>3</v>
      </c>
      <c r="AO20" s="1" t="s">
        <v>338</v>
      </c>
      <c r="AP20" s="1">
        <v>88</v>
      </c>
      <c r="AQ20" s="1" t="s">
        <v>61</v>
      </c>
      <c r="AR20" s="1" t="s">
        <v>339</v>
      </c>
      <c r="AS20" s="12">
        <f>Table1[[#This Row],[Visit Cost]]*(1-Table1[[#This Row],[Insurance Coverage Pct]]/100)+Table1[[#This Row],[Copay Amount]]+Table1[[#This Row],[Deductible Applied]]</f>
        <v>405.57499999999999</v>
      </c>
    </row>
    <row r="21" spans="1:45" ht="15">
      <c r="A21" s="3" t="s">
        <v>340</v>
      </c>
      <c r="B21" s="1" t="s">
        <v>1267</v>
      </c>
      <c r="C21" s="2" t="s">
        <v>343</v>
      </c>
      <c r="D21" s="1" t="s">
        <v>67</v>
      </c>
      <c r="E21" s="1" t="s">
        <v>344</v>
      </c>
      <c r="F21" s="1" t="s">
        <v>69</v>
      </c>
      <c r="G21" s="1" t="s">
        <v>345</v>
      </c>
      <c r="H21" s="28">
        <v>45537</v>
      </c>
      <c r="I21" s="29">
        <v>0.64583333333333337</v>
      </c>
      <c r="J21" s="2" t="str">
        <f>PROPER(Table1[[#This Row],[Visit Type2]])</f>
        <v>New Patient</v>
      </c>
      <c r="K21" s="1" t="s">
        <v>92</v>
      </c>
      <c r="L21" s="1" t="str">
        <f t="shared" si="0"/>
        <v>Allergy</v>
      </c>
      <c r="M21" s="1" t="s">
        <v>346</v>
      </c>
      <c r="N21" s="72" t="s">
        <v>1411</v>
      </c>
      <c r="O21" s="1" t="s">
        <v>347</v>
      </c>
      <c r="P21" s="1" t="str">
        <f t="shared" si="1"/>
        <v>Allergic Rhinitis</v>
      </c>
      <c r="Q21" s="1" t="s">
        <v>348</v>
      </c>
      <c r="R21" s="1" t="s">
        <v>349</v>
      </c>
      <c r="S21" s="1">
        <v>99202</v>
      </c>
      <c r="T21" s="1" t="s">
        <v>350</v>
      </c>
      <c r="U21" s="1" t="s">
        <v>351</v>
      </c>
      <c r="V21" s="1" t="s">
        <v>57</v>
      </c>
      <c r="W21" s="1" t="s">
        <v>57</v>
      </c>
      <c r="X21" s="1">
        <v>35</v>
      </c>
      <c r="Y21" s="17">
        <v>175</v>
      </c>
      <c r="Z21" s="8">
        <f>100</f>
        <v>100</v>
      </c>
      <c r="AA21" s="9">
        <f>80/(100)</f>
        <v>0.80000000000000004</v>
      </c>
      <c r="AB21" s="7">
        <v>35</v>
      </c>
      <c r="AC21" s="15">
        <v>25</v>
      </c>
      <c r="AD21" s="16">
        <v>60</v>
      </c>
      <c r="AE21" s="14">
        <v>115</v>
      </c>
      <c r="AF21" s="1" t="s">
        <v>58</v>
      </c>
      <c r="AG21" s="1" t="b">
        <v>1</v>
      </c>
      <c r="AH21" s="1">
        <v>45538</v>
      </c>
      <c r="AI21" s="1" t="b">
        <v>0</v>
      </c>
      <c r="AJ21" s="1" t="b">
        <v>0</v>
      </c>
      <c r="AK21" s="1" t="b">
        <v>1</v>
      </c>
      <c r="AL21" s="1" t="b">
        <v>0</v>
      </c>
      <c r="AM21" s="1" t="s">
        <v>1236</v>
      </c>
      <c r="AN21" s="1">
        <v>4</v>
      </c>
      <c r="AO21" s="1" t="s">
        <v>352</v>
      </c>
      <c r="AP21" s="1">
        <v>91</v>
      </c>
      <c r="AQ21" s="1" t="s">
        <v>153</v>
      </c>
      <c r="AR21" s="1" t="s">
        <v>353</v>
      </c>
      <c r="AS21" s="12">
        <f>Table1[[#This Row],[Visit Cost]]*(1-Table1[[#This Row],[Insurance Coverage Pct]]/100)+Table1[[#This Row],[Copay Amount]]+Table1[[#This Row],[Deductible Applied]]</f>
        <v>233.59999999999999</v>
      </c>
    </row>
    <row r="22" spans="1:45" ht="15">
      <c r="A22" s="3" t="s">
        <v>354</v>
      </c>
      <c r="B22" s="1" t="s">
        <v>1268</v>
      </c>
      <c r="C22" s="2" t="s">
        <v>357</v>
      </c>
      <c r="D22" s="1" t="s">
        <v>45</v>
      </c>
      <c r="E22" s="1" t="s">
        <v>358</v>
      </c>
      <c r="F22" s="1" t="s">
        <v>47</v>
      </c>
      <c r="G22" s="1" t="s">
        <v>359</v>
      </c>
      <c r="H22" s="28">
        <v>45628</v>
      </c>
      <c r="I22" s="29">
        <v>0.375</v>
      </c>
      <c r="J22" s="2" t="str">
        <f>PROPER(Table1[[#This Row],[Visit Type2]])</f>
        <v>Follow-Up</v>
      </c>
      <c r="K22" s="1" t="s">
        <v>72</v>
      </c>
      <c r="L22" s="1" t="str">
        <f t="shared" si="0"/>
        <v>Cardiology</v>
      </c>
      <c r="M22" s="1" t="s">
        <v>73</v>
      </c>
      <c r="N22" s="72" t="s">
        <v>1412</v>
      </c>
      <c r="O22" s="1" t="s">
        <v>74</v>
      </c>
      <c r="P22" s="1" t="str">
        <f t="shared" si="1"/>
        <v>Hypertension</v>
      </c>
      <c r="Q22" s="1" t="s">
        <v>53</v>
      </c>
      <c r="R22" s="1" t="s">
        <v>54</v>
      </c>
      <c r="S22" s="1">
        <v>99214</v>
      </c>
      <c r="T22" s="1" t="s">
        <v>360</v>
      </c>
      <c r="U22" s="1" t="s">
        <v>361</v>
      </c>
      <c r="V22" s="1" t="s">
        <v>57</v>
      </c>
      <c r="W22" s="1" t="s">
        <v>57</v>
      </c>
      <c r="X22" s="1">
        <v>30</v>
      </c>
      <c r="Y22" s="17">
        <v>185</v>
      </c>
      <c r="Z22" s="8">
        <f>100</f>
        <v>100</v>
      </c>
      <c r="AA22" s="9">
        <f>80/(100)</f>
        <v>0.80000000000000004</v>
      </c>
      <c r="AB22" s="7">
        <v>37</v>
      </c>
      <c r="AC22" s="15">
        <v>25</v>
      </c>
      <c r="AD22" s="16">
        <v>62</v>
      </c>
      <c r="AE22" s="14">
        <v>123</v>
      </c>
      <c r="AF22" s="1" t="s">
        <v>58</v>
      </c>
      <c r="AG22" s="1" t="b">
        <v>0</v>
      </c>
      <c r="AH22" s="1" t="s">
        <v>1235</v>
      </c>
      <c r="AI22" s="1" t="b">
        <v>0</v>
      </c>
      <c r="AJ22" s="1" t="b">
        <v>0</v>
      </c>
      <c r="AK22" s="1" t="b">
        <v>0</v>
      </c>
      <c r="AL22" s="1" t="b">
        <v>0</v>
      </c>
      <c r="AM22" s="1" t="s">
        <v>1236</v>
      </c>
      <c r="AN22" s="1">
        <v>5</v>
      </c>
      <c r="AO22" s="1" t="s">
        <v>362</v>
      </c>
      <c r="AP22" s="1">
        <v>94</v>
      </c>
      <c r="AQ22" s="1" t="s">
        <v>61</v>
      </c>
      <c r="AR22" s="1" t="s">
        <v>363</v>
      </c>
      <c r="AS22" s="12">
        <f>Table1[[#This Row],[Visit Cost]]*(1-Table1[[#This Row],[Insurance Coverage Pct]]/100)+Table1[[#This Row],[Copay Amount]]+Table1[[#This Row],[Deductible Applied]]</f>
        <v>245.52000000000001</v>
      </c>
    </row>
    <row r="23" spans="1:45" ht="15">
      <c r="A23" s="3" t="s">
        <v>364</v>
      </c>
      <c r="B23" s="1" t="s">
        <v>1269</v>
      </c>
      <c r="C23" s="2" t="s">
        <v>367</v>
      </c>
      <c r="D23" s="1" t="s">
        <v>67</v>
      </c>
      <c r="E23" s="1" t="s">
        <v>368</v>
      </c>
      <c r="F23" s="1" t="s">
        <v>69</v>
      </c>
      <c r="G23" s="1" t="s">
        <v>369</v>
      </c>
      <c r="H23" s="28" t="s">
        <v>370</v>
      </c>
      <c r="I23" s="29">
        <v>0.61458333333333337</v>
      </c>
      <c r="J23" s="2" t="str">
        <f>PROPER(Table1[[#This Row],[Visit Type2]])</f>
        <v>Surgery</v>
      </c>
      <c r="K23" s="1" t="s">
        <v>144</v>
      </c>
      <c r="L23" s="1" t="str">
        <f t="shared" si="0"/>
        <v>General Surgery</v>
      </c>
      <c r="M23" s="1" t="s">
        <v>145</v>
      </c>
      <c r="N23" s="72" t="s">
        <v>1413</v>
      </c>
      <c r="O23" s="1" t="s">
        <v>146</v>
      </c>
      <c r="P23" s="1" t="str">
        <f t="shared" si="1"/>
        <v>Cholecystitis</v>
      </c>
      <c r="Q23" s="1" t="s">
        <v>371</v>
      </c>
      <c r="R23" s="1" t="s">
        <v>372</v>
      </c>
      <c r="S23" s="1">
        <v>99222</v>
      </c>
      <c r="T23" s="1" t="s">
        <v>373</v>
      </c>
      <c r="U23" s="1" t="s">
        <v>57</v>
      </c>
      <c r="V23" s="1" t="s">
        <v>374</v>
      </c>
      <c r="W23" s="1">
        <v>47600</v>
      </c>
      <c r="X23" s="1">
        <v>95</v>
      </c>
      <c r="Y23" s="17">
        <v>9800</v>
      </c>
      <c r="Z23" s="8">
        <f>100</f>
        <v>100</v>
      </c>
      <c r="AA23" s="9">
        <f>75/(100)</f>
        <v>0.75</v>
      </c>
      <c r="AB23" s="7">
        <v>2450</v>
      </c>
      <c r="AC23" s="15">
        <v>600</v>
      </c>
      <c r="AD23" s="16">
        <v>3050</v>
      </c>
      <c r="AE23" s="14">
        <v>6750</v>
      </c>
      <c r="AF23" s="1" t="s">
        <v>80</v>
      </c>
      <c r="AG23" s="1" t="b">
        <v>1</v>
      </c>
      <c r="AH23" s="1" t="s">
        <v>375</v>
      </c>
      <c r="AI23" s="1" t="b">
        <v>0</v>
      </c>
      <c r="AJ23" s="1" t="b">
        <v>1</v>
      </c>
      <c r="AK23" s="1" t="b">
        <v>1</v>
      </c>
      <c r="AL23" s="1" t="b">
        <v>0</v>
      </c>
      <c r="AM23" s="1" t="s">
        <v>1236</v>
      </c>
      <c r="AN23" s="1">
        <v>4</v>
      </c>
      <c r="AO23" s="1" t="s">
        <v>376</v>
      </c>
      <c r="AP23" s="1">
        <v>86</v>
      </c>
      <c r="AQ23" s="1" t="s">
        <v>153</v>
      </c>
      <c r="AR23" s="1" t="s">
        <v>377</v>
      </c>
      <c r="AS23" s="12">
        <f>Table1[[#This Row],[Visit Cost]]*(1-Table1[[#This Row],[Insurance Coverage Pct]]/100)+Table1[[#This Row],[Copay Amount]]+Table1[[#This Row],[Deductible Applied]]</f>
        <v>12776.5</v>
      </c>
    </row>
    <row r="24" spans="1:45" ht="15">
      <c r="A24" s="3" t="s">
        <v>378</v>
      </c>
      <c r="B24" s="1" t="s">
        <v>1270</v>
      </c>
      <c r="C24" s="2">
        <v>20219</v>
      </c>
      <c r="D24" s="1" t="s">
        <v>45</v>
      </c>
      <c r="E24" s="1" t="s">
        <v>381</v>
      </c>
      <c r="F24" s="1" t="s">
        <v>89</v>
      </c>
      <c r="G24" s="1" t="s">
        <v>382</v>
      </c>
      <c r="H24" s="28" t="s">
        <v>383</v>
      </c>
      <c r="I24" s="29">
        <v>0.47916666666666669</v>
      </c>
      <c r="J24" s="2" t="str">
        <f>PROPER(Table1[[#This Row],[Visit Type2]])</f>
        <v>Checkup</v>
      </c>
      <c r="K24" s="1" t="s">
        <v>50</v>
      </c>
      <c r="L24" s="1" t="str">
        <f t="shared" si="0"/>
        <v>Endocrinology</v>
      </c>
      <c r="M24" s="1" t="s">
        <v>130</v>
      </c>
      <c r="N24" s="72" t="s">
        <v>1414</v>
      </c>
      <c r="O24" s="1" t="s">
        <v>131</v>
      </c>
      <c r="P24" s="1" t="str">
        <f t="shared" si="1"/>
        <v>Diabetes Type1</v>
      </c>
      <c r="Q24" s="1" t="s">
        <v>384</v>
      </c>
      <c r="R24" s="1" t="s">
        <v>385</v>
      </c>
      <c r="S24" s="1">
        <v>99214</v>
      </c>
      <c r="T24" s="1" t="s">
        <v>386</v>
      </c>
      <c r="U24" s="1" t="s">
        <v>135</v>
      </c>
      <c r="V24" s="1" t="s">
        <v>57</v>
      </c>
      <c r="W24" s="1" t="s">
        <v>57</v>
      </c>
      <c r="X24" s="1">
        <v>40</v>
      </c>
      <c r="Y24" s="17">
        <v>210</v>
      </c>
      <c r="Z24" s="8">
        <f>100</f>
        <v>100</v>
      </c>
      <c r="AA24" s="9">
        <f>100/(100)</f>
        <v>1</v>
      </c>
      <c r="AB24" s="7">
        <v>0</v>
      </c>
      <c r="AC24" s="15">
        <v>0</v>
      </c>
      <c r="AD24" s="16">
        <v>0</v>
      </c>
      <c r="AE24" s="14">
        <v>210</v>
      </c>
      <c r="AF24" s="1" t="s">
        <v>89</v>
      </c>
      <c r="AG24" s="1" t="b">
        <v>1</v>
      </c>
      <c r="AH24" s="1" t="s">
        <v>387</v>
      </c>
      <c r="AI24" s="1" t="b">
        <v>0</v>
      </c>
      <c r="AJ24" s="1" t="b">
        <v>0</v>
      </c>
      <c r="AK24" s="1" t="b">
        <v>0</v>
      </c>
      <c r="AL24" s="1" t="b">
        <v>0</v>
      </c>
      <c r="AM24" s="1" t="s">
        <v>1236</v>
      </c>
      <c r="AN24" s="1">
        <v>4</v>
      </c>
      <c r="AO24" s="1" t="s">
        <v>388</v>
      </c>
      <c r="AP24" s="1">
        <v>95</v>
      </c>
      <c r="AQ24" s="1" t="s">
        <v>61</v>
      </c>
      <c r="AR24" s="1" t="s">
        <v>389</v>
      </c>
      <c r="AS24" s="12">
        <f>Table1[[#This Row],[Visit Cost]]*(1-Table1[[#This Row],[Insurance Coverage Pct]]/100)+Table1[[#This Row],[Copay Amount]]+Table1[[#This Row],[Deductible Applied]]</f>
        <v>207.90000000000001</v>
      </c>
    </row>
    <row r="25" spans="1:45" ht="15">
      <c r="A25" s="3" t="s">
        <v>390</v>
      </c>
      <c r="B25" s="1" t="s">
        <v>1271</v>
      </c>
      <c r="C25" s="2" t="s">
        <v>393</v>
      </c>
      <c r="D25" s="1" t="s">
        <v>67</v>
      </c>
      <c r="E25" s="1" t="s">
        <v>394</v>
      </c>
      <c r="F25" s="1" t="s">
        <v>47</v>
      </c>
      <c r="G25" s="1" t="s">
        <v>395</v>
      </c>
      <c r="H25" s="28" t="s">
        <v>59</v>
      </c>
      <c r="I25" s="29">
        <v>0.42708333333333331</v>
      </c>
      <c r="J25" s="2" t="str">
        <f>PROPER(Table1[[#This Row],[Visit Type2]])</f>
        <v>New Patient</v>
      </c>
      <c r="K25" s="1" t="s">
        <v>92</v>
      </c>
      <c r="L25" s="1" t="str">
        <f t="shared" si="0"/>
        <v>Dermatology</v>
      </c>
      <c r="M25" s="1" t="s">
        <v>245</v>
      </c>
      <c r="N25" s="72" t="s">
        <v>1415</v>
      </c>
      <c r="O25" s="1" t="s">
        <v>246</v>
      </c>
      <c r="P25" s="1" t="str">
        <f t="shared" si="1"/>
        <v>Acne</v>
      </c>
      <c r="Q25" s="1" t="s">
        <v>396</v>
      </c>
      <c r="R25" s="1" t="s">
        <v>397</v>
      </c>
      <c r="S25" s="1">
        <v>99203</v>
      </c>
      <c r="T25" s="1" t="s">
        <v>398</v>
      </c>
      <c r="U25" s="1" t="s">
        <v>57</v>
      </c>
      <c r="V25" s="1" t="s">
        <v>57</v>
      </c>
      <c r="W25" s="1" t="s">
        <v>57</v>
      </c>
      <c r="X25" s="1">
        <v>25</v>
      </c>
      <c r="Y25" s="17">
        <v>200</v>
      </c>
      <c r="Z25" s="8">
        <f>100</f>
        <v>100</v>
      </c>
      <c r="AA25" s="9">
        <f>85/(100)</f>
        <v>0.84999999999999998</v>
      </c>
      <c r="AB25" s="7">
        <v>30</v>
      </c>
      <c r="AC25" s="15">
        <v>20</v>
      </c>
      <c r="AD25" s="16">
        <v>50</v>
      </c>
      <c r="AE25" s="14">
        <v>150</v>
      </c>
      <c r="AF25" s="1" t="s">
        <v>118</v>
      </c>
      <c r="AG25" s="1" t="b">
        <v>1</v>
      </c>
      <c r="AH25" s="1" t="s">
        <v>264</v>
      </c>
      <c r="AI25" s="1" t="b">
        <v>0</v>
      </c>
      <c r="AJ25" s="1" t="b">
        <v>0</v>
      </c>
      <c r="AK25" s="1" t="b">
        <v>1</v>
      </c>
      <c r="AL25" s="1" t="b">
        <v>0</v>
      </c>
      <c r="AM25" s="1" t="s">
        <v>1236</v>
      </c>
      <c r="AN25" s="1">
        <v>3</v>
      </c>
      <c r="AO25" s="1" t="s">
        <v>399</v>
      </c>
      <c r="AP25" s="1">
        <v>89</v>
      </c>
      <c r="AQ25" s="1" t="s">
        <v>61</v>
      </c>
      <c r="AR25" s="1" t="s">
        <v>400</v>
      </c>
      <c r="AS25" s="12">
        <f>Table1[[#This Row],[Visit Cost]]*(1-Table1[[#This Row],[Insurance Coverage Pct]]/100)+Table1[[#This Row],[Copay Amount]]+Table1[[#This Row],[Deductible Applied]]</f>
        <v>248.30000000000001</v>
      </c>
    </row>
    <row r="26" spans="1:45" ht="15">
      <c r="A26" s="3" t="s">
        <v>401</v>
      </c>
      <c r="B26" s="1" t="s">
        <v>1272</v>
      </c>
      <c r="C26" s="2">
        <v>23082</v>
      </c>
      <c r="D26" s="1" t="s">
        <v>45</v>
      </c>
      <c r="E26" s="1" t="s">
        <v>404</v>
      </c>
      <c r="F26" s="1" t="s">
        <v>127</v>
      </c>
      <c r="G26" s="1" t="s">
        <v>405</v>
      </c>
      <c r="H26" s="28" t="s">
        <v>81</v>
      </c>
      <c r="I26" s="29">
        <v>0.54166666666666663</v>
      </c>
      <c r="J26" s="2" t="str">
        <f>PROPER(Table1[[#This Row],[Visit Type2]])</f>
        <v>Urgent Care</v>
      </c>
      <c r="K26" s="1" t="s">
        <v>111</v>
      </c>
      <c r="L26" s="1" t="str">
        <f t="shared" si="0"/>
        <v>Endocrinology</v>
      </c>
      <c r="M26" s="1" t="s">
        <v>112</v>
      </c>
      <c r="N26" s="72" t="s">
        <v>1416</v>
      </c>
      <c r="O26" s="1" t="s">
        <v>113</v>
      </c>
      <c r="P26" s="1" t="str">
        <f t="shared" si="1"/>
        <v>Pneumonia</v>
      </c>
      <c r="Q26" s="1" t="s">
        <v>406</v>
      </c>
      <c r="R26" s="1" t="s">
        <v>407</v>
      </c>
      <c r="S26" s="1">
        <v>99291</v>
      </c>
      <c r="T26" s="1" t="s">
        <v>408</v>
      </c>
      <c r="U26" s="1" t="s">
        <v>117</v>
      </c>
      <c r="V26" s="1" t="s">
        <v>117</v>
      </c>
      <c r="W26" s="1" t="s">
        <v>57</v>
      </c>
      <c r="X26" s="1">
        <v>105</v>
      </c>
      <c r="Y26" s="17">
        <v>650</v>
      </c>
      <c r="Z26" s="8">
        <f>100</f>
        <v>100</v>
      </c>
      <c r="AA26" s="9">
        <f>100/(100)</f>
        <v>1</v>
      </c>
      <c r="AB26" s="7">
        <v>0</v>
      </c>
      <c r="AC26" s="15">
        <v>0</v>
      </c>
      <c r="AD26" s="16">
        <v>0</v>
      </c>
      <c r="AE26" s="14">
        <v>650</v>
      </c>
      <c r="AF26" s="1" t="s">
        <v>127</v>
      </c>
      <c r="AG26" s="1" t="b">
        <v>1</v>
      </c>
      <c r="AH26" s="1" t="s">
        <v>168</v>
      </c>
      <c r="AI26" s="1" t="b">
        <v>0</v>
      </c>
      <c r="AJ26" s="1" t="b">
        <v>1</v>
      </c>
      <c r="AK26" s="1" t="b">
        <v>0</v>
      </c>
      <c r="AL26" s="1" t="b">
        <v>0</v>
      </c>
      <c r="AM26" s="1" t="s">
        <v>1236</v>
      </c>
      <c r="AN26" s="1">
        <v>4</v>
      </c>
      <c r="AO26" s="1" t="s">
        <v>409</v>
      </c>
      <c r="AP26" s="1">
        <v>92</v>
      </c>
      <c r="AQ26" s="1" t="s">
        <v>61</v>
      </c>
      <c r="AR26" s="1" t="s">
        <v>410</v>
      </c>
      <c r="AS26" s="12">
        <f>Table1[[#This Row],[Visit Cost]]*(1-Table1[[#This Row],[Insurance Coverage Pct]]/100)+Table1[[#This Row],[Copay Amount]]+Table1[[#This Row],[Deductible Applied]]</f>
        <v>643.5</v>
      </c>
    </row>
    <row r="27" spans="1:45" ht="15">
      <c r="A27" s="3" t="s">
        <v>411</v>
      </c>
      <c r="B27" s="1" t="s">
        <v>1273</v>
      </c>
      <c r="C27" s="2" t="s">
        <v>414</v>
      </c>
      <c r="D27" s="1" t="s">
        <v>67</v>
      </c>
      <c r="E27" s="1" t="s">
        <v>415</v>
      </c>
      <c r="F27" s="1" t="s">
        <v>47</v>
      </c>
      <c r="G27" s="1" t="s">
        <v>416</v>
      </c>
      <c r="H27" s="28" t="s">
        <v>417</v>
      </c>
      <c r="I27" s="29">
        <v>0.35416666666666669</v>
      </c>
      <c r="J27" s="2" t="str">
        <f>PROPER(Table1[[#This Row],[Visit Type2]])</f>
        <v>Prenatal</v>
      </c>
      <c r="K27" s="1" t="s">
        <v>212</v>
      </c>
      <c r="L27" s="1" t="str">
        <f t="shared" si="0"/>
        <v>Gastroentrology</v>
      </c>
      <c r="M27" s="1" t="s">
        <v>213</v>
      </c>
      <c r="N27" s="72" t="s">
        <v>1417</v>
      </c>
      <c r="O27" s="1" t="s">
        <v>214</v>
      </c>
      <c r="P27" s="1" t="str">
        <f t="shared" si="1"/>
        <v>Pregnancy</v>
      </c>
      <c r="Q27" s="1" t="s">
        <v>215</v>
      </c>
      <c r="R27" s="1" t="s">
        <v>216</v>
      </c>
      <c r="S27" s="1">
        <v>99213</v>
      </c>
      <c r="T27" s="1" t="s">
        <v>217</v>
      </c>
      <c r="U27" s="1" t="s">
        <v>218</v>
      </c>
      <c r="V27" s="1" t="s">
        <v>218</v>
      </c>
      <c r="W27" s="1" t="s">
        <v>57</v>
      </c>
      <c r="X27" s="1">
        <v>35</v>
      </c>
      <c r="Y27" s="17">
        <v>280</v>
      </c>
      <c r="Z27" s="8">
        <f>100</f>
        <v>100</v>
      </c>
      <c r="AA27" s="9">
        <f>80/(100)</f>
        <v>0.80000000000000004</v>
      </c>
      <c r="AB27" s="7">
        <v>56</v>
      </c>
      <c r="AC27" s="15">
        <v>35</v>
      </c>
      <c r="AD27" s="16">
        <v>91</v>
      </c>
      <c r="AE27" s="14">
        <v>189</v>
      </c>
      <c r="AF27" s="1" t="s">
        <v>80</v>
      </c>
      <c r="AG27" s="1" t="b">
        <v>1</v>
      </c>
      <c r="AH27" s="1" t="s">
        <v>418</v>
      </c>
      <c r="AI27" s="1" t="b">
        <v>0</v>
      </c>
      <c r="AJ27" s="1" t="b">
        <v>0</v>
      </c>
      <c r="AK27" s="1" t="b">
        <v>0</v>
      </c>
      <c r="AL27" s="1" t="b">
        <v>0</v>
      </c>
      <c r="AM27" s="1" t="s">
        <v>1236</v>
      </c>
      <c r="AN27" s="1">
        <v>5</v>
      </c>
      <c r="AO27" s="1" t="s">
        <v>419</v>
      </c>
      <c r="AP27" s="1">
        <v>98</v>
      </c>
      <c r="AQ27" s="1" t="s">
        <v>61</v>
      </c>
      <c r="AR27" s="1" t="s">
        <v>420</v>
      </c>
      <c r="AS27" s="12">
        <f>Table1[[#This Row],[Visit Cost]]*(1-Table1[[#This Row],[Insurance Coverage Pct]]/100)+Table1[[#This Row],[Copay Amount]]+Table1[[#This Row],[Deductible Applied]]</f>
        <v>368.75999999999999</v>
      </c>
    </row>
    <row r="28" spans="1:45" ht="15">
      <c r="A28" s="3" t="s">
        <v>421</v>
      </c>
      <c r="B28" s="1" t="s">
        <v>1274</v>
      </c>
      <c r="C28" s="2">
        <v>26246</v>
      </c>
      <c r="D28" s="1" t="s">
        <v>45</v>
      </c>
      <c r="E28" s="1" t="s">
        <v>424</v>
      </c>
      <c r="F28" s="1" t="s">
        <v>69</v>
      </c>
      <c r="G28" s="1" t="s">
        <v>425</v>
      </c>
      <c r="H28" s="28" t="s">
        <v>426</v>
      </c>
      <c r="I28" s="29">
        <v>0.65625</v>
      </c>
      <c r="J28" s="2" t="str">
        <f>PROPER(Table1[[#This Row],[Visit Type2]])</f>
        <v>Follow-Up</v>
      </c>
      <c r="K28" s="1" t="s">
        <v>72</v>
      </c>
      <c r="L28" s="1" t="str">
        <f t="shared" si="0"/>
        <v>Neurology</v>
      </c>
      <c r="M28" s="1" t="s">
        <v>194</v>
      </c>
      <c r="N28" s="72" t="s">
        <v>1418</v>
      </c>
      <c r="O28" s="1" t="s">
        <v>195</v>
      </c>
      <c r="P28" s="1" t="str">
        <f t="shared" si="1"/>
        <v>Epilepsy</v>
      </c>
      <c r="Q28" s="1" t="s">
        <v>427</v>
      </c>
      <c r="R28" s="1" t="s">
        <v>428</v>
      </c>
      <c r="S28" s="1">
        <v>99213</v>
      </c>
      <c r="T28" s="1" t="s">
        <v>429</v>
      </c>
      <c r="U28" s="1" t="s">
        <v>430</v>
      </c>
      <c r="V28" s="1" t="s">
        <v>57</v>
      </c>
      <c r="W28" s="1" t="s">
        <v>57</v>
      </c>
      <c r="X28" s="1">
        <v>50</v>
      </c>
      <c r="Y28" s="17">
        <v>240</v>
      </c>
      <c r="Z28" s="8">
        <f>100</f>
        <v>100</v>
      </c>
      <c r="AA28" s="9">
        <f>70/(100)</f>
        <v>0.69999999999999996</v>
      </c>
      <c r="AB28" s="7">
        <v>72</v>
      </c>
      <c r="AC28" s="15">
        <v>45</v>
      </c>
      <c r="AD28" s="16">
        <v>117</v>
      </c>
      <c r="AE28" s="14">
        <v>123</v>
      </c>
      <c r="AF28" s="1" t="s">
        <v>58</v>
      </c>
      <c r="AG28" s="1" t="b">
        <v>1</v>
      </c>
      <c r="AH28" s="1" t="s">
        <v>431</v>
      </c>
      <c r="AI28" s="1" t="b">
        <v>0</v>
      </c>
      <c r="AJ28" s="1" t="b">
        <v>0</v>
      </c>
      <c r="AK28" s="1" t="b">
        <v>0</v>
      </c>
      <c r="AL28" s="1" t="b">
        <v>1</v>
      </c>
      <c r="AM28" s="1" t="s">
        <v>432</v>
      </c>
      <c r="AN28" s="1">
        <v>3</v>
      </c>
      <c r="AO28" s="1" t="s">
        <v>433</v>
      </c>
      <c r="AP28" s="1">
        <v>91</v>
      </c>
      <c r="AQ28" s="1" t="s">
        <v>172</v>
      </c>
      <c r="AR28" s="1" t="s">
        <v>434</v>
      </c>
      <c r="AS28" s="12">
        <f>Table1[[#This Row],[Visit Cost]]*(1-Table1[[#This Row],[Insurance Coverage Pct]]/100)+Table1[[#This Row],[Copay Amount]]+Table1[[#This Row],[Deductible Applied]]</f>
        <v>355.31999999999999</v>
      </c>
    </row>
    <row r="29" spans="1:45" ht="15">
      <c r="A29" s="3" t="s">
        <v>435</v>
      </c>
      <c r="B29" s="1" t="s">
        <v>1275</v>
      </c>
      <c r="C29" s="2">
        <v>35644</v>
      </c>
      <c r="D29" s="1" t="s">
        <v>67</v>
      </c>
      <c r="E29" s="1" t="s">
        <v>438</v>
      </c>
      <c r="F29" s="1" t="s">
        <v>47</v>
      </c>
      <c r="G29" s="1" t="s">
        <v>439</v>
      </c>
      <c r="H29" s="28" t="s">
        <v>440</v>
      </c>
      <c r="I29" s="29">
        <v>0.40972222222222221</v>
      </c>
      <c r="J29" s="2" t="str">
        <f>PROPER(Table1[[#This Row],[Visit Type2]])</f>
        <v>Pediatric</v>
      </c>
      <c r="K29" s="1" t="s">
        <v>180</v>
      </c>
      <c r="L29" s="1" t="str">
        <f t="shared" si="0"/>
        <v>Pediatrics</v>
      </c>
      <c r="M29" s="1" t="s">
        <v>181</v>
      </c>
      <c r="N29" s="72" t="s">
        <v>1419</v>
      </c>
      <c r="O29" s="1" t="s">
        <v>182</v>
      </c>
      <c r="P29" s="1" t="str">
        <f t="shared" si="1"/>
        <v>Asthma</v>
      </c>
      <c r="Q29" s="1" t="s">
        <v>164</v>
      </c>
      <c r="R29" s="1" t="s">
        <v>165</v>
      </c>
      <c r="S29" s="1">
        <v>99212</v>
      </c>
      <c r="T29" s="1" t="s">
        <v>166</v>
      </c>
      <c r="U29" s="1" t="s">
        <v>57</v>
      </c>
      <c r="V29" s="1" t="s">
        <v>57</v>
      </c>
      <c r="W29" s="1" t="s">
        <v>57</v>
      </c>
      <c r="X29" s="1">
        <v>20</v>
      </c>
      <c r="Y29" s="17">
        <v>145</v>
      </c>
      <c r="Z29" s="8">
        <f>100</f>
        <v>100</v>
      </c>
      <c r="AA29" s="9">
        <f>90/(100)</f>
        <v>0.90000000000000002</v>
      </c>
      <c r="AB29" s="7">
        <v>14.5</v>
      </c>
      <c r="AC29" s="15">
        <v>10</v>
      </c>
      <c r="AD29" s="16">
        <v>24.5</v>
      </c>
      <c r="AE29" s="14">
        <v>120.5</v>
      </c>
      <c r="AF29" s="1" t="s">
        <v>80</v>
      </c>
      <c r="AG29" s="1" t="b">
        <v>0</v>
      </c>
      <c r="AH29" s="1" t="s">
        <v>1235</v>
      </c>
      <c r="AI29" s="1" t="b">
        <v>0</v>
      </c>
      <c r="AJ29" s="1" t="b">
        <v>0</v>
      </c>
      <c r="AK29" s="1" t="b">
        <v>0</v>
      </c>
      <c r="AL29" s="1" t="b">
        <v>0</v>
      </c>
      <c r="AM29" s="1" t="s">
        <v>1236</v>
      </c>
      <c r="AN29" s="1">
        <v>4</v>
      </c>
      <c r="AO29" s="1" t="s">
        <v>441</v>
      </c>
      <c r="AP29" s="1">
        <v>93</v>
      </c>
      <c r="AQ29" s="1" t="s">
        <v>61</v>
      </c>
      <c r="AR29" s="1" t="s">
        <v>442</v>
      </c>
      <c r="AS29" s="12">
        <f>Table1[[#This Row],[Visit Cost]]*(1-Table1[[#This Row],[Insurance Coverage Pct]]/100)+Table1[[#This Row],[Copay Amount]]+Table1[[#This Row],[Deductible Applied]]</f>
        <v>168.19499999999999</v>
      </c>
    </row>
    <row r="30" spans="1:45" ht="15">
      <c r="A30" s="3" t="s">
        <v>443</v>
      </c>
      <c r="B30" s="1" t="s">
        <v>1276</v>
      </c>
      <c r="C30" s="2" t="s">
        <v>446</v>
      </c>
      <c r="D30" s="1" t="s">
        <v>45</v>
      </c>
      <c r="E30" s="1" t="s">
        <v>447</v>
      </c>
      <c r="F30" s="1" t="s">
        <v>89</v>
      </c>
      <c r="G30" s="1" t="s">
        <v>448</v>
      </c>
      <c r="H30" s="28" t="s">
        <v>151</v>
      </c>
      <c r="I30" s="29">
        <v>0.51041666666666663</v>
      </c>
      <c r="J30" s="2" t="str">
        <f>PROPER(Table1[[#This Row],[Visit Type2]])</f>
        <v>Surgery</v>
      </c>
      <c r="K30" s="1" t="s">
        <v>144</v>
      </c>
      <c r="L30" s="1" t="str">
        <f t="shared" si="0"/>
        <v>Ophthalmology</v>
      </c>
      <c r="M30" s="1" t="s">
        <v>286</v>
      </c>
      <c r="N30" s="72" t="s">
        <v>1420</v>
      </c>
      <c r="O30" s="1" t="s">
        <v>287</v>
      </c>
      <c r="P30" s="1" t="str">
        <f t="shared" si="1"/>
        <v>Cataract</v>
      </c>
      <c r="Q30" s="1" t="s">
        <v>288</v>
      </c>
      <c r="R30" s="1" t="s">
        <v>289</v>
      </c>
      <c r="S30" s="1">
        <v>99221</v>
      </c>
      <c r="T30" s="1" t="s">
        <v>290</v>
      </c>
      <c r="U30" s="1" t="s">
        <v>57</v>
      </c>
      <c r="V30" s="1" t="s">
        <v>57</v>
      </c>
      <c r="W30" s="1">
        <v>66984</v>
      </c>
      <c r="X30" s="1">
        <v>80</v>
      </c>
      <c r="Y30" s="17">
        <v>3600</v>
      </c>
      <c r="Z30" s="8">
        <f>100</f>
        <v>100</v>
      </c>
      <c r="AA30" s="9">
        <f>80/(100)</f>
        <v>0.80000000000000004</v>
      </c>
      <c r="AB30" s="7">
        <v>720</v>
      </c>
      <c r="AC30" s="15">
        <v>200</v>
      </c>
      <c r="AD30" s="16">
        <v>920</v>
      </c>
      <c r="AE30" s="14">
        <v>2680</v>
      </c>
      <c r="AF30" s="1" t="s">
        <v>80</v>
      </c>
      <c r="AG30" s="1" t="b">
        <v>1</v>
      </c>
      <c r="AH30" s="1">
        <v>45507</v>
      </c>
      <c r="AI30" s="1" t="b">
        <v>0</v>
      </c>
      <c r="AJ30" s="1" t="b">
        <v>1</v>
      </c>
      <c r="AK30" s="1" t="b">
        <v>1</v>
      </c>
      <c r="AL30" s="1" t="b">
        <v>0</v>
      </c>
      <c r="AM30" s="1" t="s">
        <v>1236</v>
      </c>
      <c r="AN30" s="1">
        <v>5</v>
      </c>
      <c r="AO30" s="1" t="s">
        <v>449</v>
      </c>
      <c r="AP30" s="1">
        <v>90</v>
      </c>
      <c r="AQ30" s="1" t="s">
        <v>172</v>
      </c>
      <c r="AR30" s="1" t="s">
        <v>450</v>
      </c>
      <c r="AS30" s="12">
        <f>Table1[[#This Row],[Visit Cost]]*(1-Table1[[#This Row],[Insurance Coverage Pct]]/100)+Table1[[#This Row],[Copay Amount]]+Table1[[#This Row],[Deductible Applied]]</f>
        <v>4491.1999999999998</v>
      </c>
    </row>
    <row r="31" spans="1:45" ht="15">
      <c r="A31" s="3" t="s">
        <v>451</v>
      </c>
      <c r="B31" s="1" t="s">
        <v>1277</v>
      </c>
      <c r="C31" s="2" t="s">
        <v>454</v>
      </c>
      <c r="D31" s="1" t="s">
        <v>67</v>
      </c>
      <c r="E31" s="1" t="s">
        <v>455</v>
      </c>
      <c r="F31" s="1" t="s">
        <v>69</v>
      </c>
      <c r="G31" s="1" t="s">
        <v>456</v>
      </c>
      <c r="H31" s="28" t="s">
        <v>168</v>
      </c>
      <c r="I31" s="29">
        <v>0.6875</v>
      </c>
      <c r="J31" s="2" t="str">
        <f>PROPER(Table1[[#This Row],[Visit Type2]])</f>
        <v>New Patient</v>
      </c>
      <c r="K31" s="1" t="s">
        <v>92</v>
      </c>
      <c r="L31" s="1" t="str">
        <f t="shared" si="0"/>
        <v>Rheumatology</v>
      </c>
      <c r="M31" s="1" t="s">
        <v>273</v>
      </c>
      <c r="N31" s="72" t="s">
        <v>1421</v>
      </c>
      <c r="O31" s="1" t="s">
        <v>274</v>
      </c>
      <c r="P31" s="1" t="str">
        <f t="shared" si="1"/>
        <v>Lupus</v>
      </c>
      <c r="Q31" s="1" t="s">
        <v>457</v>
      </c>
      <c r="R31" s="1" t="s">
        <v>458</v>
      </c>
      <c r="S31" s="1">
        <v>99204</v>
      </c>
      <c r="T31" s="1" t="s">
        <v>459</v>
      </c>
      <c r="U31" s="1" t="s">
        <v>460</v>
      </c>
      <c r="V31" s="1" t="s">
        <v>57</v>
      </c>
      <c r="W31" s="1" t="s">
        <v>57</v>
      </c>
      <c r="X31" s="1">
        <v>55</v>
      </c>
      <c r="Y31" s="17">
        <v>420</v>
      </c>
      <c r="Z31" s="8">
        <f>100</f>
        <v>100</v>
      </c>
      <c r="AA31" s="9">
        <f>75/(100)</f>
        <v>0.75</v>
      </c>
      <c r="AB31" s="7">
        <v>105</v>
      </c>
      <c r="AC31" s="15">
        <v>60</v>
      </c>
      <c r="AD31" s="16">
        <v>165</v>
      </c>
      <c r="AE31" s="14">
        <v>255</v>
      </c>
      <c r="AF31" s="1" t="s">
        <v>118</v>
      </c>
      <c r="AG31" s="1" t="b">
        <v>1</v>
      </c>
      <c r="AH31" s="1" t="s">
        <v>461</v>
      </c>
      <c r="AI31" s="1" t="b">
        <v>0</v>
      </c>
      <c r="AJ31" s="1" t="b">
        <v>0</v>
      </c>
      <c r="AK31" s="1" t="b">
        <v>1</v>
      </c>
      <c r="AL31" s="1" t="b">
        <v>0</v>
      </c>
      <c r="AM31" s="1" t="s">
        <v>1236</v>
      </c>
      <c r="AN31" s="1">
        <v>4</v>
      </c>
      <c r="AO31" s="1" t="s">
        <v>462</v>
      </c>
      <c r="AP31" s="1">
        <v>87</v>
      </c>
      <c r="AQ31" s="1" t="s">
        <v>61</v>
      </c>
      <c r="AR31" s="1" t="s">
        <v>463</v>
      </c>
      <c r="AS31" s="12">
        <f>Table1[[#This Row],[Visit Cost]]*(1-Table1[[#This Row],[Insurance Coverage Pct]]/100)+Table1[[#This Row],[Copay Amount]]+Table1[[#This Row],[Deductible Applied]]</f>
        <v>581.85000000000002</v>
      </c>
    </row>
    <row r="32" spans="1:45" ht="15">
      <c r="A32" s="3" t="s">
        <v>464</v>
      </c>
      <c r="B32" s="1" t="s">
        <v>1278</v>
      </c>
      <c r="C32" s="2">
        <v>28675</v>
      </c>
      <c r="D32" s="1" t="s">
        <v>45</v>
      </c>
      <c r="E32" s="1" t="s">
        <v>467</v>
      </c>
      <c r="F32" s="1" t="s">
        <v>47</v>
      </c>
      <c r="G32" s="1" t="s">
        <v>468</v>
      </c>
      <c r="H32" s="28" t="s">
        <v>219</v>
      </c>
      <c r="I32" s="29">
        <v>0.41666666666666669</v>
      </c>
      <c r="J32" s="2" t="str">
        <f>PROPER(Table1[[#This Row],[Visit Type2]])</f>
        <v>Checkup</v>
      </c>
      <c r="K32" s="1" t="s">
        <v>50</v>
      </c>
      <c r="L32" s="1" t="str">
        <f t="shared" si="0"/>
        <v>Urology</v>
      </c>
      <c r="M32" s="1" t="s">
        <v>309</v>
      </c>
      <c r="N32" s="72" t="s">
        <v>1422</v>
      </c>
      <c r="O32" s="1" t="s">
        <v>310</v>
      </c>
      <c r="P32" s="1" t="str">
        <f t="shared" si="1"/>
        <v>Kidney Stones</v>
      </c>
      <c r="Q32" s="1" t="s">
        <v>469</v>
      </c>
      <c r="R32" s="1" t="s">
        <v>470</v>
      </c>
      <c r="S32" s="1">
        <v>99214</v>
      </c>
      <c r="T32" s="1" t="s">
        <v>313</v>
      </c>
      <c r="U32" s="1" t="s">
        <v>471</v>
      </c>
      <c r="V32" s="1" t="s">
        <v>234</v>
      </c>
      <c r="W32" s="1" t="s">
        <v>57</v>
      </c>
      <c r="X32" s="1">
        <v>40</v>
      </c>
      <c r="Y32" s="17">
        <v>550</v>
      </c>
      <c r="Z32" s="8">
        <f>100</f>
        <v>100</v>
      </c>
      <c r="AA32" s="9">
        <f>80/(100)</f>
        <v>0.80000000000000004</v>
      </c>
      <c r="AB32" s="7">
        <v>110</v>
      </c>
      <c r="AC32" s="15">
        <v>50</v>
      </c>
      <c r="AD32" s="16">
        <v>160</v>
      </c>
      <c r="AE32" s="14">
        <v>390</v>
      </c>
      <c r="AF32" s="1" t="s">
        <v>58</v>
      </c>
      <c r="AG32" s="1" t="b">
        <v>1</v>
      </c>
      <c r="AH32" s="1" t="s">
        <v>472</v>
      </c>
      <c r="AI32" s="1" t="b">
        <v>0</v>
      </c>
      <c r="AJ32" s="1" t="b">
        <v>0</v>
      </c>
      <c r="AK32" s="1" t="b">
        <v>0</v>
      </c>
      <c r="AL32" s="1" t="b">
        <v>0</v>
      </c>
      <c r="AM32" s="1" t="s">
        <v>1236</v>
      </c>
      <c r="AN32" s="1">
        <v>3</v>
      </c>
      <c r="AO32" s="1" t="s">
        <v>473</v>
      </c>
      <c r="AP32" s="1">
        <v>88</v>
      </c>
      <c r="AQ32" s="1" t="s">
        <v>153</v>
      </c>
      <c r="AR32" s="1" t="s">
        <v>474</v>
      </c>
      <c r="AS32" s="12">
        <f>Table1[[#This Row],[Visit Cost]]*(1-Table1[[#This Row],[Insurance Coverage Pct]]/100)+Table1[[#This Row],[Copay Amount]]+Table1[[#This Row],[Deductible Applied]]</f>
        <v>705.60000000000002</v>
      </c>
    </row>
    <row r="33" spans="1:45" ht="15">
      <c r="A33" s="3" t="s">
        <v>475</v>
      </c>
      <c r="B33" s="1" t="s">
        <v>1279</v>
      </c>
      <c r="C33" s="2" t="s">
        <v>478</v>
      </c>
      <c r="D33" s="1" t="s">
        <v>67</v>
      </c>
      <c r="E33" s="1" t="s">
        <v>479</v>
      </c>
      <c r="F33" s="1" t="s">
        <v>69</v>
      </c>
      <c r="G33" s="1" t="s">
        <v>480</v>
      </c>
      <c r="H33" s="28" t="s">
        <v>481</v>
      </c>
      <c r="I33" s="29">
        <v>0.59375</v>
      </c>
      <c r="J33" s="2" t="str">
        <f>PROPER(Table1[[#This Row],[Visit Type2]])</f>
        <v>Urgent Care</v>
      </c>
      <c r="K33" s="1" t="s">
        <v>111</v>
      </c>
      <c r="L33" s="1" t="str">
        <f t="shared" si="0"/>
        <v>Gastroenterology</v>
      </c>
      <c r="M33" s="1" t="s">
        <v>258</v>
      </c>
      <c r="N33" s="72" t="s">
        <v>1423</v>
      </c>
      <c r="O33" s="1" t="s">
        <v>259</v>
      </c>
      <c r="P33" s="1" t="str">
        <f t="shared" si="1"/>
        <v>Gastroenteritis</v>
      </c>
      <c r="Q33" s="1" t="s">
        <v>482</v>
      </c>
      <c r="R33" s="1" t="s">
        <v>483</v>
      </c>
      <c r="S33" s="1">
        <v>99202</v>
      </c>
      <c r="T33" s="1" t="s">
        <v>484</v>
      </c>
      <c r="U33" s="1" t="s">
        <v>57</v>
      </c>
      <c r="V33" s="1" t="s">
        <v>57</v>
      </c>
      <c r="W33" s="1" t="s">
        <v>57</v>
      </c>
      <c r="X33" s="1">
        <v>25</v>
      </c>
      <c r="Y33" s="17">
        <v>160</v>
      </c>
      <c r="Z33" s="8">
        <f>100</f>
        <v>100</v>
      </c>
      <c r="AA33" s="9">
        <f>70/(100)</f>
        <v>0.69999999999999996</v>
      </c>
      <c r="AB33" s="7">
        <v>48</v>
      </c>
      <c r="AC33" s="15">
        <v>30</v>
      </c>
      <c r="AD33" s="16">
        <v>78</v>
      </c>
      <c r="AE33" s="14">
        <v>82</v>
      </c>
      <c r="AF33" s="1" t="s">
        <v>80</v>
      </c>
      <c r="AG33" s="1" t="b">
        <v>0</v>
      </c>
      <c r="AH33" s="1" t="s">
        <v>1235</v>
      </c>
      <c r="AI33" s="1" t="b">
        <v>0</v>
      </c>
      <c r="AJ33" s="1" t="b">
        <v>1</v>
      </c>
      <c r="AK33" s="1" t="b">
        <v>0</v>
      </c>
      <c r="AL33" s="1" t="b">
        <v>0</v>
      </c>
      <c r="AM33" s="1" t="s">
        <v>1236</v>
      </c>
      <c r="AN33" s="1">
        <v>4</v>
      </c>
      <c r="AO33" s="1" t="s">
        <v>485</v>
      </c>
      <c r="AP33" s="1">
        <v>94</v>
      </c>
      <c r="AQ33" s="1" t="s">
        <v>61</v>
      </c>
      <c r="AR33" s="1" t="s">
        <v>486</v>
      </c>
      <c r="AS33" s="12">
        <f>Table1[[#This Row],[Visit Cost]]*(1-Table1[[#This Row],[Insurance Coverage Pct]]/100)+Table1[[#This Row],[Copay Amount]]+Table1[[#This Row],[Deductible Applied]]</f>
        <v>236.88</v>
      </c>
    </row>
    <row r="34" spans="1:45" ht="15">
      <c r="A34" s="3" t="s">
        <v>487</v>
      </c>
      <c r="B34" s="1" t="s">
        <v>1280</v>
      </c>
      <c r="C34" s="2">
        <v>24442</v>
      </c>
      <c r="D34" s="1" t="s">
        <v>45</v>
      </c>
      <c r="E34" s="1" t="s">
        <v>490</v>
      </c>
      <c r="F34" s="1" t="s">
        <v>127</v>
      </c>
      <c r="G34" s="1" t="s">
        <v>491</v>
      </c>
      <c r="H34" s="28" t="s">
        <v>492</v>
      </c>
      <c r="I34" s="29">
        <v>0.36458333333333331</v>
      </c>
      <c r="J34" s="2" t="str">
        <f>PROPER(Table1[[#This Row],[Visit Type2]])</f>
        <v>Follow-Up</v>
      </c>
      <c r="K34" s="1" t="s">
        <v>72</v>
      </c>
      <c r="L34" s="1" t="str">
        <f t="shared" si="2" ref="L34:L65">IF(M34="ER","Endocrinology",IF(M34="OB/GYN","Gastroentrology",M34))</f>
        <v>Oncology</v>
      </c>
      <c r="M34" s="1" t="s">
        <v>228</v>
      </c>
      <c r="N34" s="72" t="s">
        <v>1424</v>
      </c>
      <c r="O34" s="1" t="s">
        <v>229</v>
      </c>
      <c r="P34" s="1" t="str">
        <f t="shared" si="3" ref="P34:P65">PROPER(SUBSTITUTE(SUBSTITUTE(SUBSTITUTE(SUBSTITUTE(SUBSTITUTE(SUBSTITUTE(SUBSTITUTE(SUBSTITUTE(SUBSTITUTE(SUBSTITUTE(Q34,"CAD","Coronary Artery Disease"),"GERD","Gastroesophageal Reflux Disease"),"BPH","Benign Prostatic Hyperplasia"),"COPD","Chronic Obstructive Pulmonary Disease"),"IBD","Inflammatory Bowel Disease"),"URI","Upper Respiratory Infection"),"PID","Pelvic Inflammatory Disease"),"DJD","Degenerative Joint Disease"),"RA","Rheumatoid Arthritis"),"DM","Diabetes Mellitus"))</f>
        <v>Colon Cancer</v>
      </c>
      <c r="Q34" s="1" t="s">
        <v>493</v>
      </c>
      <c r="R34" s="1" t="s">
        <v>494</v>
      </c>
      <c r="S34" s="1">
        <v>99215</v>
      </c>
      <c r="T34" s="1" t="s">
        <v>495</v>
      </c>
      <c r="U34" s="1" t="s">
        <v>496</v>
      </c>
      <c r="V34" s="1" t="s">
        <v>150</v>
      </c>
      <c r="W34" s="1" t="s">
        <v>57</v>
      </c>
      <c r="X34" s="1">
        <v>60</v>
      </c>
      <c r="Y34" s="17">
        <v>1200</v>
      </c>
      <c r="Z34" s="8">
        <f>100</f>
        <v>100</v>
      </c>
      <c r="AA34" s="9">
        <f>100/(100)</f>
        <v>1</v>
      </c>
      <c r="AB34" s="7">
        <v>0</v>
      </c>
      <c r="AC34" s="15">
        <v>0</v>
      </c>
      <c r="AD34" s="16">
        <v>0</v>
      </c>
      <c r="AE34" s="14">
        <v>1200</v>
      </c>
      <c r="AF34" s="1" t="s">
        <v>127</v>
      </c>
      <c r="AG34" s="1" t="b">
        <v>1</v>
      </c>
      <c r="AH34" s="1" t="s">
        <v>497</v>
      </c>
      <c r="AI34" s="1" t="b">
        <v>0</v>
      </c>
      <c r="AJ34" s="1" t="b">
        <v>0</v>
      </c>
      <c r="AK34" s="1" t="b">
        <v>0</v>
      </c>
      <c r="AL34" s="1" t="b">
        <v>0</v>
      </c>
      <c r="AM34" s="1" t="s">
        <v>1236</v>
      </c>
      <c r="AN34" s="1">
        <v>4</v>
      </c>
      <c r="AO34" s="1" t="s">
        <v>498</v>
      </c>
      <c r="AP34" s="1">
        <v>96</v>
      </c>
      <c r="AQ34" s="1" t="s">
        <v>61</v>
      </c>
      <c r="AR34" s="1" t="s">
        <v>499</v>
      </c>
      <c r="AS34" s="12">
        <f>Table1[[#This Row],[Visit Cost]]*(1-Table1[[#This Row],[Insurance Coverage Pct]]/100)+Table1[[#This Row],[Copay Amount]]+Table1[[#This Row],[Deductible Applied]]</f>
        <v>1188</v>
      </c>
    </row>
    <row r="35" spans="1:45" ht="15">
      <c r="A35" s="3" t="s">
        <v>500</v>
      </c>
      <c r="B35" s="1" t="s">
        <v>1281</v>
      </c>
      <c r="C35" s="2">
        <v>34457</v>
      </c>
      <c r="D35" s="1" t="s">
        <v>67</v>
      </c>
      <c r="E35" s="1" t="s">
        <v>503</v>
      </c>
      <c r="F35" s="1" t="s">
        <v>47</v>
      </c>
      <c r="G35" s="1" t="s">
        <v>504</v>
      </c>
      <c r="H35" s="28" t="s">
        <v>235</v>
      </c>
      <c r="I35" s="29">
        <v>0.47916666666666669</v>
      </c>
      <c r="J35" s="2" t="str">
        <f>PROPER(Table1[[#This Row],[Visit Type2]])</f>
        <v>New Patient</v>
      </c>
      <c r="K35" s="1" t="s">
        <v>92</v>
      </c>
      <c r="L35" s="1" t="str">
        <f t="shared" si="2"/>
        <v>Allergy</v>
      </c>
      <c r="M35" s="1" t="s">
        <v>346</v>
      </c>
      <c r="N35" s="72" t="s">
        <v>1425</v>
      </c>
      <c r="O35" s="1" t="s">
        <v>347</v>
      </c>
      <c r="P35" s="1" t="str">
        <f t="shared" si="3"/>
        <v>Food Allergy</v>
      </c>
      <c r="Q35" s="1" t="s">
        <v>505</v>
      </c>
      <c r="R35" s="1" t="s">
        <v>506</v>
      </c>
      <c r="S35" s="1">
        <v>99203</v>
      </c>
      <c r="T35" s="1" t="s">
        <v>507</v>
      </c>
      <c r="U35" s="1" t="s">
        <v>351</v>
      </c>
      <c r="V35" s="1" t="s">
        <v>57</v>
      </c>
      <c r="W35" s="1" t="s">
        <v>57</v>
      </c>
      <c r="X35" s="1">
        <v>40</v>
      </c>
      <c r="Y35" s="17">
        <v>220</v>
      </c>
      <c r="Z35" s="8">
        <f>100</f>
        <v>100</v>
      </c>
      <c r="AA35" s="9">
        <f>85/(100)</f>
        <v>0.84999999999999998</v>
      </c>
      <c r="AB35" s="7">
        <v>33</v>
      </c>
      <c r="AC35" s="15">
        <v>25</v>
      </c>
      <c r="AD35" s="16">
        <v>58</v>
      </c>
      <c r="AE35" s="14">
        <v>162</v>
      </c>
      <c r="AF35" s="1" t="s">
        <v>58</v>
      </c>
      <c r="AG35" s="1" t="b">
        <v>1</v>
      </c>
      <c r="AH35" s="1" t="s">
        <v>508</v>
      </c>
      <c r="AI35" s="1" t="b">
        <v>0</v>
      </c>
      <c r="AJ35" s="1" t="b">
        <v>0</v>
      </c>
      <c r="AK35" s="1" t="b">
        <v>1</v>
      </c>
      <c r="AL35" s="1" t="b">
        <v>0</v>
      </c>
      <c r="AM35" s="1" t="s">
        <v>1236</v>
      </c>
      <c r="AN35" s="1">
        <v>4</v>
      </c>
      <c r="AO35" s="1" t="s">
        <v>509</v>
      </c>
      <c r="AP35" s="1">
        <v>90</v>
      </c>
      <c r="AQ35" s="1" t="s">
        <v>61</v>
      </c>
      <c r="AR35" s="1" t="s">
        <v>510</v>
      </c>
      <c r="AS35" s="12">
        <f>Table1[[#This Row],[Visit Cost]]*(1-Table1[[#This Row],[Insurance Coverage Pct]]/100)+Table1[[#This Row],[Copay Amount]]+Table1[[#This Row],[Deductible Applied]]</f>
        <v>276.13</v>
      </c>
    </row>
    <row r="36" spans="1:45" ht="15">
      <c r="A36" s="3" t="s">
        <v>511</v>
      </c>
      <c r="B36" s="1" t="s">
        <v>1282</v>
      </c>
      <c r="C36" s="2">
        <v>21769</v>
      </c>
      <c r="D36" s="1" t="s">
        <v>45</v>
      </c>
      <c r="E36" s="1" t="s">
        <v>514</v>
      </c>
      <c r="F36" s="1" t="s">
        <v>89</v>
      </c>
      <c r="G36" s="1" t="s">
        <v>515</v>
      </c>
      <c r="H36" s="28">
        <v>45294</v>
      </c>
      <c r="I36" s="29">
        <v>0.54166666666666663</v>
      </c>
      <c r="J36" s="2" t="str">
        <f>PROPER(Table1[[#This Row],[Visit Type2]])</f>
        <v>Surgery</v>
      </c>
      <c r="K36" s="1" t="s">
        <v>144</v>
      </c>
      <c r="L36" s="1" t="str">
        <f t="shared" si="2"/>
        <v>Orthopedics</v>
      </c>
      <c r="M36" s="1" t="s">
        <v>93</v>
      </c>
      <c r="N36" s="72" t="s">
        <v>1426</v>
      </c>
      <c r="O36" s="1" t="s">
        <v>94</v>
      </c>
      <c r="P36" s="1" t="str">
        <f t="shared" si="3"/>
        <v>Hip Osteoarthritis</v>
      </c>
      <c r="Q36" s="1" t="s">
        <v>516</v>
      </c>
      <c r="R36" s="1" t="s">
        <v>517</v>
      </c>
      <c r="S36" s="1">
        <v>99223</v>
      </c>
      <c r="T36" s="1" t="s">
        <v>518</v>
      </c>
      <c r="U36" s="1" t="s">
        <v>57</v>
      </c>
      <c r="V36" s="1" t="s">
        <v>519</v>
      </c>
      <c r="W36" s="1">
        <v>27130</v>
      </c>
      <c r="X36" s="1">
        <v>120</v>
      </c>
      <c r="Y36" s="17">
        <v>18500</v>
      </c>
      <c r="Z36" s="8">
        <f>100</f>
        <v>100</v>
      </c>
      <c r="AA36" s="9">
        <f>80/(100)</f>
        <v>0.80000000000000004</v>
      </c>
      <c r="AB36" s="7">
        <v>3700</v>
      </c>
      <c r="AC36" s="15">
        <v>800</v>
      </c>
      <c r="AD36" s="16">
        <v>4500</v>
      </c>
      <c r="AE36" s="14">
        <v>14000</v>
      </c>
      <c r="AF36" s="1" t="s">
        <v>80</v>
      </c>
      <c r="AG36" s="1" t="b">
        <v>1</v>
      </c>
      <c r="AH36" s="1" t="s">
        <v>264</v>
      </c>
      <c r="AI36" s="1" t="b">
        <v>0</v>
      </c>
      <c r="AJ36" s="1" t="b">
        <v>1</v>
      </c>
      <c r="AK36" s="1" t="b">
        <v>1</v>
      </c>
      <c r="AL36" s="1" t="b">
        <v>0</v>
      </c>
      <c r="AM36" s="1" t="s">
        <v>1236</v>
      </c>
      <c r="AN36" s="1">
        <v>5</v>
      </c>
      <c r="AO36" s="1" t="s">
        <v>520</v>
      </c>
      <c r="AP36" s="1">
        <v>85</v>
      </c>
      <c r="AQ36" s="1" t="s">
        <v>172</v>
      </c>
      <c r="AR36" s="1" t="s">
        <v>521</v>
      </c>
      <c r="AS36" s="12">
        <f>Table1[[#This Row],[Visit Cost]]*(1-Table1[[#This Row],[Insurance Coverage Pct]]/100)+Table1[[#This Row],[Copay Amount]]+Table1[[#This Row],[Deductible Applied]]</f>
        <v>22852</v>
      </c>
    </row>
    <row r="37" spans="1:45" ht="15">
      <c r="A37" s="3" t="s">
        <v>522</v>
      </c>
      <c r="B37" s="1" t="s">
        <v>1283</v>
      </c>
      <c r="C37" s="2" t="s">
        <v>525</v>
      </c>
      <c r="D37" s="1" t="s">
        <v>67</v>
      </c>
      <c r="E37" s="1" t="s">
        <v>526</v>
      </c>
      <c r="F37" s="1" t="s">
        <v>69</v>
      </c>
      <c r="G37" s="1" t="s">
        <v>527</v>
      </c>
      <c r="H37" s="28">
        <v>45385</v>
      </c>
      <c r="I37" s="29">
        <v>0.38541666666666669</v>
      </c>
      <c r="J37" s="2" t="str">
        <f>PROPER(Table1[[#This Row],[Visit Type2]])</f>
        <v>Pediatric</v>
      </c>
      <c r="K37" s="1" t="s">
        <v>180</v>
      </c>
      <c r="L37" s="1" t="str">
        <f t="shared" si="2"/>
        <v>Pediatrics</v>
      </c>
      <c r="M37" s="1" t="s">
        <v>181</v>
      </c>
      <c r="N37" s="72" t="s">
        <v>1427</v>
      </c>
      <c r="O37" s="1" t="s">
        <v>182</v>
      </c>
      <c r="P37" s="1" t="str">
        <f t="shared" si="3"/>
        <v>Ear Infection</v>
      </c>
      <c r="Q37" s="1" t="s">
        <v>528</v>
      </c>
      <c r="R37" s="1" t="s">
        <v>184</v>
      </c>
      <c r="S37" s="1">
        <v>99212</v>
      </c>
      <c r="T37" s="1" t="s">
        <v>185</v>
      </c>
      <c r="U37" s="1" t="s">
        <v>57</v>
      </c>
      <c r="V37" s="1" t="s">
        <v>57</v>
      </c>
      <c r="W37" s="1" t="s">
        <v>57</v>
      </c>
      <c r="X37" s="1">
        <v>20</v>
      </c>
      <c r="Y37" s="17">
        <v>135</v>
      </c>
      <c r="Z37" s="8">
        <f>100</f>
        <v>100</v>
      </c>
      <c r="AA37" s="9">
        <f>100/(100)</f>
        <v>1</v>
      </c>
      <c r="AB37" s="7">
        <v>0</v>
      </c>
      <c r="AC37" s="15">
        <v>0</v>
      </c>
      <c r="AD37" s="16">
        <v>0</v>
      </c>
      <c r="AE37" s="14">
        <v>135</v>
      </c>
      <c r="AF37" s="1" t="s">
        <v>69</v>
      </c>
      <c r="AG37" s="1" t="b">
        <v>0</v>
      </c>
      <c r="AH37" s="1" t="s">
        <v>1235</v>
      </c>
      <c r="AI37" s="1" t="b">
        <v>0</v>
      </c>
      <c r="AJ37" s="1" t="b">
        <v>0</v>
      </c>
      <c r="AK37" s="1" t="b">
        <v>0</v>
      </c>
      <c r="AL37" s="1" t="b">
        <v>0</v>
      </c>
      <c r="AM37" s="1" t="s">
        <v>1236</v>
      </c>
      <c r="AN37" s="1">
        <v>5</v>
      </c>
      <c r="AO37" s="1" t="s">
        <v>529</v>
      </c>
      <c r="AP37" s="1">
        <v>97</v>
      </c>
      <c r="AQ37" s="1" t="s">
        <v>61</v>
      </c>
      <c r="AR37" s="1" t="s">
        <v>530</v>
      </c>
      <c r="AS37" s="12">
        <f>Table1[[#This Row],[Visit Cost]]*(1-Table1[[#This Row],[Insurance Coverage Pct]]/100)+Table1[[#This Row],[Copay Amount]]+Table1[[#This Row],[Deductible Applied]]</f>
        <v>133.65000000000001</v>
      </c>
    </row>
    <row r="38" spans="1:45" ht="15">
      <c r="A38" s="3" t="s">
        <v>531</v>
      </c>
      <c r="B38" s="1" t="s">
        <v>1284</v>
      </c>
      <c r="C38" s="2">
        <v>26394</v>
      </c>
      <c r="D38" s="1" t="s">
        <v>45</v>
      </c>
      <c r="E38" s="1" t="s">
        <v>534</v>
      </c>
      <c r="F38" s="1" t="s">
        <v>47</v>
      </c>
      <c r="G38" s="1" t="s">
        <v>535</v>
      </c>
      <c r="H38" s="28">
        <v>45415</v>
      </c>
      <c r="I38" s="29">
        <v>0.64583333333333337</v>
      </c>
      <c r="J38" s="2" t="str">
        <f>PROPER(Table1[[#This Row],[Visit Type2]])</f>
        <v>Checkup</v>
      </c>
      <c r="K38" s="1" t="s">
        <v>50</v>
      </c>
      <c r="L38" s="1" t="str">
        <f t="shared" si="2"/>
        <v>Psychiatry</v>
      </c>
      <c r="M38" s="1" t="s">
        <v>321</v>
      </c>
      <c r="N38" s="72" t="s">
        <v>1428</v>
      </c>
      <c r="O38" s="1" t="s">
        <v>322</v>
      </c>
      <c r="P38" s="1" t="str">
        <f t="shared" si="3"/>
        <v>Anxiety</v>
      </c>
      <c r="Q38" s="1" t="s">
        <v>536</v>
      </c>
      <c r="R38" s="1" t="s">
        <v>537</v>
      </c>
      <c r="S38" s="1">
        <v>99214</v>
      </c>
      <c r="T38" s="1" t="s">
        <v>538</v>
      </c>
      <c r="U38" s="1" t="s">
        <v>57</v>
      </c>
      <c r="V38" s="1" t="s">
        <v>57</v>
      </c>
      <c r="W38" s="1" t="s">
        <v>57</v>
      </c>
      <c r="X38" s="1">
        <v>45</v>
      </c>
      <c r="Y38" s="17">
        <v>205</v>
      </c>
      <c r="Z38" s="8">
        <f>100</f>
        <v>100</v>
      </c>
      <c r="AA38" s="9">
        <f>75/(100)</f>
        <v>0.75</v>
      </c>
      <c r="AB38" s="7">
        <v>51.25</v>
      </c>
      <c r="AC38" s="15">
        <v>35</v>
      </c>
      <c r="AD38" s="16">
        <v>86.25</v>
      </c>
      <c r="AE38" s="14">
        <v>118.75</v>
      </c>
      <c r="AF38" s="1" t="s">
        <v>118</v>
      </c>
      <c r="AG38" s="1" t="b">
        <v>1</v>
      </c>
      <c r="AH38" s="1">
        <v>45416</v>
      </c>
      <c r="AI38" s="1" t="b">
        <v>0</v>
      </c>
      <c r="AJ38" s="1" t="b">
        <v>0</v>
      </c>
      <c r="AK38" s="1" t="b">
        <v>0</v>
      </c>
      <c r="AL38" s="1" t="b">
        <v>0</v>
      </c>
      <c r="AM38" s="1" t="s">
        <v>1236</v>
      </c>
      <c r="AN38" s="1">
        <v>4</v>
      </c>
      <c r="AO38" s="1" t="s">
        <v>539</v>
      </c>
      <c r="AP38" s="1">
        <v>93</v>
      </c>
      <c r="AQ38" s="1" t="s">
        <v>61</v>
      </c>
      <c r="AR38" s="1" t="s">
        <v>540</v>
      </c>
      <c r="AS38" s="12">
        <f>Table1[[#This Row],[Visit Cost]]*(1-Table1[[#This Row],[Insurance Coverage Pct]]/100)+Table1[[#This Row],[Copay Amount]]+Table1[[#This Row],[Deductible Applied]]</f>
        <v>289.71249999999998</v>
      </c>
    </row>
    <row r="39" spans="1:45" ht="15">
      <c r="A39" s="3" t="s">
        <v>541</v>
      </c>
      <c r="B39" s="1" t="s">
        <v>1285</v>
      </c>
      <c r="C39" s="2" t="s">
        <v>544</v>
      </c>
      <c r="D39" s="1" t="s">
        <v>67</v>
      </c>
      <c r="E39" s="1" t="s">
        <v>545</v>
      </c>
      <c r="F39" s="1" t="s">
        <v>127</v>
      </c>
      <c r="G39" s="1" t="s">
        <v>546</v>
      </c>
      <c r="H39" s="28">
        <v>45446</v>
      </c>
      <c r="I39" s="29">
        <v>0.33333333333333331</v>
      </c>
      <c r="J39" s="2" t="str">
        <f>PROPER(Table1[[#This Row],[Visit Type2]])</f>
        <v>Follow-Up</v>
      </c>
      <c r="K39" s="1" t="s">
        <v>72</v>
      </c>
      <c r="L39" s="1" t="str">
        <f t="shared" si="2"/>
        <v>Pulmonology</v>
      </c>
      <c r="M39" s="1" t="s">
        <v>162</v>
      </c>
      <c r="N39" s="72" t="s">
        <v>1429</v>
      </c>
      <c r="O39" s="1" t="s">
        <v>163</v>
      </c>
      <c r="P39" s="1" t="str">
        <f t="shared" si="3"/>
        <v>Chronic Obstructive Pulmonary Disease</v>
      </c>
      <c r="Q39" s="1" t="s">
        <v>547</v>
      </c>
      <c r="R39" s="1" t="s">
        <v>548</v>
      </c>
      <c r="S39" s="1">
        <v>99213</v>
      </c>
      <c r="T39" s="1" t="s">
        <v>549</v>
      </c>
      <c r="U39" s="1" t="s">
        <v>167</v>
      </c>
      <c r="V39" s="1" t="s">
        <v>57</v>
      </c>
      <c r="W39" s="1" t="s">
        <v>57</v>
      </c>
      <c r="X39" s="1">
        <v>35</v>
      </c>
      <c r="Y39" s="17">
        <v>195</v>
      </c>
      <c r="Z39" s="8">
        <f>100</f>
        <v>100</v>
      </c>
      <c r="AA39" s="9">
        <f>100/(100)</f>
        <v>1</v>
      </c>
      <c r="AB39" s="7">
        <v>0</v>
      </c>
      <c r="AC39" s="15">
        <v>0</v>
      </c>
      <c r="AD39" s="16">
        <v>0</v>
      </c>
      <c r="AE39" s="14">
        <v>195</v>
      </c>
      <c r="AF39" s="1" t="s">
        <v>127</v>
      </c>
      <c r="AG39" s="1" t="b">
        <v>0</v>
      </c>
      <c r="AH39" s="1" t="s">
        <v>1235</v>
      </c>
      <c r="AI39" s="1" t="b">
        <v>0</v>
      </c>
      <c r="AJ39" s="1" t="b">
        <v>0</v>
      </c>
      <c r="AK39" s="1" t="b">
        <v>0</v>
      </c>
      <c r="AL39" s="1" t="b">
        <v>1</v>
      </c>
      <c r="AM39" s="1" t="s">
        <v>550</v>
      </c>
      <c r="AN39" s="1">
        <v>3</v>
      </c>
      <c r="AO39" s="1" t="s">
        <v>551</v>
      </c>
      <c r="AP39" s="1">
        <v>92</v>
      </c>
      <c r="AQ39" s="1" t="s">
        <v>172</v>
      </c>
      <c r="AR39" s="1" t="s">
        <v>552</v>
      </c>
      <c r="AS39" s="12">
        <f>Table1[[#This Row],[Visit Cost]]*(1-Table1[[#This Row],[Insurance Coverage Pct]]/100)+Table1[[#This Row],[Copay Amount]]+Table1[[#This Row],[Deductible Applied]]</f>
        <v>193.05000000000001</v>
      </c>
    </row>
    <row r="40" spans="1:45" ht="15">
      <c r="A40" s="3" t="s">
        <v>553</v>
      </c>
      <c r="B40" s="1" t="s">
        <v>1286</v>
      </c>
      <c r="C40" s="2" t="s">
        <v>556</v>
      </c>
      <c r="D40" s="1" t="s">
        <v>45</v>
      </c>
      <c r="E40" s="1" t="s">
        <v>557</v>
      </c>
      <c r="F40" s="1" t="s">
        <v>47</v>
      </c>
      <c r="G40" s="1" t="s">
        <v>558</v>
      </c>
      <c r="H40" s="28">
        <v>45476</v>
      </c>
      <c r="I40" s="29">
        <v>0.53125</v>
      </c>
      <c r="J40" s="2" t="str">
        <f>PROPER(Table1[[#This Row],[Visit Type2]])</f>
        <v>Urgent Care</v>
      </c>
      <c r="K40" s="1" t="s">
        <v>111</v>
      </c>
      <c r="L40" s="1" t="str">
        <f t="shared" si="2"/>
        <v>Dermatology</v>
      </c>
      <c r="M40" s="1" t="s">
        <v>245</v>
      </c>
      <c r="N40" s="72" t="s">
        <v>1430</v>
      </c>
      <c r="O40" s="1" t="s">
        <v>246</v>
      </c>
      <c r="P40" s="1" t="str">
        <f t="shared" si="3"/>
        <v>Cellulitis</v>
      </c>
      <c r="Q40" s="1" t="s">
        <v>559</v>
      </c>
      <c r="R40" s="1" t="s">
        <v>560</v>
      </c>
      <c r="S40" s="1">
        <v>99203</v>
      </c>
      <c r="T40" s="1" t="s">
        <v>561</v>
      </c>
      <c r="U40" s="1" t="s">
        <v>57</v>
      </c>
      <c r="V40" s="1" t="s">
        <v>57</v>
      </c>
      <c r="W40" s="1" t="s">
        <v>57</v>
      </c>
      <c r="X40" s="1">
        <v>30</v>
      </c>
      <c r="Y40" s="17">
        <v>225</v>
      </c>
      <c r="Z40" s="8">
        <f>100</f>
        <v>100</v>
      </c>
      <c r="AA40" s="9">
        <f>80/(100)</f>
        <v>0.80000000000000004</v>
      </c>
      <c r="AB40" s="7">
        <v>45</v>
      </c>
      <c r="AC40" s="15">
        <v>30</v>
      </c>
      <c r="AD40" s="16">
        <v>75</v>
      </c>
      <c r="AE40" s="14">
        <v>150</v>
      </c>
      <c r="AF40" s="1" t="s">
        <v>80</v>
      </c>
      <c r="AG40" s="1" t="b">
        <v>1</v>
      </c>
      <c r="AH40" s="1" t="s">
        <v>387</v>
      </c>
      <c r="AI40" s="1" t="b">
        <v>0</v>
      </c>
      <c r="AJ40" s="1" t="b">
        <v>1</v>
      </c>
      <c r="AK40" s="1" t="b">
        <v>0</v>
      </c>
      <c r="AL40" s="1" t="b">
        <v>0</v>
      </c>
      <c r="AM40" s="1" t="s">
        <v>1236</v>
      </c>
      <c r="AN40" s="1">
        <v>3</v>
      </c>
      <c r="AO40" s="1" t="s">
        <v>562</v>
      </c>
      <c r="AP40" s="1">
        <v>89</v>
      </c>
      <c r="AQ40" s="1" t="s">
        <v>61</v>
      </c>
      <c r="AR40" s="1" t="s">
        <v>563</v>
      </c>
      <c r="AS40" s="12">
        <f>Table1[[#This Row],[Visit Cost]]*(1-Table1[[#This Row],[Insurance Coverage Pct]]/100)+Table1[[#This Row],[Copay Amount]]+Table1[[#This Row],[Deductible Applied]]</f>
        <v>298.19999999999999</v>
      </c>
    </row>
    <row r="41" spans="1:45" ht="15">
      <c r="A41" s="3" t="s">
        <v>564</v>
      </c>
      <c r="B41" s="1" t="s">
        <v>1287</v>
      </c>
      <c r="C41" s="2">
        <v>34948</v>
      </c>
      <c r="D41" s="1" t="s">
        <v>67</v>
      </c>
      <c r="E41" s="1" t="s">
        <v>567</v>
      </c>
      <c r="F41" s="1" t="s">
        <v>69</v>
      </c>
      <c r="G41" s="1" t="s">
        <v>568</v>
      </c>
      <c r="H41" s="28">
        <v>45507</v>
      </c>
      <c r="I41" s="29">
        <v>0.70833333333333337</v>
      </c>
      <c r="J41" s="2" t="str">
        <f>PROPER(Table1[[#This Row],[Visit Type2]])</f>
        <v>New Patient</v>
      </c>
      <c r="K41" s="1" t="s">
        <v>92</v>
      </c>
      <c r="L41" s="1" t="str">
        <f t="shared" si="2"/>
        <v>Endocrinology</v>
      </c>
      <c r="M41" s="1" t="s">
        <v>130</v>
      </c>
      <c r="N41" s="72" t="s">
        <v>1431</v>
      </c>
      <c r="O41" s="1" t="s">
        <v>131</v>
      </c>
      <c r="P41" s="1" t="str">
        <f t="shared" si="3"/>
        <v>Thyroid Disorder</v>
      </c>
      <c r="Q41" s="1" t="s">
        <v>569</v>
      </c>
      <c r="R41" s="1" t="s">
        <v>570</v>
      </c>
      <c r="S41" s="1">
        <v>99204</v>
      </c>
      <c r="T41" s="1" t="s">
        <v>571</v>
      </c>
      <c r="U41" s="1" t="s">
        <v>572</v>
      </c>
      <c r="V41" s="1" t="s">
        <v>57</v>
      </c>
      <c r="W41" s="1" t="s">
        <v>57</v>
      </c>
      <c r="X41" s="1">
        <v>50</v>
      </c>
      <c r="Y41" s="17">
        <v>380</v>
      </c>
      <c r="Z41" s="8">
        <f>100</f>
        <v>100</v>
      </c>
      <c r="AA41" s="9">
        <f>70/(100)</f>
        <v>0.69999999999999996</v>
      </c>
      <c r="AB41" s="7">
        <v>114</v>
      </c>
      <c r="AC41" s="15">
        <v>60</v>
      </c>
      <c r="AD41" s="16">
        <v>174</v>
      </c>
      <c r="AE41" s="14">
        <v>206</v>
      </c>
      <c r="AF41" s="1" t="s">
        <v>58</v>
      </c>
      <c r="AG41" s="1" t="b">
        <v>1</v>
      </c>
      <c r="AH41" s="1">
        <v>45508</v>
      </c>
      <c r="AI41" s="1" t="b">
        <v>0</v>
      </c>
      <c r="AJ41" s="1" t="b">
        <v>0</v>
      </c>
      <c r="AK41" s="1" t="b">
        <v>1</v>
      </c>
      <c r="AL41" s="1" t="b">
        <v>0</v>
      </c>
      <c r="AM41" s="1" t="s">
        <v>1236</v>
      </c>
      <c r="AN41" s="1">
        <v>4</v>
      </c>
      <c r="AO41" s="1" t="s">
        <v>573</v>
      </c>
      <c r="AP41" s="1">
        <v>91</v>
      </c>
      <c r="AQ41" s="1" t="s">
        <v>153</v>
      </c>
      <c r="AR41" s="1" t="s">
        <v>574</v>
      </c>
      <c r="AS41" s="12">
        <f>Table1[[#This Row],[Visit Cost]]*(1-Table1[[#This Row],[Insurance Coverage Pct]]/100)+Table1[[#This Row],[Copay Amount]]+Table1[[#This Row],[Deductible Applied]]</f>
        <v>551.33999999999992</v>
      </c>
    </row>
    <row r="42" spans="1:45" ht="15">
      <c r="A42" s="3" t="s">
        <v>575</v>
      </c>
      <c r="B42" s="1" t="s">
        <v>1288</v>
      </c>
      <c r="C42" s="2" t="s">
        <v>578</v>
      </c>
      <c r="D42" s="1" t="s">
        <v>45</v>
      </c>
      <c r="E42" s="1" t="s">
        <v>579</v>
      </c>
      <c r="F42" s="1" t="s">
        <v>47</v>
      </c>
      <c r="G42" s="1" t="s">
        <v>580</v>
      </c>
      <c r="H42" s="28">
        <v>45599</v>
      </c>
      <c r="I42" s="29">
        <v>0.39583333333333331</v>
      </c>
      <c r="J42" s="2" t="str">
        <f>PROPER(Table1[[#This Row],[Visit Type2]])</f>
        <v>Follow-Up</v>
      </c>
      <c r="K42" s="1" t="s">
        <v>72</v>
      </c>
      <c r="L42" s="1" t="str">
        <f t="shared" si="2"/>
        <v>Cardiology</v>
      </c>
      <c r="M42" s="1" t="s">
        <v>73</v>
      </c>
      <c r="N42" s="72" t="s">
        <v>1432</v>
      </c>
      <c r="O42" s="1" t="s">
        <v>74</v>
      </c>
      <c r="P42" s="1" t="str">
        <f t="shared" si="3"/>
        <v>Heart Failure</v>
      </c>
      <c r="Q42" s="1" t="s">
        <v>581</v>
      </c>
      <c r="R42" s="1" t="s">
        <v>582</v>
      </c>
      <c r="S42" s="1">
        <v>99215</v>
      </c>
      <c r="T42" s="1" t="s">
        <v>583</v>
      </c>
      <c r="U42" s="1" t="s">
        <v>584</v>
      </c>
      <c r="V42" s="1" t="s">
        <v>585</v>
      </c>
      <c r="W42" s="1" t="s">
        <v>57</v>
      </c>
      <c r="X42" s="1">
        <v>55</v>
      </c>
      <c r="Y42" s="17">
        <v>320</v>
      </c>
      <c r="Z42" s="8">
        <f>100</f>
        <v>100</v>
      </c>
      <c r="AA42" s="9">
        <f>80/(100)</f>
        <v>0.80000000000000004</v>
      </c>
      <c r="AB42" s="7">
        <v>64</v>
      </c>
      <c r="AC42" s="15">
        <v>40</v>
      </c>
      <c r="AD42" s="16">
        <v>104</v>
      </c>
      <c r="AE42" s="14">
        <v>216</v>
      </c>
      <c r="AF42" s="1" t="s">
        <v>80</v>
      </c>
      <c r="AG42" s="1" t="b">
        <v>1</v>
      </c>
      <c r="AH42" s="1">
        <v>45600</v>
      </c>
      <c r="AI42" s="1" t="b">
        <v>0</v>
      </c>
      <c r="AJ42" s="1" t="b">
        <v>0</v>
      </c>
      <c r="AK42" s="1" t="b">
        <v>0</v>
      </c>
      <c r="AL42" s="1" t="b">
        <v>0</v>
      </c>
      <c r="AM42" s="1" t="s">
        <v>1236</v>
      </c>
      <c r="AN42" s="1">
        <v>4</v>
      </c>
      <c r="AO42" s="1" t="s">
        <v>586</v>
      </c>
      <c r="AP42" s="1">
        <v>90</v>
      </c>
      <c r="AQ42" s="1" t="s">
        <v>61</v>
      </c>
      <c r="AR42" s="1" t="s">
        <v>587</v>
      </c>
      <c r="AS42" s="12">
        <f>Table1[[#This Row],[Visit Cost]]*(1-Table1[[#This Row],[Insurance Coverage Pct]]/100)+Table1[[#This Row],[Copay Amount]]+Table1[[#This Row],[Deductible Applied]]</f>
        <v>421.44</v>
      </c>
    </row>
    <row r="43" spans="1:45" ht="15">
      <c r="A43" s="3" t="s">
        <v>588</v>
      </c>
      <c r="B43" s="1" t="s">
        <v>1289</v>
      </c>
      <c r="C43" s="2">
        <v>28348</v>
      </c>
      <c r="D43" s="1" t="s">
        <v>67</v>
      </c>
      <c r="E43" s="1" t="s">
        <v>591</v>
      </c>
      <c r="F43" s="1" t="s">
        <v>69</v>
      </c>
      <c r="G43" s="1" t="s">
        <v>592</v>
      </c>
      <c r="H43" s="28">
        <v>45629</v>
      </c>
      <c r="I43" s="29">
        <v>0.59375</v>
      </c>
      <c r="J43" s="2" t="str">
        <f>PROPER(Table1[[#This Row],[Visit Type2]])</f>
        <v>Surgery</v>
      </c>
      <c r="K43" s="1" t="s">
        <v>144</v>
      </c>
      <c r="L43" s="1" t="str">
        <f t="shared" si="2"/>
        <v>General Surgery</v>
      </c>
      <c r="M43" s="1" t="s">
        <v>145</v>
      </c>
      <c r="N43" s="72" t="s">
        <v>1433</v>
      </c>
      <c r="O43" s="1" t="s">
        <v>146</v>
      </c>
      <c r="P43" s="1" t="str">
        <f t="shared" si="3"/>
        <v>Hernia</v>
      </c>
      <c r="Q43" s="1" t="s">
        <v>593</v>
      </c>
      <c r="R43" s="1" t="s">
        <v>594</v>
      </c>
      <c r="S43" s="1">
        <v>99221</v>
      </c>
      <c r="T43" s="1" t="s">
        <v>595</v>
      </c>
      <c r="U43" s="1" t="s">
        <v>57</v>
      </c>
      <c r="V43" s="1" t="s">
        <v>57</v>
      </c>
      <c r="W43" s="1">
        <v>49560</v>
      </c>
      <c r="X43" s="1">
        <v>85</v>
      </c>
      <c r="Y43" s="17">
        <v>7500</v>
      </c>
      <c r="Z43" s="8">
        <f>100</f>
        <v>100</v>
      </c>
      <c r="AA43" s="9">
        <f>75/(100)</f>
        <v>0.75</v>
      </c>
      <c r="AB43" s="7">
        <v>1875</v>
      </c>
      <c r="AC43" s="15">
        <v>450</v>
      </c>
      <c r="AD43" s="16">
        <v>2325</v>
      </c>
      <c r="AE43" s="14">
        <v>5175</v>
      </c>
      <c r="AF43" s="1" t="s">
        <v>80</v>
      </c>
      <c r="AG43" s="1" t="b">
        <v>1</v>
      </c>
      <c r="AH43" s="1" t="s">
        <v>472</v>
      </c>
      <c r="AI43" s="1" t="b">
        <v>0</v>
      </c>
      <c r="AJ43" s="1" t="b">
        <v>1</v>
      </c>
      <c r="AK43" s="1" t="b">
        <v>1</v>
      </c>
      <c r="AL43" s="1" t="b">
        <v>0</v>
      </c>
      <c r="AM43" s="1" t="s">
        <v>1236</v>
      </c>
      <c r="AN43" s="1">
        <v>5</v>
      </c>
      <c r="AO43" s="1" t="s">
        <v>596</v>
      </c>
      <c r="AP43" s="1">
        <v>87</v>
      </c>
      <c r="AQ43" s="1" t="s">
        <v>153</v>
      </c>
      <c r="AR43" s="1" t="s">
        <v>597</v>
      </c>
      <c r="AS43" s="12">
        <f>Table1[[#This Row],[Visit Cost]]*(1-Table1[[#This Row],[Insurance Coverage Pct]]/100)+Table1[[#This Row],[Copay Amount]]+Table1[[#This Row],[Deductible Applied]]</f>
        <v>9768.75</v>
      </c>
    </row>
    <row r="44" spans="1:45" ht="15">
      <c r="A44" s="3" t="s">
        <v>598</v>
      </c>
      <c r="B44" s="1" t="s">
        <v>1290</v>
      </c>
      <c r="C44" s="2" t="s">
        <v>601</v>
      </c>
      <c r="D44" s="1" t="s">
        <v>45</v>
      </c>
      <c r="E44" s="1" t="s">
        <v>602</v>
      </c>
      <c r="F44" s="1" t="s">
        <v>89</v>
      </c>
      <c r="G44" s="1" t="s">
        <v>603</v>
      </c>
      <c r="H44" s="28" t="s">
        <v>375</v>
      </c>
      <c r="I44" s="29">
        <v>0.44791666666666669</v>
      </c>
      <c r="J44" s="2" t="str">
        <f>PROPER(Table1[[#This Row],[Visit Type2]])</f>
        <v>Checkup</v>
      </c>
      <c r="K44" s="1" t="s">
        <v>50</v>
      </c>
      <c r="L44" s="1" t="str">
        <f t="shared" si="2"/>
        <v>Neurology</v>
      </c>
      <c r="M44" s="1" t="s">
        <v>194</v>
      </c>
      <c r="N44" s="72" t="s">
        <v>1434</v>
      </c>
      <c r="O44" s="1" t="s">
        <v>195</v>
      </c>
      <c r="P44" s="1" t="str">
        <f t="shared" si="3"/>
        <v>Parkinson'S</v>
      </c>
      <c r="Q44" s="1" t="s">
        <v>604</v>
      </c>
      <c r="R44" s="1" t="s">
        <v>605</v>
      </c>
      <c r="S44" s="1">
        <v>99214</v>
      </c>
      <c r="T44" s="1" t="s">
        <v>606</v>
      </c>
      <c r="U44" s="1" t="s">
        <v>57</v>
      </c>
      <c r="V44" s="1" t="s">
        <v>57</v>
      </c>
      <c r="W44" s="1" t="s">
        <v>57</v>
      </c>
      <c r="X44" s="1">
        <v>50</v>
      </c>
      <c r="Y44" s="17">
        <v>280</v>
      </c>
      <c r="Z44" s="8">
        <f>100</f>
        <v>100</v>
      </c>
      <c r="AA44" s="9">
        <f>100/(100)</f>
        <v>1</v>
      </c>
      <c r="AB44" s="7">
        <v>0</v>
      </c>
      <c r="AC44" s="15">
        <v>0</v>
      </c>
      <c r="AD44" s="16">
        <v>0</v>
      </c>
      <c r="AE44" s="14">
        <v>280</v>
      </c>
      <c r="AF44" s="1" t="s">
        <v>89</v>
      </c>
      <c r="AG44" s="1" t="b">
        <v>1</v>
      </c>
      <c r="AH44" s="1" t="s">
        <v>607</v>
      </c>
      <c r="AI44" s="1" t="b">
        <v>0</v>
      </c>
      <c r="AJ44" s="1" t="b">
        <v>0</v>
      </c>
      <c r="AK44" s="1" t="b">
        <v>0</v>
      </c>
      <c r="AL44" s="1" t="b">
        <v>0</v>
      </c>
      <c r="AM44" s="1" t="s">
        <v>1236</v>
      </c>
      <c r="AN44" s="1">
        <v>4</v>
      </c>
      <c r="AO44" s="1" t="s">
        <v>608</v>
      </c>
      <c r="AP44" s="1">
        <v>94</v>
      </c>
      <c r="AQ44" s="1" t="s">
        <v>61</v>
      </c>
      <c r="AR44" s="1" t="s">
        <v>609</v>
      </c>
      <c r="AS44" s="12">
        <f>Table1[[#This Row],[Visit Cost]]*(1-Table1[[#This Row],[Insurance Coverage Pct]]/100)+Table1[[#This Row],[Copay Amount]]+Table1[[#This Row],[Deductible Applied]]</f>
        <v>277.19999999999999</v>
      </c>
    </row>
    <row r="45" spans="1:45" ht="15">
      <c r="A45" s="3" t="s">
        <v>610</v>
      </c>
      <c r="B45" s="1" t="s">
        <v>1291</v>
      </c>
      <c r="C45" s="2" t="s">
        <v>613</v>
      </c>
      <c r="D45" s="1" t="s">
        <v>67</v>
      </c>
      <c r="E45" s="1" t="s">
        <v>614</v>
      </c>
      <c r="F45" s="1" t="s">
        <v>47</v>
      </c>
      <c r="G45" s="1" t="s">
        <v>615</v>
      </c>
      <c r="H45" s="28" t="s">
        <v>387</v>
      </c>
      <c r="I45" s="29">
        <v>0.5</v>
      </c>
      <c r="J45" s="2" t="str">
        <f>PROPER(Table1[[#This Row],[Visit Type2]])</f>
        <v>New Patient</v>
      </c>
      <c r="K45" s="1" t="s">
        <v>92</v>
      </c>
      <c r="L45" s="1" t="str">
        <f t="shared" si="2"/>
        <v>Dermatology</v>
      </c>
      <c r="M45" s="1" t="s">
        <v>245</v>
      </c>
      <c r="N45" s="72" t="s">
        <v>1435</v>
      </c>
      <c r="O45" s="1" t="s">
        <v>246</v>
      </c>
      <c r="P45" s="1" t="str">
        <f t="shared" si="3"/>
        <v>Psoriasis</v>
      </c>
      <c r="Q45" s="1" t="s">
        <v>616</v>
      </c>
      <c r="R45" s="1" t="s">
        <v>617</v>
      </c>
      <c r="S45" s="1">
        <v>99204</v>
      </c>
      <c r="T45" s="1" t="s">
        <v>618</v>
      </c>
      <c r="U45" s="1" t="s">
        <v>57</v>
      </c>
      <c r="V45" s="1" t="s">
        <v>57</v>
      </c>
      <c r="W45" s="1" t="s">
        <v>57</v>
      </c>
      <c r="X45" s="1">
        <v>40</v>
      </c>
      <c r="Y45" s="17">
        <v>310</v>
      </c>
      <c r="Z45" s="8">
        <f>100</f>
        <v>100</v>
      </c>
      <c r="AA45" s="9">
        <f>85/(100)</f>
        <v>0.84999999999999998</v>
      </c>
      <c r="AB45" s="7">
        <v>46.5</v>
      </c>
      <c r="AC45" s="15">
        <v>30</v>
      </c>
      <c r="AD45" s="16">
        <v>76.5</v>
      </c>
      <c r="AE45" s="14">
        <v>233.5</v>
      </c>
      <c r="AF45" s="1" t="s">
        <v>118</v>
      </c>
      <c r="AG45" s="1" t="b">
        <v>1</v>
      </c>
      <c r="AH45" s="1" t="s">
        <v>619</v>
      </c>
      <c r="AI45" s="1" t="b">
        <v>0</v>
      </c>
      <c r="AJ45" s="1" t="b">
        <v>0</v>
      </c>
      <c r="AK45" s="1" t="b">
        <v>1</v>
      </c>
      <c r="AL45" s="1" t="b">
        <v>0</v>
      </c>
      <c r="AM45" s="1" t="s">
        <v>1236</v>
      </c>
      <c r="AN45" s="1">
        <v>3</v>
      </c>
      <c r="AO45" s="1" t="s">
        <v>620</v>
      </c>
      <c r="AP45" s="1">
        <v>88</v>
      </c>
      <c r="AQ45" s="1" t="s">
        <v>61</v>
      </c>
      <c r="AR45" s="1" t="s">
        <v>621</v>
      </c>
      <c r="AS45" s="12">
        <f>Table1[[#This Row],[Visit Cost]]*(1-Table1[[#This Row],[Insurance Coverage Pct]]/100)+Table1[[#This Row],[Copay Amount]]+Table1[[#This Row],[Deductible Applied]]</f>
        <v>383.86500000000001</v>
      </c>
    </row>
    <row r="46" spans="1:45" ht="15">
      <c r="A46" s="3" t="s">
        <v>622</v>
      </c>
      <c r="B46" s="1" t="s">
        <v>1292</v>
      </c>
      <c r="C46" s="2" t="s">
        <v>625</v>
      </c>
      <c r="D46" s="1" t="s">
        <v>45</v>
      </c>
      <c r="E46" s="1" t="s">
        <v>626</v>
      </c>
      <c r="F46" s="1" t="s">
        <v>127</v>
      </c>
      <c r="G46" s="1" t="s">
        <v>627</v>
      </c>
      <c r="H46" s="28" t="s">
        <v>264</v>
      </c>
      <c r="I46" s="29">
        <v>0.34375</v>
      </c>
      <c r="J46" s="2" t="str">
        <f>PROPER(Table1[[#This Row],[Visit Type2]])</f>
        <v>Urgent Care</v>
      </c>
      <c r="K46" s="1" t="s">
        <v>111</v>
      </c>
      <c r="L46" s="1" t="str">
        <f t="shared" si="2"/>
        <v>Endocrinology</v>
      </c>
      <c r="M46" s="1" t="s">
        <v>112</v>
      </c>
      <c r="N46" s="72" t="s">
        <v>1436</v>
      </c>
      <c r="O46" s="1" t="s">
        <v>113</v>
      </c>
      <c r="P46" s="1" t="str">
        <f t="shared" si="3"/>
        <v>Appendicitis</v>
      </c>
      <c r="Q46" s="1" t="s">
        <v>147</v>
      </c>
      <c r="R46" s="1" t="s">
        <v>148</v>
      </c>
      <c r="S46" s="1">
        <v>99291</v>
      </c>
      <c r="T46" s="1" t="s">
        <v>628</v>
      </c>
      <c r="U46" s="1" t="s">
        <v>57</v>
      </c>
      <c r="V46" s="1" t="s">
        <v>150</v>
      </c>
      <c r="W46" s="1">
        <v>44970</v>
      </c>
      <c r="X46" s="1">
        <v>110</v>
      </c>
      <c r="Y46" s="17">
        <v>6200</v>
      </c>
      <c r="Z46" s="8">
        <f>100</f>
        <v>100</v>
      </c>
      <c r="AA46" s="9">
        <f>100/(100)</f>
        <v>1</v>
      </c>
      <c r="AB46" s="7">
        <v>0</v>
      </c>
      <c r="AC46" s="15">
        <v>0</v>
      </c>
      <c r="AD46" s="16">
        <v>0</v>
      </c>
      <c r="AE46" s="14">
        <v>6200</v>
      </c>
      <c r="AF46" s="1" t="s">
        <v>127</v>
      </c>
      <c r="AG46" s="1" t="b">
        <v>1</v>
      </c>
      <c r="AH46" s="1" t="s">
        <v>629</v>
      </c>
      <c r="AI46" s="1" t="b">
        <v>0</v>
      </c>
      <c r="AJ46" s="1" t="b">
        <v>1</v>
      </c>
      <c r="AK46" s="1" t="b">
        <v>0</v>
      </c>
      <c r="AL46" s="1" t="b">
        <v>0</v>
      </c>
      <c r="AM46" s="1" t="s">
        <v>1236</v>
      </c>
      <c r="AN46" s="1">
        <v>4</v>
      </c>
      <c r="AO46" s="1" t="s">
        <v>630</v>
      </c>
      <c r="AP46" s="1">
        <v>93</v>
      </c>
      <c r="AQ46" s="1" t="s">
        <v>61</v>
      </c>
      <c r="AR46" s="1" t="s">
        <v>631</v>
      </c>
      <c r="AS46" s="12">
        <f>Table1[[#This Row],[Visit Cost]]*(1-Table1[[#This Row],[Insurance Coverage Pct]]/100)+Table1[[#This Row],[Copay Amount]]+Table1[[#This Row],[Deductible Applied]]</f>
        <v>6138</v>
      </c>
    </row>
    <row r="47" spans="1:45" ht="15">
      <c r="A47" s="3" t="s">
        <v>632</v>
      </c>
      <c r="B47" s="1" t="s">
        <v>1293</v>
      </c>
      <c r="C47" s="2" t="s">
        <v>635</v>
      </c>
      <c r="D47" s="1" t="s">
        <v>67</v>
      </c>
      <c r="E47" s="1" t="s">
        <v>636</v>
      </c>
      <c r="F47" s="1" t="s">
        <v>47</v>
      </c>
      <c r="G47" s="1" t="s">
        <v>637</v>
      </c>
      <c r="H47" s="28" t="s">
        <v>638</v>
      </c>
      <c r="I47" s="29">
        <v>0.47916666666666669</v>
      </c>
      <c r="J47" s="2" t="str">
        <f>PROPER(Table1[[#This Row],[Visit Type2]])</f>
        <v>Prenatal</v>
      </c>
      <c r="K47" s="1" t="s">
        <v>212</v>
      </c>
      <c r="L47" s="1" t="str">
        <f t="shared" si="2"/>
        <v>Gastroentrology</v>
      </c>
      <c r="M47" s="1" t="s">
        <v>213</v>
      </c>
      <c r="N47" s="72" t="s">
        <v>1437</v>
      </c>
      <c r="O47" s="1" t="s">
        <v>214</v>
      </c>
      <c r="P47" s="1" t="str">
        <f t="shared" si="3"/>
        <v>Pregnancy</v>
      </c>
      <c r="Q47" s="1" t="s">
        <v>215</v>
      </c>
      <c r="R47" s="1" t="s">
        <v>216</v>
      </c>
      <c r="S47" s="1">
        <v>99213</v>
      </c>
      <c r="T47" s="1" t="s">
        <v>217</v>
      </c>
      <c r="U47" s="1" t="s">
        <v>218</v>
      </c>
      <c r="V47" s="1" t="s">
        <v>218</v>
      </c>
      <c r="W47" s="1" t="s">
        <v>57</v>
      </c>
      <c r="X47" s="1">
        <v>35</v>
      </c>
      <c r="Y47" s="17">
        <v>290</v>
      </c>
      <c r="Z47" s="8">
        <f>100</f>
        <v>100</v>
      </c>
      <c r="AA47" s="9">
        <f>80/(100)</f>
        <v>0.80000000000000004</v>
      </c>
      <c r="AB47" s="7">
        <v>58</v>
      </c>
      <c r="AC47" s="15">
        <v>35</v>
      </c>
      <c r="AD47" s="16">
        <v>93</v>
      </c>
      <c r="AE47" s="14">
        <v>197</v>
      </c>
      <c r="AF47" s="1" t="s">
        <v>80</v>
      </c>
      <c r="AG47" s="1" t="b">
        <v>1</v>
      </c>
      <c r="AH47" s="1" t="s">
        <v>639</v>
      </c>
      <c r="AI47" s="1" t="b">
        <v>0</v>
      </c>
      <c r="AJ47" s="1" t="b">
        <v>0</v>
      </c>
      <c r="AK47" s="1" t="b">
        <v>0</v>
      </c>
      <c r="AL47" s="1" t="b">
        <v>0</v>
      </c>
      <c r="AM47" s="1" t="s">
        <v>1236</v>
      </c>
      <c r="AN47" s="1">
        <v>5</v>
      </c>
      <c r="AO47" s="1" t="s">
        <v>640</v>
      </c>
      <c r="AP47" s="1">
        <v>97</v>
      </c>
      <c r="AQ47" s="1" t="s">
        <v>61</v>
      </c>
      <c r="AR47" s="1" t="s">
        <v>641</v>
      </c>
      <c r="AS47" s="12">
        <f>Table1[[#This Row],[Visit Cost]]*(1-Table1[[#This Row],[Insurance Coverage Pct]]/100)+Table1[[#This Row],[Copay Amount]]+Table1[[#This Row],[Deductible Applied]]</f>
        <v>380.68000000000001</v>
      </c>
    </row>
    <row r="48" spans="1:47" ht="15">
      <c r="A48" s="3" t="s">
        <v>642</v>
      </c>
      <c r="B48" s="1" t="s">
        <v>1294</v>
      </c>
      <c r="C48" s="2">
        <v>25146</v>
      </c>
      <c r="D48" s="1" t="s">
        <v>45</v>
      </c>
      <c r="E48" s="1" t="s">
        <v>644</v>
      </c>
      <c r="F48" s="1" t="s">
        <v>69</v>
      </c>
      <c r="G48" s="1" t="s">
        <v>645</v>
      </c>
      <c r="H48" s="28" t="s">
        <v>418</v>
      </c>
      <c r="I48" s="29">
        <v>0.69791666666666663</v>
      </c>
      <c r="J48" s="2" t="str">
        <f>PROPER(Table1[[#This Row],[Visit Type2]])</f>
        <v>Follow-Up</v>
      </c>
      <c r="K48" s="1" t="s">
        <v>72</v>
      </c>
      <c r="L48" s="1" t="str">
        <f t="shared" si="2"/>
        <v>Gastroenterology</v>
      </c>
      <c r="M48" s="1" t="s">
        <v>258</v>
      </c>
      <c r="N48" s="72" t="s">
        <v>1438</v>
      </c>
      <c r="O48" s="1" t="s">
        <v>259</v>
      </c>
      <c r="P48" s="1" t="str">
        <f t="shared" si="3"/>
        <v>Inflammatory Bowel Disease</v>
      </c>
      <c r="Q48" s="1" t="s">
        <v>646</v>
      </c>
      <c r="R48" s="1" t="s">
        <v>647</v>
      </c>
      <c r="S48" s="1">
        <v>99213</v>
      </c>
      <c r="T48" s="1" t="s">
        <v>648</v>
      </c>
      <c r="U48" s="1" t="s">
        <v>649</v>
      </c>
      <c r="V48" s="1" t="s">
        <v>650</v>
      </c>
      <c r="W48" s="1" t="s">
        <v>57</v>
      </c>
      <c r="X48" s="1">
        <v>60</v>
      </c>
      <c r="Y48" s="17">
        <v>850</v>
      </c>
      <c r="Z48" s="8">
        <f>100</f>
        <v>100</v>
      </c>
      <c r="AA48" s="9">
        <f>70/(100)</f>
        <v>0.69999999999999996</v>
      </c>
      <c r="AB48" s="7">
        <v>255</v>
      </c>
      <c r="AC48" s="15">
        <v>90</v>
      </c>
      <c r="AD48" s="16">
        <v>345</v>
      </c>
      <c r="AE48" s="14">
        <v>505</v>
      </c>
      <c r="AF48" s="1" t="s">
        <v>58</v>
      </c>
      <c r="AG48" s="1" t="b">
        <v>1</v>
      </c>
      <c r="AH48" s="1" t="s">
        <v>651</v>
      </c>
      <c r="AI48" s="1" t="b">
        <v>0</v>
      </c>
      <c r="AJ48" s="1" t="b">
        <v>0</v>
      </c>
      <c r="AK48" s="1" t="b">
        <v>1</v>
      </c>
      <c r="AL48" s="1" t="b">
        <v>1</v>
      </c>
      <c r="AM48" s="1" t="s">
        <v>652</v>
      </c>
      <c r="AN48" s="1">
        <v>3</v>
      </c>
      <c r="AO48" s="1" t="s">
        <v>653</v>
      </c>
      <c r="AP48" s="1">
        <v>86</v>
      </c>
      <c r="AQ48" s="1" t="s">
        <v>172</v>
      </c>
      <c r="AR48" s="1" t="s">
        <v>654</v>
      </c>
      <c r="AS48" s="12">
        <f>Table1[[#This Row],[Visit Cost]]*(1-Table1[[#This Row],[Insurance Coverage Pct]]/100)+Table1[[#This Row],[Copay Amount]]+Table1[[#This Row],[Deductible Applied]]</f>
        <v>1189.05</v>
      </c>
      <c r="AU48">
        <f>ROUND(AVERAGE(AN14:AN101),2)</f>
        <v>4.0099999999999998</v>
      </c>
    </row>
    <row r="49" spans="1:45" ht="15">
      <c r="A49" s="3" t="s">
        <v>655</v>
      </c>
      <c r="B49" s="1" t="s">
        <v>1295</v>
      </c>
      <c r="C49" s="2">
        <v>35922</v>
      </c>
      <c r="D49" s="1" t="s">
        <v>67</v>
      </c>
      <c r="E49" s="1" t="s">
        <v>658</v>
      </c>
      <c r="F49" s="1" t="s">
        <v>47</v>
      </c>
      <c r="G49" s="1" t="s">
        <v>659</v>
      </c>
      <c r="H49" s="28" t="s">
        <v>431</v>
      </c>
      <c r="I49" s="29">
        <v>0.375</v>
      </c>
      <c r="J49" s="2" t="str">
        <f>PROPER(Table1[[#This Row],[Visit Type2]])</f>
        <v>Pediatric</v>
      </c>
      <c r="K49" s="1" t="s">
        <v>180</v>
      </c>
      <c r="L49" s="1" t="str">
        <f t="shared" si="2"/>
        <v>Pediatrics</v>
      </c>
      <c r="M49" s="1" t="s">
        <v>181</v>
      </c>
      <c r="N49" s="72" t="s">
        <v>1439</v>
      </c>
      <c r="O49" s="1" t="s">
        <v>182</v>
      </c>
      <c r="P49" s="1" t="str">
        <f t="shared" si="3"/>
        <v>Adhd</v>
      </c>
      <c r="Q49" s="1" t="s">
        <v>660</v>
      </c>
      <c r="R49" s="1" t="s">
        <v>661</v>
      </c>
      <c r="S49" s="1">
        <v>99212</v>
      </c>
      <c r="T49" s="1" t="s">
        <v>662</v>
      </c>
      <c r="U49" s="1" t="s">
        <v>57</v>
      </c>
      <c r="V49" s="1" t="s">
        <v>57</v>
      </c>
      <c r="W49" s="1" t="s">
        <v>57</v>
      </c>
      <c r="X49" s="1">
        <v>30</v>
      </c>
      <c r="Y49" s="17">
        <v>175</v>
      </c>
      <c r="Z49" s="8">
        <f>100</f>
        <v>100</v>
      </c>
      <c r="AA49" s="9">
        <f>90/(100)</f>
        <v>0.90000000000000002</v>
      </c>
      <c r="AB49" s="7">
        <v>17.5</v>
      </c>
      <c r="AC49" s="15">
        <v>10</v>
      </c>
      <c r="AD49" s="16">
        <v>27.5</v>
      </c>
      <c r="AE49" s="14">
        <v>147.5</v>
      </c>
      <c r="AF49" s="1" t="s">
        <v>80</v>
      </c>
      <c r="AG49" s="1" t="b">
        <v>0</v>
      </c>
      <c r="AH49" s="1" t="s">
        <v>1235</v>
      </c>
      <c r="AI49" s="1" t="b">
        <v>0</v>
      </c>
      <c r="AJ49" s="1" t="b">
        <v>0</v>
      </c>
      <c r="AK49" s="1" t="b">
        <v>0</v>
      </c>
      <c r="AL49" s="1" t="b">
        <v>0</v>
      </c>
      <c r="AM49" s="1" t="s">
        <v>1236</v>
      </c>
      <c r="AN49" s="1">
        <v>4</v>
      </c>
      <c r="AO49" s="1" t="s">
        <v>663</v>
      </c>
      <c r="AP49" s="1">
        <v>92</v>
      </c>
      <c r="AQ49" s="1" t="s">
        <v>61</v>
      </c>
      <c r="AR49" s="1" t="s">
        <v>664</v>
      </c>
      <c r="AS49" s="12">
        <f>Table1[[#This Row],[Visit Cost]]*(1-Table1[[#This Row],[Insurance Coverage Pct]]/100)+Table1[[#This Row],[Copay Amount]]+Table1[[#This Row],[Deductible Applied]]</f>
        <v>200.92500000000001</v>
      </c>
    </row>
    <row r="50" spans="1:45" ht="15">
      <c r="A50" s="3" t="s">
        <v>665</v>
      </c>
      <c r="B50" s="1" t="s">
        <v>1296</v>
      </c>
      <c r="C50" s="2" t="s">
        <v>668</v>
      </c>
      <c r="D50" s="1" t="s">
        <v>45</v>
      </c>
      <c r="E50" s="1" t="s">
        <v>669</v>
      </c>
      <c r="F50" s="1" t="s">
        <v>89</v>
      </c>
      <c r="G50" s="1" t="s">
        <v>670</v>
      </c>
      <c r="H50" s="28" t="s">
        <v>671</v>
      </c>
      <c r="I50" s="29">
        <v>0.60416666666666663</v>
      </c>
      <c r="J50" s="2" t="str">
        <f>PROPER(Table1[[#This Row],[Visit Type2]])</f>
        <v>Surgery</v>
      </c>
      <c r="K50" s="1" t="s">
        <v>144</v>
      </c>
      <c r="L50" s="1" t="str">
        <f t="shared" si="2"/>
        <v>Ophthalmology</v>
      </c>
      <c r="M50" s="1" t="s">
        <v>286</v>
      </c>
      <c r="N50" s="72" t="s">
        <v>1440</v>
      </c>
      <c r="O50" s="1" t="s">
        <v>287</v>
      </c>
      <c r="P50" s="1" t="str">
        <f t="shared" si="3"/>
        <v>Glaucoma</v>
      </c>
      <c r="Q50" s="1" t="s">
        <v>672</v>
      </c>
      <c r="R50" s="1" t="s">
        <v>673</v>
      </c>
      <c r="S50" s="1">
        <v>99222</v>
      </c>
      <c r="T50" s="1" t="s">
        <v>674</v>
      </c>
      <c r="U50" s="1" t="s">
        <v>57</v>
      </c>
      <c r="V50" s="1" t="s">
        <v>57</v>
      </c>
      <c r="W50" s="1">
        <v>66170</v>
      </c>
      <c r="X50" s="1">
        <v>95</v>
      </c>
      <c r="Y50" s="17">
        <v>4200</v>
      </c>
      <c r="Z50" s="8">
        <f>100</f>
        <v>100</v>
      </c>
      <c r="AA50" s="9">
        <f>80/(100)</f>
        <v>0.80000000000000004</v>
      </c>
      <c r="AB50" s="7">
        <v>840</v>
      </c>
      <c r="AC50" s="15">
        <v>200</v>
      </c>
      <c r="AD50" s="16">
        <v>1040</v>
      </c>
      <c r="AE50" s="14">
        <v>3160</v>
      </c>
      <c r="AF50" s="1" t="s">
        <v>80</v>
      </c>
      <c r="AG50" s="1" t="b">
        <v>1</v>
      </c>
      <c r="AH50" s="1">
        <v>45386</v>
      </c>
      <c r="AI50" s="1" t="b">
        <v>0</v>
      </c>
      <c r="AJ50" s="1" t="b">
        <v>1</v>
      </c>
      <c r="AK50" s="1" t="b">
        <v>1</v>
      </c>
      <c r="AL50" s="1" t="b">
        <v>0</v>
      </c>
      <c r="AM50" s="1" t="s">
        <v>1236</v>
      </c>
      <c r="AN50" s="1">
        <v>5</v>
      </c>
      <c r="AO50" s="1" t="s">
        <v>675</v>
      </c>
      <c r="AP50" s="1">
        <v>89</v>
      </c>
      <c r="AQ50" s="1" t="s">
        <v>172</v>
      </c>
      <c r="AR50" s="1" t="s">
        <v>676</v>
      </c>
      <c r="AS50" s="12">
        <f>Table1[[#This Row],[Visit Cost]]*(1-Table1[[#This Row],[Insurance Coverage Pct]]/100)+Table1[[#This Row],[Copay Amount]]+Table1[[#This Row],[Deductible Applied]]</f>
        <v>5206.3999999999996</v>
      </c>
    </row>
    <row r="51" spans="1:45" ht="15">
      <c r="A51" s="3" t="s">
        <v>677</v>
      </c>
      <c r="B51" s="1" t="s">
        <v>1297</v>
      </c>
      <c r="C51" s="2" t="s">
        <v>680</v>
      </c>
      <c r="D51" s="1" t="s">
        <v>67</v>
      </c>
      <c r="E51" s="1" t="s">
        <v>681</v>
      </c>
      <c r="F51" s="1" t="s">
        <v>69</v>
      </c>
      <c r="G51" s="1" t="s">
        <v>682</v>
      </c>
      <c r="H51" s="28" t="s">
        <v>629</v>
      </c>
      <c r="I51" s="29">
        <v>0.42708333333333331</v>
      </c>
      <c r="J51" s="2" t="str">
        <f>PROPER(Table1[[#This Row],[Visit Type2]])</f>
        <v>New Patient</v>
      </c>
      <c r="K51" s="1" t="s">
        <v>92</v>
      </c>
      <c r="L51" s="1" t="str">
        <f t="shared" si="2"/>
        <v>Rheumatology</v>
      </c>
      <c r="M51" s="1" t="s">
        <v>273</v>
      </c>
      <c r="N51" s="72" t="s">
        <v>1441</v>
      </c>
      <c r="O51" s="1" t="s">
        <v>274</v>
      </c>
      <c r="P51" s="1" t="str">
        <f t="shared" si="3"/>
        <v>Gout</v>
      </c>
      <c r="Q51" s="1" t="s">
        <v>683</v>
      </c>
      <c r="R51" s="1" t="s">
        <v>684</v>
      </c>
      <c r="S51" s="1">
        <v>99204</v>
      </c>
      <c r="T51" s="1" t="s">
        <v>685</v>
      </c>
      <c r="U51" s="1" t="s">
        <v>686</v>
      </c>
      <c r="V51" s="1" t="s">
        <v>57</v>
      </c>
      <c r="W51" s="1" t="s">
        <v>57</v>
      </c>
      <c r="X51" s="1">
        <v>45</v>
      </c>
      <c r="Y51" s="17">
        <v>340</v>
      </c>
      <c r="Z51" s="8">
        <f>100</f>
        <v>100</v>
      </c>
      <c r="AA51" s="9">
        <f>75/(100)</f>
        <v>0.75</v>
      </c>
      <c r="AB51" s="7">
        <v>85</v>
      </c>
      <c r="AC51" s="15">
        <v>50</v>
      </c>
      <c r="AD51" s="16">
        <v>135</v>
      </c>
      <c r="AE51" s="14">
        <v>205</v>
      </c>
      <c r="AF51" s="1" t="s">
        <v>118</v>
      </c>
      <c r="AG51" s="1" t="b">
        <v>1</v>
      </c>
      <c r="AH51" s="1" t="s">
        <v>687</v>
      </c>
      <c r="AI51" s="1" t="b">
        <v>0</v>
      </c>
      <c r="AJ51" s="1" t="b">
        <v>0</v>
      </c>
      <c r="AK51" s="1" t="b">
        <v>1</v>
      </c>
      <c r="AL51" s="1" t="b">
        <v>0</v>
      </c>
      <c r="AM51" s="1" t="s">
        <v>1236</v>
      </c>
      <c r="AN51" s="1">
        <v>4</v>
      </c>
      <c r="AO51" s="1" t="s">
        <v>688</v>
      </c>
      <c r="AP51" s="1">
        <v>90</v>
      </c>
      <c r="AQ51" s="1" t="s">
        <v>61</v>
      </c>
      <c r="AR51" s="1" t="s">
        <v>689</v>
      </c>
      <c r="AS51" s="12">
        <f>Table1[[#This Row],[Visit Cost]]*(1-Table1[[#This Row],[Insurance Coverage Pct]]/100)+Table1[[#This Row],[Copay Amount]]+Table1[[#This Row],[Deductible Applied]]</f>
        <v>472.44999999999999</v>
      </c>
    </row>
    <row r="52" spans="1:45" ht="15">
      <c r="A52" s="3" t="s">
        <v>690</v>
      </c>
      <c r="B52" s="1" t="s">
        <v>1298</v>
      </c>
      <c r="C52" s="2" t="s">
        <v>693</v>
      </c>
      <c r="D52" s="1" t="s">
        <v>45</v>
      </c>
      <c r="E52" s="1" t="s">
        <v>694</v>
      </c>
      <c r="F52" s="1" t="s">
        <v>47</v>
      </c>
      <c r="G52" s="1" t="s">
        <v>695</v>
      </c>
      <c r="H52" s="28" t="s">
        <v>696</v>
      </c>
      <c r="I52" s="29">
        <v>0.33333333333333331</v>
      </c>
      <c r="J52" s="2" t="str">
        <f>PROPER(Table1[[#This Row],[Visit Type2]])</f>
        <v>Checkup</v>
      </c>
      <c r="K52" s="1" t="s">
        <v>50</v>
      </c>
      <c r="L52" s="1" t="str">
        <f t="shared" si="2"/>
        <v>Urology</v>
      </c>
      <c r="M52" s="1" t="s">
        <v>309</v>
      </c>
      <c r="N52" s="72" t="s">
        <v>1442</v>
      </c>
      <c r="O52" s="1" t="s">
        <v>310</v>
      </c>
      <c r="P52" s="1" t="str">
        <f t="shared" si="3"/>
        <v>Uti</v>
      </c>
      <c r="Q52" s="1" t="s">
        <v>697</v>
      </c>
      <c r="R52" s="1" t="s">
        <v>698</v>
      </c>
      <c r="S52" s="1">
        <v>99214</v>
      </c>
      <c r="T52" s="1" t="s">
        <v>699</v>
      </c>
      <c r="U52" s="1" t="s">
        <v>700</v>
      </c>
      <c r="V52" s="1" t="s">
        <v>57</v>
      </c>
      <c r="W52" s="1" t="s">
        <v>57</v>
      </c>
      <c r="X52" s="1">
        <v>25</v>
      </c>
      <c r="Y52" s="17">
        <v>195</v>
      </c>
      <c r="Z52" s="8">
        <f>100</f>
        <v>100</v>
      </c>
      <c r="AA52" s="9">
        <f>80/(100)</f>
        <v>0.80000000000000004</v>
      </c>
      <c r="AB52" s="7">
        <v>39</v>
      </c>
      <c r="AC52" s="15">
        <v>25</v>
      </c>
      <c r="AD52" s="16">
        <v>64</v>
      </c>
      <c r="AE52" s="14">
        <v>131</v>
      </c>
      <c r="AF52" s="1" t="s">
        <v>58</v>
      </c>
      <c r="AG52" s="1" t="b">
        <v>1</v>
      </c>
      <c r="AH52" s="1">
        <v>45508</v>
      </c>
      <c r="AI52" s="1" t="b">
        <v>0</v>
      </c>
      <c r="AJ52" s="1" t="b">
        <v>0</v>
      </c>
      <c r="AK52" s="1" t="b">
        <v>0</v>
      </c>
      <c r="AL52" s="1" t="b">
        <v>0</v>
      </c>
      <c r="AM52" s="1" t="s">
        <v>1236</v>
      </c>
      <c r="AN52" s="1">
        <v>3</v>
      </c>
      <c r="AO52" s="1" t="s">
        <v>701</v>
      </c>
      <c r="AP52" s="1">
        <v>94</v>
      </c>
      <c r="AQ52" s="1" t="s">
        <v>61</v>
      </c>
      <c r="AR52" s="1" t="s">
        <v>702</v>
      </c>
      <c r="AS52" s="12">
        <f>Table1[[#This Row],[Visit Cost]]*(1-Table1[[#This Row],[Insurance Coverage Pct]]/100)+Table1[[#This Row],[Copay Amount]]+Table1[[#This Row],[Deductible Applied]]</f>
        <v>257.44</v>
      </c>
    </row>
    <row r="53" spans="1:45" ht="15">
      <c r="A53" s="3" t="s">
        <v>703</v>
      </c>
      <c r="B53" s="1" t="s">
        <v>1299</v>
      </c>
      <c r="C53" s="2">
        <v>31026</v>
      </c>
      <c r="D53" s="1" t="s">
        <v>67</v>
      </c>
      <c r="E53" s="1" t="s">
        <v>706</v>
      </c>
      <c r="F53" s="1" t="s">
        <v>69</v>
      </c>
      <c r="G53" s="1" t="s">
        <v>707</v>
      </c>
      <c r="H53" s="28" t="s">
        <v>472</v>
      </c>
      <c r="I53" s="29">
        <v>0.57291666666666663</v>
      </c>
      <c r="J53" s="2" t="str">
        <f>PROPER(Table1[[#This Row],[Visit Type2]])</f>
        <v>Urgent Care</v>
      </c>
      <c r="K53" s="1" t="s">
        <v>111</v>
      </c>
      <c r="L53" s="1" t="str">
        <f t="shared" si="2"/>
        <v>Allergy</v>
      </c>
      <c r="M53" s="1" t="s">
        <v>346</v>
      </c>
      <c r="N53" s="72" t="s">
        <v>1443</v>
      </c>
      <c r="O53" s="1" t="s">
        <v>347</v>
      </c>
      <c r="P53" s="1" t="str">
        <f t="shared" si="3"/>
        <v>Anaphylaxis</v>
      </c>
      <c r="Q53" s="1" t="s">
        <v>708</v>
      </c>
      <c r="R53" s="1" t="s">
        <v>506</v>
      </c>
      <c r="S53" s="1">
        <v>99292</v>
      </c>
      <c r="T53" s="1" t="s">
        <v>709</v>
      </c>
      <c r="U53" s="1" t="s">
        <v>57</v>
      </c>
      <c r="V53" s="1" t="s">
        <v>57</v>
      </c>
      <c r="W53" s="1" t="s">
        <v>57</v>
      </c>
      <c r="X53" s="1">
        <v>40</v>
      </c>
      <c r="Y53" s="17">
        <v>450</v>
      </c>
      <c r="Z53" s="8">
        <f>100</f>
        <v>100</v>
      </c>
      <c r="AA53" s="9">
        <f>70/(100)</f>
        <v>0.69999999999999996</v>
      </c>
      <c r="AB53" s="7">
        <v>135</v>
      </c>
      <c r="AC53" s="15">
        <v>60</v>
      </c>
      <c r="AD53" s="16">
        <v>195</v>
      </c>
      <c r="AE53" s="14">
        <v>255</v>
      </c>
      <c r="AF53" s="1" t="s">
        <v>80</v>
      </c>
      <c r="AG53" s="1" t="b">
        <v>0</v>
      </c>
      <c r="AH53" s="1" t="s">
        <v>1235</v>
      </c>
      <c r="AI53" s="1" t="b">
        <v>0</v>
      </c>
      <c r="AJ53" s="1" t="b">
        <v>1</v>
      </c>
      <c r="AK53" s="1" t="b">
        <v>0</v>
      </c>
      <c r="AL53" s="1" t="b">
        <v>0</v>
      </c>
      <c r="AM53" s="1" t="s">
        <v>1236</v>
      </c>
      <c r="AN53" s="1">
        <v>4</v>
      </c>
      <c r="AO53" s="1" t="s">
        <v>710</v>
      </c>
      <c r="AP53" s="1">
        <v>91</v>
      </c>
      <c r="AQ53" s="1" t="s">
        <v>61</v>
      </c>
      <c r="AR53" s="1" t="s">
        <v>711</v>
      </c>
      <c r="AS53" s="12">
        <f>Table1[[#This Row],[Visit Cost]]*(1-Table1[[#This Row],[Insurance Coverage Pct]]/100)+Table1[[#This Row],[Copay Amount]]+Table1[[#This Row],[Deductible Applied]]</f>
        <v>641.85000000000002</v>
      </c>
    </row>
    <row r="54" spans="1:45" ht="15">
      <c r="A54" s="3" t="s">
        <v>712</v>
      </c>
      <c r="B54" s="1" t="s">
        <v>1300</v>
      </c>
      <c r="C54" s="2" t="s">
        <v>715</v>
      </c>
      <c r="D54" s="1" t="s">
        <v>45</v>
      </c>
      <c r="E54" s="1" t="s">
        <v>716</v>
      </c>
      <c r="F54" s="1" t="s">
        <v>127</v>
      </c>
      <c r="G54" s="1" t="s">
        <v>717</v>
      </c>
      <c r="H54" s="28" t="s">
        <v>718</v>
      </c>
      <c r="I54" s="29">
        <v>0.39583333333333331</v>
      </c>
      <c r="J54" s="2" t="str">
        <f>PROPER(Table1[[#This Row],[Visit Type2]])</f>
        <v>Follow-Up</v>
      </c>
      <c r="K54" s="1" t="s">
        <v>72</v>
      </c>
      <c r="L54" s="1" t="str">
        <f t="shared" si="2"/>
        <v>Oncology</v>
      </c>
      <c r="M54" s="1" t="s">
        <v>228</v>
      </c>
      <c r="N54" s="72" t="s">
        <v>1444</v>
      </c>
      <c r="O54" s="1" t="s">
        <v>229</v>
      </c>
      <c r="P54" s="1" t="str">
        <f t="shared" si="3"/>
        <v>Lung Cancer</v>
      </c>
      <c r="Q54" s="1" t="s">
        <v>719</v>
      </c>
      <c r="R54" s="1" t="s">
        <v>720</v>
      </c>
      <c r="S54" s="1">
        <v>99215</v>
      </c>
      <c r="T54" s="1" t="s">
        <v>721</v>
      </c>
      <c r="U54" s="1" t="s">
        <v>722</v>
      </c>
      <c r="V54" s="1" t="s">
        <v>234</v>
      </c>
      <c r="W54" s="1" t="s">
        <v>57</v>
      </c>
      <c r="X54" s="1">
        <v>65</v>
      </c>
      <c r="Y54" s="17">
        <v>1800</v>
      </c>
      <c r="Z54" s="8">
        <f>100</f>
        <v>100</v>
      </c>
      <c r="AA54" s="9">
        <f>100/(100)</f>
        <v>1</v>
      </c>
      <c r="AB54" s="7">
        <v>0</v>
      </c>
      <c r="AC54" s="15">
        <v>0</v>
      </c>
      <c r="AD54" s="16">
        <v>0</v>
      </c>
      <c r="AE54" s="14">
        <v>1800</v>
      </c>
      <c r="AF54" s="1" t="s">
        <v>127</v>
      </c>
      <c r="AG54" s="1" t="b">
        <v>1</v>
      </c>
      <c r="AH54" s="1" t="s">
        <v>723</v>
      </c>
      <c r="AI54" s="1" t="b">
        <v>0</v>
      </c>
      <c r="AJ54" s="1" t="b">
        <v>0</v>
      </c>
      <c r="AK54" s="1" t="b">
        <v>0</v>
      </c>
      <c r="AL54" s="1" t="b">
        <v>0</v>
      </c>
      <c r="AM54" s="1" t="s">
        <v>1236</v>
      </c>
      <c r="AN54" s="1">
        <v>4</v>
      </c>
      <c r="AO54" s="1" t="s">
        <v>724</v>
      </c>
      <c r="AP54" s="1">
        <v>95</v>
      </c>
      <c r="AQ54" s="1" t="s">
        <v>61</v>
      </c>
      <c r="AR54" s="1" t="s">
        <v>725</v>
      </c>
      <c r="AS54" s="12">
        <f>Table1[[#This Row],[Visit Cost]]*(1-Table1[[#This Row],[Insurance Coverage Pct]]/100)+Table1[[#This Row],[Copay Amount]]+Table1[[#This Row],[Deductible Applied]]</f>
        <v>1782</v>
      </c>
    </row>
    <row r="55" spans="1:45" ht="15">
      <c r="A55" s="3" t="s">
        <v>726</v>
      </c>
      <c r="B55" s="1" t="s">
        <v>1301</v>
      </c>
      <c r="C55" s="2">
        <v>34158</v>
      </c>
      <c r="D55" s="1" t="s">
        <v>67</v>
      </c>
      <c r="E55" s="1" t="s">
        <v>729</v>
      </c>
      <c r="F55" s="1" t="s">
        <v>47</v>
      </c>
      <c r="G55" s="1" t="s">
        <v>730</v>
      </c>
      <c r="H55" s="28" t="s">
        <v>497</v>
      </c>
      <c r="I55" s="29">
        <v>0.5</v>
      </c>
      <c r="J55" s="2" t="str">
        <f>PROPER(Table1[[#This Row],[Visit Type2]])</f>
        <v>New Patient</v>
      </c>
      <c r="K55" s="1" t="s">
        <v>92</v>
      </c>
      <c r="L55" s="1" t="str">
        <f t="shared" si="2"/>
        <v>Pulmonology</v>
      </c>
      <c r="M55" s="1" t="s">
        <v>162</v>
      </c>
      <c r="N55" s="72" t="s">
        <v>1445</v>
      </c>
      <c r="O55" s="1" t="s">
        <v>163</v>
      </c>
      <c r="P55" s="1" t="str">
        <f t="shared" si="3"/>
        <v>Asthma</v>
      </c>
      <c r="Q55" s="1" t="s">
        <v>164</v>
      </c>
      <c r="R55" s="1" t="s">
        <v>165</v>
      </c>
      <c r="S55" s="1">
        <v>99203</v>
      </c>
      <c r="T55" s="1" t="s">
        <v>731</v>
      </c>
      <c r="U55" s="1" t="s">
        <v>167</v>
      </c>
      <c r="V55" s="1" t="s">
        <v>57</v>
      </c>
      <c r="W55" s="1" t="s">
        <v>57</v>
      </c>
      <c r="X55" s="1">
        <v>35</v>
      </c>
      <c r="Y55" s="17">
        <v>230</v>
      </c>
      <c r="Z55" s="8">
        <f>100</f>
        <v>100</v>
      </c>
      <c r="AA55" s="9">
        <f>85/(100)</f>
        <v>0.84999999999999998</v>
      </c>
      <c r="AB55" s="7">
        <v>34.5</v>
      </c>
      <c r="AC55" s="15">
        <v>25</v>
      </c>
      <c r="AD55" s="16">
        <v>59.5</v>
      </c>
      <c r="AE55" s="14">
        <v>170.5</v>
      </c>
      <c r="AF55" s="1" t="s">
        <v>58</v>
      </c>
      <c r="AG55" s="1" t="b">
        <v>1</v>
      </c>
      <c r="AH55" s="1" t="s">
        <v>732</v>
      </c>
      <c r="AI55" s="1" t="b">
        <v>0</v>
      </c>
      <c r="AJ55" s="1" t="b">
        <v>0</v>
      </c>
      <c r="AK55" s="1" t="b">
        <v>1</v>
      </c>
      <c r="AL55" s="1" t="b">
        <v>0</v>
      </c>
      <c r="AM55" s="1" t="s">
        <v>1236</v>
      </c>
      <c r="AN55" s="1">
        <v>4</v>
      </c>
      <c r="AO55" s="1" t="s">
        <v>733</v>
      </c>
      <c r="AP55" s="1">
        <v>89</v>
      </c>
      <c r="AQ55" s="1" t="s">
        <v>61</v>
      </c>
      <c r="AR55" s="1" t="s">
        <v>734</v>
      </c>
      <c r="AS55" s="12">
        <f>Table1[[#This Row],[Visit Cost]]*(1-Table1[[#This Row],[Insurance Coverage Pct]]/100)+Table1[[#This Row],[Copay Amount]]+Table1[[#This Row],[Deductible Applied]]</f>
        <v>287.54500000000002</v>
      </c>
    </row>
    <row r="56" spans="1:45" ht="15">
      <c r="A56" s="3" t="s">
        <v>735</v>
      </c>
      <c r="B56" s="1" t="s">
        <v>1302</v>
      </c>
      <c r="C56" s="2" t="s">
        <v>738</v>
      </c>
      <c r="D56" s="1" t="s">
        <v>45</v>
      </c>
      <c r="E56" s="1" t="s">
        <v>739</v>
      </c>
      <c r="F56" s="1" t="s">
        <v>89</v>
      </c>
      <c r="G56" s="1" t="s">
        <v>740</v>
      </c>
      <c r="H56" s="28" t="s">
        <v>508</v>
      </c>
      <c r="I56" s="29">
        <v>0.63541666666666663</v>
      </c>
      <c r="J56" s="2" t="str">
        <f>PROPER(Table1[[#This Row],[Visit Type2]])</f>
        <v>Surgery</v>
      </c>
      <c r="K56" s="1" t="s">
        <v>144</v>
      </c>
      <c r="L56" s="1" t="str">
        <f t="shared" si="2"/>
        <v>Orthopedics</v>
      </c>
      <c r="M56" s="1" t="s">
        <v>93</v>
      </c>
      <c r="N56" s="72" t="s">
        <v>1446</v>
      </c>
      <c r="O56" s="1" t="s">
        <v>94</v>
      </c>
      <c r="P56" s="1" t="str">
        <f t="shared" si="3"/>
        <v>Knee Replacement</v>
      </c>
      <c r="Q56" s="1" t="s">
        <v>741</v>
      </c>
      <c r="R56" s="1" t="s">
        <v>742</v>
      </c>
      <c r="S56" s="1">
        <v>99223</v>
      </c>
      <c r="T56" s="1" t="s">
        <v>743</v>
      </c>
      <c r="U56" s="1" t="s">
        <v>57</v>
      </c>
      <c r="V56" s="1" t="s">
        <v>98</v>
      </c>
      <c r="W56" s="1">
        <v>27447</v>
      </c>
      <c r="X56" s="1">
        <v>115</v>
      </c>
      <c r="Y56" s="17">
        <v>16500</v>
      </c>
      <c r="Z56" s="8">
        <f>100</f>
        <v>100</v>
      </c>
      <c r="AA56" s="9">
        <f>80/(100)</f>
        <v>0.80000000000000004</v>
      </c>
      <c r="AB56" s="7">
        <v>3300</v>
      </c>
      <c r="AC56" s="15">
        <v>800</v>
      </c>
      <c r="AD56" s="16">
        <v>4100</v>
      </c>
      <c r="AE56" s="14">
        <v>12400</v>
      </c>
      <c r="AF56" s="1" t="s">
        <v>80</v>
      </c>
      <c r="AG56" s="1" t="b">
        <v>1</v>
      </c>
      <c r="AH56" s="1">
        <v>45630</v>
      </c>
      <c r="AI56" s="1" t="b">
        <v>0</v>
      </c>
      <c r="AJ56" s="1" t="b">
        <v>1</v>
      </c>
      <c r="AK56" s="1" t="b">
        <v>1</v>
      </c>
      <c r="AL56" s="1" t="b">
        <v>0</v>
      </c>
      <c r="AM56" s="1" t="s">
        <v>1236</v>
      </c>
      <c r="AN56" s="1">
        <v>5</v>
      </c>
      <c r="AO56" s="1" t="s">
        <v>744</v>
      </c>
      <c r="AP56" s="1">
        <v>84</v>
      </c>
      <c r="AQ56" s="1" t="s">
        <v>172</v>
      </c>
      <c r="AR56" s="1" t="s">
        <v>745</v>
      </c>
      <c r="AS56" s="12">
        <f>Table1[[#This Row],[Visit Cost]]*(1-Table1[[#This Row],[Insurance Coverage Pct]]/100)+Table1[[#This Row],[Copay Amount]]+Table1[[#This Row],[Deductible Applied]]</f>
        <v>20468</v>
      </c>
    </row>
    <row r="57" spans="1:45" ht="15">
      <c r="A57" s="3" t="s">
        <v>746</v>
      </c>
      <c r="B57" s="1" t="s">
        <v>1303</v>
      </c>
      <c r="C57" s="2" t="s">
        <v>749</v>
      </c>
      <c r="D57" s="1" t="s">
        <v>67</v>
      </c>
      <c r="E57" s="1" t="s">
        <v>750</v>
      </c>
      <c r="F57" s="1" t="s">
        <v>69</v>
      </c>
      <c r="G57" s="1" t="s">
        <v>751</v>
      </c>
      <c r="H57" s="28">
        <v>45295</v>
      </c>
      <c r="I57" s="29">
        <v>0.4375</v>
      </c>
      <c r="J57" s="2" t="str">
        <f>PROPER(Table1[[#This Row],[Visit Type2]])</f>
        <v>Pediatric</v>
      </c>
      <c r="K57" s="1" t="s">
        <v>180</v>
      </c>
      <c r="L57" s="1" t="str">
        <f t="shared" si="2"/>
        <v>Pediatrics</v>
      </c>
      <c r="M57" s="1" t="s">
        <v>181</v>
      </c>
      <c r="N57" s="72" t="s">
        <v>1447</v>
      </c>
      <c r="O57" s="1" t="s">
        <v>182</v>
      </c>
      <c r="P57" s="1" t="str">
        <f t="shared" si="3"/>
        <v>Conjunctivitis</v>
      </c>
      <c r="Q57" s="1" t="s">
        <v>752</v>
      </c>
      <c r="R57" s="1" t="s">
        <v>753</v>
      </c>
      <c r="S57" s="1">
        <v>99211</v>
      </c>
      <c r="T57" s="1" t="s">
        <v>754</v>
      </c>
      <c r="U57" s="1" t="s">
        <v>57</v>
      </c>
      <c r="V57" s="1" t="s">
        <v>57</v>
      </c>
      <c r="W57" s="1" t="s">
        <v>57</v>
      </c>
      <c r="X57" s="1">
        <v>15</v>
      </c>
      <c r="Y57" s="17">
        <v>120</v>
      </c>
      <c r="Z57" s="8">
        <f>100</f>
        <v>100</v>
      </c>
      <c r="AA57" s="9">
        <f>100/(100)</f>
        <v>1</v>
      </c>
      <c r="AB57" s="7">
        <v>0</v>
      </c>
      <c r="AC57" s="15">
        <v>0</v>
      </c>
      <c r="AD57" s="16">
        <v>0</v>
      </c>
      <c r="AE57" s="14">
        <v>120</v>
      </c>
      <c r="AF57" s="1" t="s">
        <v>69</v>
      </c>
      <c r="AG57" s="1" t="b">
        <v>0</v>
      </c>
      <c r="AH57" s="1" t="s">
        <v>1235</v>
      </c>
      <c r="AI57" s="1" t="b">
        <v>0</v>
      </c>
      <c r="AJ57" s="1" t="b">
        <v>0</v>
      </c>
      <c r="AK57" s="1" t="b">
        <v>0</v>
      </c>
      <c r="AL57" s="1" t="b">
        <v>0</v>
      </c>
      <c r="AM57" s="1" t="s">
        <v>1236</v>
      </c>
      <c r="AN57" s="1">
        <v>5</v>
      </c>
      <c r="AO57" s="1" t="s">
        <v>755</v>
      </c>
      <c r="AP57" s="1">
        <v>96</v>
      </c>
      <c r="AQ57" s="1" t="s">
        <v>61</v>
      </c>
      <c r="AR57" s="1" t="s">
        <v>756</v>
      </c>
      <c r="AS57" s="12">
        <f>Table1[[#This Row],[Visit Cost]]*(1-Table1[[#This Row],[Insurance Coverage Pct]]/100)+Table1[[#This Row],[Copay Amount]]+Table1[[#This Row],[Deductible Applied]]</f>
        <v>118.8</v>
      </c>
    </row>
    <row r="58" spans="1:45" ht="15">
      <c r="A58" s="3" t="s">
        <v>757</v>
      </c>
      <c r="B58" s="1" t="s">
        <v>1304</v>
      </c>
      <c r="C58" s="2">
        <v>27099</v>
      </c>
      <c r="D58" s="1" t="s">
        <v>45</v>
      </c>
      <c r="E58" s="1" t="s">
        <v>760</v>
      </c>
      <c r="F58" s="1" t="s">
        <v>47</v>
      </c>
      <c r="G58" s="1" t="s">
        <v>761</v>
      </c>
      <c r="H58" s="28">
        <v>45326</v>
      </c>
      <c r="I58" s="29">
        <v>0.70833333333333337</v>
      </c>
      <c r="J58" s="2" t="str">
        <f>PROPER(Table1[[#This Row],[Visit Type2]])</f>
        <v>Checkup</v>
      </c>
      <c r="K58" s="1" t="s">
        <v>50</v>
      </c>
      <c r="L58" s="1" t="str">
        <f t="shared" si="2"/>
        <v>Psychiatry</v>
      </c>
      <c r="M58" s="1" t="s">
        <v>321</v>
      </c>
      <c r="N58" s="72" t="s">
        <v>1448</v>
      </c>
      <c r="O58" s="1" t="s">
        <v>322</v>
      </c>
      <c r="P58" s="1" t="str">
        <f t="shared" si="3"/>
        <v>Bipolar</v>
      </c>
      <c r="Q58" s="1" t="s">
        <v>762</v>
      </c>
      <c r="R58" s="1" t="s">
        <v>763</v>
      </c>
      <c r="S58" s="1">
        <v>99214</v>
      </c>
      <c r="T58" s="1" t="s">
        <v>764</v>
      </c>
      <c r="U58" s="1" t="s">
        <v>765</v>
      </c>
      <c r="V58" s="1" t="s">
        <v>57</v>
      </c>
      <c r="W58" s="1" t="s">
        <v>57</v>
      </c>
      <c r="X58" s="1">
        <v>50</v>
      </c>
      <c r="Y58" s="17">
        <v>240</v>
      </c>
      <c r="Z58" s="8">
        <f>100</f>
        <v>100</v>
      </c>
      <c r="AA58" s="9">
        <f>75/(100)</f>
        <v>0.75</v>
      </c>
      <c r="AB58" s="7">
        <v>60</v>
      </c>
      <c r="AC58" s="15">
        <v>35</v>
      </c>
      <c r="AD58" s="16">
        <v>95</v>
      </c>
      <c r="AE58" s="14">
        <v>145</v>
      </c>
      <c r="AF58" s="1" t="s">
        <v>118</v>
      </c>
      <c r="AG58" s="1" t="b">
        <v>1</v>
      </c>
      <c r="AH58" s="1">
        <v>45327</v>
      </c>
      <c r="AI58" s="1" t="b">
        <v>0</v>
      </c>
      <c r="AJ58" s="1" t="b">
        <v>0</v>
      </c>
      <c r="AK58" s="1" t="b">
        <v>0</v>
      </c>
      <c r="AL58" s="1" t="b">
        <v>0</v>
      </c>
      <c r="AM58" s="1" t="s">
        <v>1236</v>
      </c>
      <c r="AN58" s="1">
        <v>4</v>
      </c>
      <c r="AO58" s="1" t="s">
        <v>766</v>
      </c>
      <c r="AP58" s="1">
        <v>93</v>
      </c>
      <c r="AQ58" s="1" t="s">
        <v>61</v>
      </c>
      <c r="AR58" s="1" t="s">
        <v>767</v>
      </c>
      <c r="AS58" s="12">
        <f>Table1[[#This Row],[Visit Cost]]*(1-Table1[[#This Row],[Insurance Coverage Pct]]/100)+Table1[[#This Row],[Copay Amount]]+Table1[[#This Row],[Deductible Applied]]</f>
        <v>333.20000000000005</v>
      </c>
    </row>
    <row r="59" spans="1:45" ht="15">
      <c r="A59" s="3" t="s">
        <v>768</v>
      </c>
      <c r="B59" s="1" t="s">
        <v>1305</v>
      </c>
      <c r="C59" s="2">
        <v>32022</v>
      </c>
      <c r="D59" s="1" t="s">
        <v>67</v>
      </c>
      <c r="E59" s="1" t="s">
        <v>771</v>
      </c>
      <c r="F59" s="1" t="s">
        <v>127</v>
      </c>
      <c r="G59" s="1" t="s">
        <v>772</v>
      </c>
      <c r="H59" s="28">
        <v>45355</v>
      </c>
      <c r="I59" s="29">
        <v>0.36458333333333331</v>
      </c>
      <c r="J59" s="2" t="str">
        <f>PROPER(Table1[[#This Row],[Visit Type2]])</f>
        <v>Follow-Up</v>
      </c>
      <c r="K59" s="1" t="s">
        <v>72</v>
      </c>
      <c r="L59" s="1" t="str">
        <f t="shared" si="2"/>
        <v>Endocrinology</v>
      </c>
      <c r="M59" s="1" t="s">
        <v>130</v>
      </c>
      <c r="N59" s="72" t="s">
        <v>1449</v>
      </c>
      <c r="O59" s="1" t="s">
        <v>131</v>
      </c>
      <c r="P59" s="1" t="str">
        <f t="shared" si="3"/>
        <v>Diabetes Type2</v>
      </c>
      <c r="Q59" s="1" t="s">
        <v>132</v>
      </c>
      <c r="R59" s="1" t="s">
        <v>133</v>
      </c>
      <c r="S59" s="1">
        <v>99213</v>
      </c>
      <c r="T59" s="1" t="s">
        <v>773</v>
      </c>
      <c r="U59" s="1" t="s">
        <v>135</v>
      </c>
      <c r="V59" s="1" t="s">
        <v>57</v>
      </c>
      <c r="W59" s="1" t="s">
        <v>57</v>
      </c>
      <c r="X59" s="1">
        <v>30</v>
      </c>
      <c r="Y59" s="17">
        <v>185</v>
      </c>
      <c r="Z59" s="8">
        <f>100</f>
        <v>100</v>
      </c>
      <c r="AA59" s="9">
        <f>100/(100)</f>
        <v>1</v>
      </c>
      <c r="AB59" s="7">
        <v>0</v>
      </c>
      <c r="AC59" s="15">
        <v>0</v>
      </c>
      <c r="AD59" s="16">
        <v>0</v>
      </c>
      <c r="AE59" s="14">
        <v>185</v>
      </c>
      <c r="AF59" s="1" t="s">
        <v>127</v>
      </c>
      <c r="AG59" s="1" t="b">
        <v>0</v>
      </c>
      <c r="AH59" s="1" t="s">
        <v>1235</v>
      </c>
      <c r="AI59" s="1" t="b">
        <v>0</v>
      </c>
      <c r="AJ59" s="1" t="b">
        <v>0</v>
      </c>
      <c r="AK59" s="1" t="b">
        <v>0</v>
      </c>
      <c r="AL59" s="1" t="b">
        <v>1</v>
      </c>
      <c r="AM59" s="1" t="s">
        <v>774</v>
      </c>
      <c r="AN59" s="1">
        <v>3</v>
      </c>
      <c r="AO59" s="1" t="s">
        <v>775</v>
      </c>
      <c r="AP59" s="1">
        <v>94</v>
      </c>
      <c r="AQ59" s="1" t="s">
        <v>172</v>
      </c>
      <c r="AR59" s="1" t="s">
        <v>776</v>
      </c>
      <c r="AS59" s="12">
        <f>Table1[[#This Row],[Visit Cost]]*(1-Table1[[#This Row],[Insurance Coverage Pct]]/100)+Table1[[#This Row],[Copay Amount]]+Table1[[#This Row],[Deductible Applied]]</f>
        <v>183.15000000000001</v>
      </c>
    </row>
    <row r="60" spans="1:45" ht="15">
      <c r="A60" s="3" t="s">
        <v>777</v>
      </c>
      <c r="B60" s="1" t="s">
        <v>1306</v>
      </c>
      <c r="C60" s="2" t="s">
        <v>780</v>
      </c>
      <c r="D60" s="1" t="s">
        <v>45</v>
      </c>
      <c r="E60" s="1" t="s">
        <v>781</v>
      </c>
      <c r="F60" s="1" t="s">
        <v>47</v>
      </c>
      <c r="G60" s="1" t="s">
        <v>782</v>
      </c>
      <c r="H60" s="28">
        <v>45386</v>
      </c>
      <c r="I60" s="29">
        <v>0.46875</v>
      </c>
      <c r="J60" s="2" t="str">
        <f>PROPER(Table1[[#This Row],[Visit Type2]])</f>
        <v>Urgent Care</v>
      </c>
      <c r="K60" s="1" t="s">
        <v>111</v>
      </c>
      <c r="L60" s="1" t="str">
        <f t="shared" si="2"/>
        <v>Dermatology</v>
      </c>
      <c r="M60" s="1" t="s">
        <v>245</v>
      </c>
      <c r="N60" s="72" t="s">
        <v>1450</v>
      </c>
      <c r="O60" s="1" t="s">
        <v>246</v>
      </c>
      <c r="P60" s="1" t="str">
        <f t="shared" si="3"/>
        <v>Shingles</v>
      </c>
      <c r="Q60" s="1" t="s">
        <v>783</v>
      </c>
      <c r="R60" s="1" t="s">
        <v>784</v>
      </c>
      <c r="S60" s="1">
        <v>99203</v>
      </c>
      <c r="T60" s="1" t="s">
        <v>785</v>
      </c>
      <c r="U60" s="1" t="s">
        <v>57</v>
      </c>
      <c r="V60" s="1" t="s">
        <v>57</v>
      </c>
      <c r="W60" s="1" t="s">
        <v>57</v>
      </c>
      <c r="X60" s="1">
        <v>35</v>
      </c>
      <c r="Y60" s="17">
        <v>260</v>
      </c>
      <c r="Z60" s="8">
        <f>100</f>
        <v>100</v>
      </c>
      <c r="AA60" s="9">
        <f>80/(100)</f>
        <v>0.80000000000000004</v>
      </c>
      <c r="AB60" s="7">
        <v>52</v>
      </c>
      <c r="AC60" s="15">
        <v>35</v>
      </c>
      <c r="AD60" s="16">
        <v>87</v>
      </c>
      <c r="AE60" s="14">
        <v>173</v>
      </c>
      <c r="AF60" s="1" t="s">
        <v>80</v>
      </c>
      <c r="AG60" s="1" t="b">
        <v>1</v>
      </c>
      <c r="AH60" s="1">
        <v>45600</v>
      </c>
      <c r="AI60" s="1" t="b">
        <v>0</v>
      </c>
      <c r="AJ60" s="1" t="b">
        <v>1</v>
      </c>
      <c r="AK60" s="1" t="b">
        <v>0</v>
      </c>
      <c r="AL60" s="1" t="b">
        <v>0</v>
      </c>
      <c r="AM60" s="1" t="s">
        <v>1236</v>
      </c>
      <c r="AN60" s="1">
        <v>3</v>
      </c>
      <c r="AO60" s="1" t="s">
        <v>786</v>
      </c>
      <c r="AP60" s="1">
        <v>88</v>
      </c>
      <c r="AQ60" s="1" t="s">
        <v>61</v>
      </c>
      <c r="AR60" s="1" t="s">
        <v>787</v>
      </c>
      <c r="AS60" s="12">
        <f>Table1[[#This Row],[Visit Cost]]*(1-Table1[[#This Row],[Insurance Coverage Pct]]/100)+Table1[[#This Row],[Copay Amount]]+Table1[[#This Row],[Deductible Applied]]</f>
        <v>344.92000000000002</v>
      </c>
    </row>
    <row r="61" spans="1:45" ht="15">
      <c r="A61" s="3" t="s">
        <v>788</v>
      </c>
      <c r="B61" s="1" t="s">
        <v>1307</v>
      </c>
      <c r="C61" s="2">
        <v>35381</v>
      </c>
      <c r="D61" s="1" t="s">
        <v>67</v>
      </c>
      <c r="E61" s="1" t="s">
        <v>791</v>
      </c>
      <c r="F61" s="1" t="s">
        <v>69</v>
      </c>
      <c r="G61" s="1" t="s">
        <v>792</v>
      </c>
      <c r="H61" s="28">
        <v>45416</v>
      </c>
      <c r="I61" s="29">
        <v>0.58333333333333337</v>
      </c>
      <c r="J61" s="2" t="str">
        <f>PROPER(Table1[[#This Row],[Visit Type2]])</f>
        <v>New Patient</v>
      </c>
      <c r="K61" s="1" t="s">
        <v>92</v>
      </c>
      <c r="L61" s="1" t="str">
        <f t="shared" si="2"/>
        <v>Cardiology</v>
      </c>
      <c r="M61" s="1" t="s">
        <v>73</v>
      </c>
      <c r="N61" s="72" t="s">
        <v>1451</v>
      </c>
      <c r="O61" s="1" t="s">
        <v>74</v>
      </c>
      <c r="P61" s="1" t="str">
        <f t="shared" si="3"/>
        <v>Pvcs</v>
      </c>
      <c r="Q61" s="1" t="s">
        <v>793</v>
      </c>
      <c r="R61" s="1" t="s">
        <v>794</v>
      </c>
      <c r="S61" s="1">
        <v>99204</v>
      </c>
      <c r="T61" s="1" t="s">
        <v>795</v>
      </c>
      <c r="U61" s="1" t="s">
        <v>796</v>
      </c>
      <c r="V61" s="1" t="s">
        <v>57</v>
      </c>
      <c r="W61" s="1" t="s">
        <v>57</v>
      </c>
      <c r="X61" s="1">
        <v>50</v>
      </c>
      <c r="Y61" s="17">
        <v>420</v>
      </c>
      <c r="Z61" s="8">
        <f>100</f>
        <v>100</v>
      </c>
      <c r="AA61" s="9">
        <f>70/(100)</f>
        <v>0.69999999999999996</v>
      </c>
      <c r="AB61" s="7">
        <v>126</v>
      </c>
      <c r="AC61" s="15">
        <v>65</v>
      </c>
      <c r="AD61" s="16">
        <v>191</v>
      </c>
      <c r="AE61" s="14">
        <v>229</v>
      </c>
      <c r="AF61" s="1" t="s">
        <v>58</v>
      </c>
      <c r="AG61" s="1" t="b">
        <v>1</v>
      </c>
      <c r="AH61" s="1">
        <v>45417</v>
      </c>
      <c r="AI61" s="1" t="b">
        <v>0</v>
      </c>
      <c r="AJ61" s="1" t="b">
        <v>0</v>
      </c>
      <c r="AK61" s="1" t="b">
        <v>1</v>
      </c>
      <c r="AL61" s="1" t="b">
        <v>0</v>
      </c>
      <c r="AM61" s="1" t="s">
        <v>1236</v>
      </c>
      <c r="AN61" s="1">
        <v>4</v>
      </c>
      <c r="AO61" s="1" t="s">
        <v>797</v>
      </c>
      <c r="AP61" s="1">
        <v>90</v>
      </c>
      <c r="AQ61" s="1" t="s">
        <v>153</v>
      </c>
      <c r="AR61" s="1" t="s">
        <v>798</v>
      </c>
      <c r="AS61" s="12">
        <f>Table1[[#This Row],[Visit Cost]]*(1-Table1[[#This Row],[Insurance Coverage Pct]]/100)+Table1[[#This Row],[Copay Amount]]+Table1[[#This Row],[Deductible Applied]]</f>
        <v>608.05999999999995</v>
      </c>
    </row>
    <row r="62" spans="1:45" ht="15">
      <c r="A62" s="3" t="s">
        <v>799</v>
      </c>
      <c r="B62" s="1" t="s">
        <v>1308</v>
      </c>
      <c r="C62" s="2" t="s">
        <v>802</v>
      </c>
      <c r="D62" s="1" t="s">
        <v>45</v>
      </c>
      <c r="E62" s="1" t="s">
        <v>803</v>
      </c>
      <c r="F62" s="1" t="s">
        <v>47</v>
      </c>
      <c r="G62" s="1" t="s">
        <v>804</v>
      </c>
      <c r="H62" s="28">
        <v>45508</v>
      </c>
      <c r="I62" s="29">
        <v>0.40625</v>
      </c>
      <c r="J62" s="2" t="str">
        <f>PROPER(Table1[[#This Row],[Visit Type2]])</f>
        <v>Follow-Up</v>
      </c>
      <c r="K62" s="1" t="s">
        <v>72</v>
      </c>
      <c r="L62" s="1" t="str">
        <f t="shared" si="2"/>
        <v>Neurology</v>
      </c>
      <c r="M62" s="1" t="s">
        <v>194</v>
      </c>
      <c r="N62" s="72" t="s">
        <v>1452</v>
      </c>
      <c r="O62" s="1" t="s">
        <v>195</v>
      </c>
      <c r="P62" s="1" t="str">
        <f t="shared" si="3"/>
        <v>Migraine</v>
      </c>
      <c r="Q62" s="1" t="s">
        <v>196</v>
      </c>
      <c r="R62" s="1" t="s">
        <v>197</v>
      </c>
      <c r="S62" s="1">
        <v>99213</v>
      </c>
      <c r="T62" s="1" t="s">
        <v>805</v>
      </c>
      <c r="U62" s="1" t="s">
        <v>57</v>
      </c>
      <c r="V62" s="1" t="s">
        <v>57</v>
      </c>
      <c r="W62" s="1" t="s">
        <v>57</v>
      </c>
      <c r="X62" s="1">
        <v>25</v>
      </c>
      <c r="Y62" s="17">
        <v>190</v>
      </c>
      <c r="Z62" s="8">
        <f>100</f>
        <v>100</v>
      </c>
      <c r="AA62" s="9">
        <f>80/(100)</f>
        <v>0.80000000000000004</v>
      </c>
      <c r="AB62" s="7">
        <v>38</v>
      </c>
      <c r="AC62" s="15">
        <v>25</v>
      </c>
      <c r="AD62" s="16">
        <v>63</v>
      </c>
      <c r="AE62" s="14">
        <v>127</v>
      </c>
      <c r="AF62" s="1" t="s">
        <v>80</v>
      </c>
      <c r="AG62" s="1" t="b">
        <v>0</v>
      </c>
      <c r="AH62" s="1" t="s">
        <v>1235</v>
      </c>
      <c r="AI62" s="1" t="b">
        <v>0</v>
      </c>
      <c r="AJ62" s="1" t="b">
        <v>0</v>
      </c>
      <c r="AK62" s="1" t="b">
        <v>0</v>
      </c>
      <c r="AL62" s="1" t="b">
        <v>0</v>
      </c>
      <c r="AM62" s="1" t="s">
        <v>1236</v>
      </c>
      <c r="AN62" s="1">
        <v>4</v>
      </c>
      <c r="AO62" s="1" t="s">
        <v>806</v>
      </c>
      <c r="AP62" s="1">
        <v>92</v>
      </c>
      <c r="AQ62" s="1" t="s">
        <v>61</v>
      </c>
      <c r="AR62" s="1" t="s">
        <v>807</v>
      </c>
      <c r="AS62" s="12">
        <f>Table1[[#This Row],[Visit Cost]]*(1-Table1[[#This Row],[Insurance Coverage Pct]]/100)+Table1[[#This Row],[Copay Amount]]+Table1[[#This Row],[Deductible Applied]]</f>
        <v>251.47999999999999</v>
      </c>
    </row>
    <row r="63" spans="1:45" ht="15">
      <c r="A63" s="3" t="s">
        <v>808</v>
      </c>
      <c r="B63" s="1" t="s">
        <v>1309</v>
      </c>
      <c r="C63" s="2">
        <v>28620</v>
      </c>
      <c r="D63" s="1" t="s">
        <v>67</v>
      </c>
      <c r="E63" s="1" t="s">
        <v>811</v>
      </c>
      <c r="F63" s="1" t="s">
        <v>69</v>
      </c>
      <c r="G63" s="1" t="s">
        <v>812</v>
      </c>
      <c r="H63" s="28">
        <v>45539</v>
      </c>
      <c r="I63" s="29">
        <v>0.64583333333333337</v>
      </c>
      <c r="J63" s="2" t="str">
        <f>PROPER(Table1[[#This Row],[Visit Type2]])</f>
        <v>Surgery</v>
      </c>
      <c r="K63" s="1" t="s">
        <v>144</v>
      </c>
      <c r="L63" s="1" t="str">
        <f t="shared" si="2"/>
        <v>General Surgery</v>
      </c>
      <c r="M63" s="1" t="s">
        <v>145</v>
      </c>
      <c r="N63" s="72" t="s">
        <v>1453</v>
      </c>
      <c r="O63" s="1" t="s">
        <v>146</v>
      </c>
      <c r="P63" s="1" t="str">
        <f t="shared" si="3"/>
        <v>Appendicitis</v>
      </c>
      <c r="Q63" s="1" t="s">
        <v>147</v>
      </c>
      <c r="R63" s="1" t="s">
        <v>148</v>
      </c>
      <c r="S63" s="1">
        <v>99222</v>
      </c>
      <c r="T63" s="1" t="s">
        <v>628</v>
      </c>
      <c r="U63" s="1" t="s">
        <v>57</v>
      </c>
      <c r="V63" s="1" t="s">
        <v>150</v>
      </c>
      <c r="W63" s="1">
        <v>44970</v>
      </c>
      <c r="X63" s="1">
        <v>100</v>
      </c>
      <c r="Y63" s="17">
        <v>6100</v>
      </c>
      <c r="Z63" s="8">
        <f>100</f>
        <v>100</v>
      </c>
      <c r="AA63" s="9">
        <f>75/(100)</f>
        <v>0.75</v>
      </c>
      <c r="AB63" s="7">
        <v>1525</v>
      </c>
      <c r="AC63" s="15">
        <v>400</v>
      </c>
      <c r="AD63" s="16">
        <v>1925</v>
      </c>
      <c r="AE63" s="14">
        <v>4175</v>
      </c>
      <c r="AF63" s="1" t="s">
        <v>80</v>
      </c>
      <c r="AG63" s="1" t="b">
        <v>1</v>
      </c>
      <c r="AH63" s="1" t="s">
        <v>813</v>
      </c>
      <c r="AI63" s="1" t="b">
        <v>0</v>
      </c>
      <c r="AJ63" s="1" t="b">
        <v>1</v>
      </c>
      <c r="AK63" s="1" t="b">
        <v>1</v>
      </c>
      <c r="AL63" s="1" t="b">
        <v>0</v>
      </c>
      <c r="AM63" s="1" t="s">
        <v>1236</v>
      </c>
      <c r="AN63" s="1">
        <v>4</v>
      </c>
      <c r="AO63" s="1" t="s">
        <v>814</v>
      </c>
      <c r="AP63" s="1">
        <v>87</v>
      </c>
      <c r="AQ63" s="1" t="s">
        <v>153</v>
      </c>
      <c r="AR63" s="1" t="s">
        <v>815</v>
      </c>
      <c r="AS63" s="12">
        <f>Table1[[#This Row],[Visit Cost]]*(1-Table1[[#This Row],[Insurance Coverage Pct]]/100)+Table1[[#This Row],[Copay Amount]]+Table1[[#This Row],[Deductible Applied]]</f>
        <v>7979.25</v>
      </c>
    </row>
    <row r="64" spans="1:45" ht="15">
      <c r="A64" s="3" t="s">
        <v>816</v>
      </c>
      <c r="B64" s="1" t="s">
        <v>1310</v>
      </c>
      <c r="C64" s="2" t="s">
        <v>819</v>
      </c>
      <c r="D64" s="1" t="s">
        <v>67</v>
      </c>
      <c r="E64" s="1" t="s">
        <v>820</v>
      </c>
      <c r="F64" s="1" t="s">
        <v>89</v>
      </c>
      <c r="G64" s="1" t="s">
        <v>821</v>
      </c>
      <c r="H64" s="28">
        <v>45569</v>
      </c>
      <c r="I64" s="29">
        <v>0.45833333333333331</v>
      </c>
      <c r="J64" s="2" t="str">
        <f>PROPER(Table1[[#This Row],[Visit Type2]])</f>
        <v>Checkup</v>
      </c>
      <c r="K64" s="1" t="s">
        <v>50</v>
      </c>
      <c r="L64" s="1" t="str">
        <f t="shared" si="2"/>
        <v>Rheumatology</v>
      </c>
      <c r="M64" s="1" t="s">
        <v>273</v>
      </c>
      <c r="N64" s="72" t="s">
        <v>1454</v>
      </c>
      <c r="O64" s="1" t="s">
        <v>274</v>
      </c>
      <c r="P64" s="1" t="str">
        <f t="shared" si="3"/>
        <v>Osteoporosis</v>
      </c>
      <c r="Q64" s="1" t="s">
        <v>822</v>
      </c>
      <c r="R64" s="1" t="s">
        <v>823</v>
      </c>
      <c r="S64" s="1">
        <v>99214</v>
      </c>
      <c r="T64" s="1" t="s">
        <v>824</v>
      </c>
      <c r="U64" s="1" t="s">
        <v>825</v>
      </c>
      <c r="V64" s="1" t="s">
        <v>57</v>
      </c>
      <c r="W64" s="1" t="s">
        <v>57</v>
      </c>
      <c r="X64" s="1">
        <v>40</v>
      </c>
      <c r="Y64" s="17">
        <v>310</v>
      </c>
      <c r="Z64" s="8">
        <f>100</f>
        <v>100</v>
      </c>
      <c r="AA64" s="9">
        <f>100/(100)</f>
        <v>1</v>
      </c>
      <c r="AB64" s="7">
        <v>0</v>
      </c>
      <c r="AC64" s="15">
        <v>0</v>
      </c>
      <c r="AD64" s="16">
        <v>0</v>
      </c>
      <c r="AE64" s="14">
        <v>310</v>
      </c>
      <c r="AF64" s="1" t="s">
        <v>89</v>
      </c>
      <c r="AG64" s="1" t="b">
        <v>1</v>
      </c>
      <c r="AH64" s="1">
        <v>45570</v>
      </c>
      <c r="AI64" s="1" t="b">
        <v>0</v>
      </c>
      <c r="AJ64" s="1" t="b">
        <v>0</v>
      </c>
      <c r="AK64" s="1" t="b">
        <v>0</v>
      </c>
      <c r="AL64" s="1" t="b">
        <v>0</v>
      </c>
      <c r="AM64" s="1" t="s">
        <v>1236</v>
      </c>
      <c r="AN64" s="1">
        <v>5</v>
      </c>
      <c r="AO64" s="1" t="s">
        <v>826</v>
      </c>
      <c r="AP64" s="1">
        <v>94</v>
      </c>
      <c r="AQ64" s="1" t="s">
        <v>61</v>
      </c>
      <c r="AR64" s="1" t="s">
        <v>827</v>
      </c>
      <c r="AS64" s="12">
        <f>Table1[[#This Row],[Visit Cost]]*(1-Table1[[#This Row],[Insurance Coverage Pct]]/100)+Table1[[#This Row],[Copay Amount]]+Table1[[#This Row],[Deductible Applied]]</f>
        <v>306.89999999999998</v>
      </c>
    </row>
    <row r="65" spans="1:45" ht="15">
      <c r="A65" s="3" t="s">
        <v>828</v>
      </c>
      <c r="B65" s="1" t="s">
        <v>1311</v>
      </c>
      <c r="C65" s="2" t="s">
        <v>831</v>
      </c>
      <c r="D65" s="1" t="s">
        <v>45</v>
      </c>
      <c r="E65" s="1" t="s">
        <v>832</v>
      </c>
      <c r="F65" s="1" t="s">
        <v>47</v>
      </c>
      <c r="G65" s="1" t="s">
        <v>833</v>
      </c>
      <c r="H65" s="28">
        <v>45600</v>
      </c>
      <c r="I65" s="29">
        <v>0.57291666666666663</v>
      </c>
      <c r="J65" s="2" t="str">
        <f>PROPER(Table1[[#This Row],[Visit Type2]])</f>
        <v>New Patient</v>
      </c>
      <c r="K65" s="1" t="s">
        <v>92</v>
      </c>
      <c r="L65" s="1" t="str">
        <f t="shared" si="2"/>
        <v>Gastroenterology</v>
      </c>
      <c r="M65" s="1" t="s">
        <v>258</v>
      </c>
      <c r="N65" s="72" t="s">
        <v>1455</v>
      </c>
      <c r="O65" s="1" t="s">
        <v>259</v>
      </c>
      <c r="P65" s="1" t="str">
        <f t="shared" si="3"/>
        <v>Reflux</v>
      </c>
      <c r="Q65" s="1" t="s">
        <v>834</v>
      </c>
      <c r="R65" s="1" t="s">
        <v>261</v>
      </c>
      <c r="S65" s="1">
        <v>99204</v>
      </c>
      <c r="T65" s="1" t="s">
        <v>835</v>
      </c>
      <c r="U65" s="1" t="s">
        <v>263</v>
      </c>
      <c r="V65" s="1" t="s">
        <v>57</v>
      </c>
      <c r="W65" s="1">
        <v>43235</v>
      </c>
      <c r="X65" s="1">
        <v>60</v>
      </c>
      <c r="Y65" s="17">
        <v>950</v>
      </c>
      <c r="Z65" s="8">
        <f>100</f>
        <v>100</v>
      </c>
      <c r="AA65" s="9">
        <f>80/(100)</f>
        <v>0.80000000000000004</v>
      </c>
      <c r="AB65" s="7">
        <v>190</v>
      </c>
      <c r="AC65" s="15">
        <v>60</v>
      </c>
      <c r="AD65" s="16">
        <v>250</v>
      </c>
      <c r="AE65" s="14">
        <v>700</v>
      </c>
      <c r="AF65" s="1" t="s">
        <v>118</v>
      </c>
      <c r="AG65" s="1" t="b">
        <v>1</v>
      </c>
      <c r="AH65" s="1">
        <v>45601</v>
      </c>
      <c r="AI65" s="1" t="b">
        <v>0</v>
      </c>
      <c r="AJ65" s="1" t="b">
        <v>0</v>
      </c>
      <c r="AK65" s="1" t="b">
        <v>1</v>
      </c>
      <c r="AL65" s="1" t="b">
        <v>0</v>
      </c>
      <c r="AM65" s="1" t="s">
        <v>1236</v>
      </c>
      <c r="AN65" s="1">
        <v>3</v>
      </c>
      <c r="AO65" s="1" t="s">
        <v>836</v>
      </c>
      <c r="AP65" s="1">
        <v>86</v>
      </c>
      <c r="AQ65" s="1" t="s">
        <v>61</v>
      </c>
      <c r="AR65" s="1" t="s">
        <v>837</v>
      </c>
      <c r="AS65" s="12">
        <f>Table1[[#This Row],[Visit Cost]]*(1-Table1[[#This Row],[Insurance Coverage Pct]]/100)+Table1[[#This Row],[Copay Amount]]+Table1[[#This Row],[Deductible Applied]]</f>
        <v>1192.4000000000001</v>
      </c>
    </row>
    <row r="66" spans="1:45" ht="15">
      <c r="A66" s="3" t="s">
        <v>838</v>
      </c>
      <c r="B66" s="1" t="s">
        <v>1312</v>
      </c>
      <c r="C66" s="2">
        <v>33055</v>
      </c>
      <c r="D66" s="1" t="s">
        <v>67</v>
      </c>
      <c r="E66" s="1" t="s">
        <v>840</v>
      </c>
      <c r="F66" s="1" t="s">
        <v>69</v>
      </c>
      <c r="G66" s="1" t="s">
        <v>841</v>
      </c>
      <c r="H66" s="28">
        <v>45630</v>
      </c>
      <c r="I66" s="29">
        <v>0.35416666666666669</v>
      </c>
      <c r="J66" s="2" t="str">
        <f>PROPER(Table1[[#This Row],[Visit Type2]])</f>
        <v>Urgent Care</v>
      </c>
      <c r="K66" s="1" t="s">
        <v>111</v>
      </c>
      <c r="L66" s="1" t="str">
        <f t="shared" si="4" ref="L66:L97">IF(M66="ER","Endocrinology",IF(M66="OB/GYN","Gastroentrology",M66))</f>
        <v>Gastroentrology</v>
      </c>
      <c r="M66" s="1" t="s">
        <v>213</v>
      </c>
      <c r="N66" s="72" t="s">
        <v>1456</v>
      </c>
      <c r="O66" s="1" t="s">
        <v>214</v>
      </c>
      <c r="P66" s="1" t="str">
        <f t="shared" si="5" ref="P66:P97">PROPER(SUBSTITUTE(SUBSTITUTE(SUBSTITUTE(SUBSTITUTE(SUBSTITUTE(SUBSTITUTE(SUBSTITUTE(SUBSTITUTE(SUBSTITUTE(SUBSTITUTE(Q66,"CAD","Coronary Artery Disease"),"GERD","Gastroesophageal Reflux Disease"),"BPH","Benign Prostatic Hyperplasia"),"COPD","Chronic Obstructive Pulmonary Disease"),"IBD","Inflammatory Bowel Disease"),"URI","Upper Respiratory Infection"),"PID","Pelvic Inflammatory Disease"),"DJD","Degenerative Joint Disease"),"RA","Rheumatoid Arthritis"),"DM","Diabetes Mellitus"))</f>
        <v>Pelvic Inflammatory Disease</v>
      </c>
      <c r="Q66" s="1" t="s">
        <v>842</v>
      </c>
      <c r="R66" s="1" t="s">
        <v>843</v>
      </c>
      <c r="S66" s="1">
        <v>99203</v>
      </c>
      <c r="T66" s="1" t="s">
        <v>398</v>
      </c>
      <c r="U66" s="1" t="s">
        <v>844</v>
      </c>
      <c r="V66" s="1" t="s">
        <v>218</v>
      </c>
      <c r="W66" s="1" t="s">
        <v>57</v>
      </c>
      <c r="X66" s="1">
        <v>50</v>
      </c>
      <c r="Y66" s="17">
        <v>380</v>
      </c>
      <c r="Z66" s="8">
        <f>100</f>
        <v>100</v>
      </c>
      <c r="AA66" s="9">
        <f>70/(100)</f>
        <v>0.69999999999999996</v>
      </c>
      <c r="AB66" s="7">
        <v>114</v>
      </c>
      <c r="AC66" s="15">
        <v>55</v>
      </c>
      <c r="AD66" s="16">
        <v>169</v>
      </c>
      <c r="AE66" s="14">
        <v>211</v>
      </c>
      <c r="AF66" s="1" t="s">
        <v>80</v>
      </c>
      <c r="AG66" s="1" t="b">
        <v>1</v>
      </c>
      <c r="AH66" s="1" t="s">
        <v>651</v>
      </c>
      <c r="AI66" s="1" t="b">
        <v>0</v>
      </c>
      <c r="AJ66" s="1" t="b">
        <v>1</v>
      </c>
      <c r="AK66" s="1" t="b">
        <v>0</v>
      </c>
      <c r="AL66" s="1" t="b">
        <v>0</v>
      </c>
      <c r="AM66" s="1" t="s">
        <v>1236</v>
      </c>
      <c r="AN66" s="1">
        <v>4</v>
      </c>
      <c r="AO66" s="1" t="s">
        <v>845</v>
      </c>
      <c r="AP66" s="1">
        <v>90</v>
      </c>
      <c r="AQ66" s="1" t="s">
        <v>61</v>
      </c>
      <c r="AR66" s="1" t="s">
        <v>846</v>
      </c>
      <c r="AS66" s="12">
        <f>Table1[[#This Row],[Visit Cost]]*(1-Table1[[#This Row],[Insurance Coverage Pct]]/100)+Table1[[#This Row],[Copay Amount]]+Table1[[#This Row],[Deductible Applied]]</f>
        <v>546.33999999999992</v>
      </c>
    </row>
    <row r="67" spans="1:45" ht="15">
      <c r="A67" s="3" t="s">
        <v>847</v>
      </c>
      <c r="B67" s="1" t="s">
        <v>1313</v>
      </c>
      <c r="C67" s="2" t="s">
        <v>850</v>
      </c>
      <c r="D67" s="1" t="s">
        <v>45</v>
      </c>
      <c r="E67" s="1" t="s">
        <v>851</v>
      </c>
      <c r="F67" s="1" t="s">
        <v>47</v>
      </c>
      <c r="G67" s="1" t="s">
        <v>852</v>
      </c>
      <c r="H67" s="28" t="s">
        <v>853</v>
      </c>
      <c r="I67" s="29">
        <v>0.51041666666666663</v>
      </c>
      <c r="J67" s="2" t="str">
        <f>PROPER(Table1[[#This Row],[Visit Type2]])</f>
        <v>Pediatric</v>
      </c>
      <c r="K67" s="1" t="s">
        <v>180</v>
      </c>
      <c r="L67" s="1" t="str">
        <f t="shared" si="4"/>
        <v>Pediatrics</v>
      </c>
      <c r="M67" s="1" t="s">
        <v>181</v>
      </c>
      <c r="N67" s="72" t="s">
        <v>1457</v>
      </c>
      <c r="O67" s="1" t="s">
        <v>182</v>
      </c>
      <c r="P67" s="1" t="str">
        <f t="shared" si="5"/>
        <v>Strep Throat</v>
      </c>
      <c r="Q67" s="1" t="s">
        <v>854</v>
      </c>
      <c r="R67" s="1" t="s">
        <v>855</v>
      </c>
      <c r="S67" s="1">
        <v>99212</v>
      </c>
      <c r="T67" s="1" t="s">
        <v>116</v>
      </c>
      <c r="U67" s="1" t="s">
        <v>856</v>
      </c>
      <c r="V67" s="1" t="s">
        <v>57</v>
      </c>
      <c r="W67" s="1" t="s">
        <v>57</v>
      </c>
      <c r="X67" s="1">
        <v>20</v>
      </c>
      <c r="Y67" s="17">
        <v>140</v>
      </c>
      <c r="Z67" s="8">
        <f>100</f>
        <v>100</v>
      </c>
      <c r="AA67" s="9">
        <f>90/(100)</f>
        <v>0.90000000000000002</v>
      </c>
      <c r="AB67" s="7">
        <v>14</v>
      </c>
      <c r="AC67" s="15">
        <v>10</v>
      </c>
      <c r="AD67" s="16">
        <v>24</v>
      </c>
      <c r="AE67" s="14">
        <v>116</v>
      </c>
      <c r="AF67" s="1" t="s">
        <v>80</v>
      </c>
      <c r="AG67" s="1" t="b">
        <v>0</v>
      </c>
      <c r="AH67" s="1" t="s">
        <v>1235</v>
      </c>
      <c r="AI67" s="1" t="b">
        <v>0</v>
      </c>
      <c r="AJ67" s="1" t="b">
        <v>0</v>
      </c>
      <c r="AK67" s="1" t="b">
        <v>0</v>
      </c>
      <c r="AL67" s="1" t="b">
        <v>0</v>
      </c>
      <c r="AM67" s="1" t="s">
        <v>1236</v>
      </c>
      <c r="AN67" s="1">
        <v>5</v>
      </c>
      <c r="AO67" s="1" t="s">
        <v>857</v>
      </c>
      <c r="AP67" s="1">
        <v>95</v>
      </c>
      <c r="AQ67" s="1" t="s">
        <v>61</v>
      </c>
      <c r="AR67" s="1" t="s">
        <v>858</v>
      </c>
      <c r="AS67" s="12">
        <f>Table1[[#This Row],[Visit Cost]]*(1-Table1[[#This Row],[Insurance Coverage Pct]]/100)+Table1[[#This Row],[Copay Amount]]+Table1[[#This Row],[Deductible Applied]]</f>
        <v>162.74000000000001</v>
      </c>
    </row>
    <row r="68" spans="1:45" ht="15">
      <c r="A68" s="3" t="s">
        <v>859</v>
      </c>
      <c r="B68" s="1" t="s">
        <v>1314</v>
      </c>
      <c r="C68" s="2" t="s">
        <v>860</v>
      </c>
      <c r="D68" s="1" t="s">
        <v>67</v>
      </c>
      <c r="E68" s="1" t="s">
        <v>861</v>
      </c>
      <c r="F68" s="1" t="s">
        <v>127</v>
      </c>
      <c r="G68" s="1" t="s">
        <v>862</v>
      </c>
      <c r="H68" s="28" t="s">
        <v>863</v>
      </c>
      <c r="I68" s="29">
        <v>0.70833333333333337</v>
      </c>
      <c r="J68" s="2" t="str">
        <f>PROPER(Table1[[#This Row],[Visit Type2]])</f>
        <v>Follow-Up</v>
      </c>
      <c r="K68" s="1" t="s">
        <v>72</v>
      </c>
      <c r="L68" s="1" t="str">
        <f t="shared" si="4"/>
        <v>Oncology</v>
      </c>
      <c r="M68" s="1" t="s">
        <v>228</v>
      </c>
      <c r="N68" s="72" t="s">
        <v>1458</v>
      </c>
      <c r="O68" s="1" t="s">
        <v>229</v>
      </c>
      <c r="P68" s="1" t="str">
        <f t="shared" si="5"/>
        <v>Prostate Cancer</v>
      </c>
      <c r="Q68" s="1" t="s">
        <v>230</v>
      </c>
      <c r="R68" s="1" t="s">
        <v>231</v>
      </c>
      <c r="S68" s="1">
        <v>99215</v>
      </c>
      <c r="T68" s="1" t="s">
        <v>864</v>
      </c>
      <c r="U68" s="1" t="s">
        <v>233</v>
      </c>
      <c r="V68" s="1" t="s">
        <v>57</v>
      </c>
      <c r="W68" s="1" t="s">
        <v>57</v>
      </c>
      <c r="X68" s="1">
        <v>60</v>
      </c>
      <c r="Y68" s="17">
        <v>520</v>
      </c>
      <c r="Z68" s="8">
        <f>100</f>
        <v>100</v>
      </c>
      <c r="AA68" s="9">
        <f>100/(100)</f>
        <v>1</v>
      </c>
      <c r="AB68" s="7">
        <v>0</v>
      </c>
      <c r="AC68" s="15">
        <v>0</v>
      </c>
      <c r="AD68" s="16">
        <v>0</v>
      </c>
      <c r="AE68" s="14">
        <v>520</v>
      </c>
      <c r="AF68" s="1" t="s">
        <v>127</v>
      </c>
      <c r="AG68" s="1" t="b">
        <v>1</v>
      </c>
      <c r="AH68" s="1" t="s">
        <v>865</v>
      </c>
      <c r="AI68" s="1" t="b">
        <v>0</v>
      </c>
      <c r="AJ68" s="1" t="b">
        <v>0</v>
      </c>
      <c r="AK68" s="1" t="b">
        <v>0</v>
      </c>
      <c r="AL68" s="1" t="b">
        <v>0</v>
      </c>
      <c r="AM68" s="1" t="s">
        <v>1236</v>
      </c>
      <c r="AN68" s="1">
        <v>4</v>
      </c>
      <c r="AO68" s="1" t="s">
        <v>866</v>
      </c>
      <c r="AP68" s="1">
        <v>96</v>
      </c>
      <c r="AQ68" s="1" t="s">
        <v>61</v>
      </c>
      <c r="AR68" s="1" t="s">
        <v>867</v>
      </c>
      <c r="AS68" s="12">
        <f>Table1[[#This Row],[Visit Cost]]*(1-Table1[[#This Row],[Insurance Coverage Pct]]/100)+Table1[[#This Row],[Copay Amount]]+Table1[[#This Row],[Deductible Applied]]</f>
        <v>514.79999999999995</v>
      </c>
    </row>
    <row r="69" spans="1:45" ht="15">
      <c r="A69" s="3" t="s">
        <v>868</v>
      </c>
      <c r="B69" s="1" t="s">
        <v>1315</v>
      </c>
      <c r="C69" s="2">
        <v>23047</v>
      </c>
      <c r="D69" s="1" t="s">
        <v>45</v>
      </c>
      <c r="E69" s="1" t="s">
        <v>871</v>
      </c>
      <c r="F69" s="1" t="s">
        <v>89</v>
      </c>
      <c r="G69" s="1" t="s">
        <v>872</v>
      </c>
      <c r="H69" s="28" t="s">
        <v>873</v>
      </c>
      <c r="I69" s="29">
        <v>0.39583333333333331</v>
      </c>
      <c r="J69" s="2" t="str">
        <f>PROPER(Table1[[#This Row],[Visit Type2]])</f>
        <v>Surgery</v>
      </c>
      <c r="K69" s="1" t="s">
        <v>144</v>
      </c>
      <c r="L69" s="1" t="str">
        <f t="shared" si="4"/>
        <v>Ophthalmology</v>
      </c>
      <c r="M69" s="1" t="s">
        <v>286</v>
      </c>
      <c r="N69" s="72" t="s">
        <v>1459</v>
      </c>
      <c r="O69" s="1" t="s">
        <v>287</v>
      </c>
      <c r="P69" s="1" t="str">
        <f t="shared" si="5"/>
        <v>Cataract</v>
      </c>
      <c r="Q69" s="1" t="s">
        <v>288</v>
      </c>
      <c r="R69" s="1" t="s">
        <v>289</v>
      </c>
      <c r="S69" s="1">
        <v>99221</v>
      </c>
      <c r="T69" s="1" t="s">
        <v>290</v>
      </c>
      <c r="U69" s="1" t="s">
        <v>57</v>
      </c>
      <c r="V69" s="1" t="s">
        <v>57</v>
      </c>
      <c r="W69" s="1">
        <v>66984</v>
      </c>
      <c r="X69" s="1">
        <v>80</v>
      </c>
      <c r="Y69" s="17">
        <v>3550</v>
      </c>
      <c r="Z69" s="8">
        <f>100</f>
        <v>100</v>
      </c>
      <c r="AA69" s="9">
        <f>80/(100)</f>
        <v>0.80000000000000004</v>
      </c>
      <c r="AB69" s="7">
        <v>710</v>
      </c>
      <c r="AC69" s="15">
        <v>200</v>
      </c>
      <c r="AD69" s="16">
        <v>910</v>
      </c>
      <c r="AE69" s="14">
        <v>2640</v>
      </c>
      <c r="AF69" s="1" t="s">
        <v>80</v>
      </c>
      <c r="AG69" s="1" t="b">
        <v>1</v>
      </c>
      <c r="AH69" s="1">
        <v>45296</v>
      </c>
      <c r="AI69" s="1" t="b">
        <v>0</v>
      </c>
      <c r="AJ69" s="1" t="b">
        <v>1</v>
      </c>
      <c r="AK69" s="1" t="b">
        <v>1</v>
      </c>
      <c r="AL69" s="1" t="b">
        <v>0</v>
      </c>
      <c r="AM69" s="1" t="s">
        <v>1236</v>
      </c>
      <c r="AN69" s="1">
        <v>5</v>
      </c>
      <c r="AO69" s="1" t="s">
        <v>874</v>
      </c>
      <c r="AP69" s="1">
        <v>91</v>
      </c>
      <c r="AQ69" s="1" t="s">
        <v>172</v>
      </c>
      <c r="AR69" s="1" t="s">
        <v>875</v>
      </c>
      <c r="AS69" s="12">
        <f>Table1[[#This Row],[Visit Cost]]*(1-Table1[[#This Row],[Insurance Coverage Pct]]/100)+Table1[[#This Row],[Copay Amount]]+Table1[[#This Row],[Deductible Applied]]</f>
        <v>4431.6000000000004</v>
      </c>
    </row>
    <row r="70" spans="1:45" ht="15">
      <c r="A70" s="3" t="s">
        <v>876</v>
      </c>
      <c r="B70" s="1" t="s">
        <v>1316</v>
      </c>
      <c r="C70" s="2" t="s">
        <v>879</v>
      </c>
      <c r="D70" s="1" t="s">
        <v>67</v>
      </c>
      <c r="E70" s="1" t="s">
        <v>880</v>
      </c>
      <c r="F70" s="1" t="s">
        <v>69</v>
      </c>
      <c r="G70" s="1" t="s">
        <v>881</v>
      </c>
      <c r="H70" s="28" t="s">
        <v>639</v>
      </c>
      <c r="I70" s="29">
        <v>0.61458333333333337</v>
      </c>
      <c r="J70" s="2" t="str">
        <f>PROPER(Table1[[#This Row],[Visit Type2]])</f>
        <v>New Patient</v>
      </c>
      <c r="K70" s="1" t="s">
        <v>92</v>
      </c>
      <c r="L70" s="1" t="str">
        <f t="shared" si="4"/>
        <v>Allergy</v>
      </c>
      <c r="M70" s="1" t="s">
        <v>346</v>
      </c>
      <c r="N70" s="72" t="s">
        <v>1460</v>
      </c>
      <c r="O70" s="1" t="s">
        <v>347</v>
      </c>
      <c r="P70" s="1" t="str">
        <f t="shared" si="5"/>
        <v>Allergic Rhinitis</v>
      </c>
      <c r="Q70" s="1" t="s">
        <v>348</v>
      </c>
      <c r="R70" s="1" t="s">
        <v>349</v>
      </c>
      <c r="S70" s="1">
        <v>99203</v>
      </c>
      <c r="T70" s="1" t="s">
        <v>882</v>
      </c>
      <c r="U70" s="1" t="s">
        <v>351</v>
      </c>
      <c r="V70" s="1" t="s">
        <v>57</v>
      </c>
      <c r="W70" s="1" t="s">
        <v>57</v>
      </c>
      <c r="X70" s="1">
        <v>35</v>
      </c>
      <c r="Y70" s="17">
        <v>210</v>
      </c>
      <c r="Z70" s="8">
        <f>100</f>
        <v>100</v>
      </c>
      <c r="AA70" s="9">
        <f>75/(100)</f>
        <v>0.75</v>
      </c>
      <c r="AB70" s="7">
        <v>52.5</v>
      </c>
      <c r="AC70" s="15">
        <v>35</v>
      </c>
      <c r="AD70" s="16">
        <v>87.5</v>
      </c>
      <c r="AE70" s="14">
        <v>122.5</v>
      </c>
      <c r="AF70" s="1" t="s">
        <v>58</v>
      </c>
      <c r="AG70" s="1" t="b">
        <v>1</v>
      </c>
      <c r="AH70" s="1" t="s">
        <v>883</v>
      </c>
      <c r="AI70" s="1" t="b">
        <v>0</v>
      </c>
      <c r="AJ70" s="1" t="b">
        <v>0</v>
      </c>
      <c r="AK70" s="1" t="b">
        <v>1</v>
      </c>
      <c r="AL70" s="1" t="b">
        <v>0</v>
      </c>
      <c r="AM70" s="1" t="s">
        <v>1236</v>
      </c>
      <c r="AN70" s="1">
        <v>4</v>
      </c>
      <c r="AO70" s="1" t="s">
        <v>884</v>
      </c>
      <c r="AP70" s="1">
        <v>89</v>
      </c>
      <c r="AQ70" s="1" t="s">
        <v>61</v>
      </c>
      <c r="AR70" s="1" t="s">
        <v>885</v>
      </c>
      <c r="AS70" s="12">
        <f>Table1[[#This Row],[Visit Cost]]*(1-Table1[[#This Row],[Insurance Coverage Pct]]/100)+Table1[[#This Row],[Copay Amount]]+Table1[[#This Row],[Deductible Applied]]</f>
        <v>295.92500000000001</v>
      </c>
    </row>
    <row r="71" spans="1:45" ht="15">
      <c r="A71" s="3" t="s">
        <v>886</v>
      </c>
      <c r="B71" s="1" t="s">
        <v>1317</v>
      </c>
      <c r="C71" s="2">
        <v>29107</v>
      </c>
      <c r="D71" s="1" t="s">
        <v>45</v>
      </c>
      <c r="E71" s="1" t="s">
        <v>888</v>
      </c>
      <c r="F71" s="1" t="s">
        <v>47</v>
      </c>
      <c r="G71" s="1" t="s">
        <v>889</v>
      </c>
      <c r="H71" s="28" t="s">
        <v>651</v>
      </c>
      <c r="I71" s="29">
        <v>0.45833333333333331</v>
      </c>
      <c r="J71" s="2" t="str">
        <f>PROPER(Table1[[#This Row],[Visit Type2]])</f>
        <v>Checkup</v>
      </c>
      <c r="K71" s="1" t="s">
        <v>50</v>
      </c>
      <c r="L71" s="1" t="str">
        <f t="shared" si="4"/>
        <v>Urology</v>
      </c>
      <c r="M71" s="1" t="s">
        <v>309</v>
      </c>
      <c r="N71" s="72" t="s">
        <v>1461</v>
      </c>
      <c r="O71" s="1" t="s">
        <v>310</v>
      </c>
      <c r="P71" s="1" t="str">
        <f t="shared" si="5"/>
        <v>Benign Prostatic Hyperplasia</v>
      </c>
      <c r="Q71" s="1" t="s">
        <v>311</v>
      </c>
      <c r="R71" s="1" t="s">
        <v>312</v>
      </c>
      <c r="S71" s="1">
        <v>99214</v>
      </c>
      <c r="T71" s="1" t="s">
        <v>313</v>
      </c>
      <c r="U71" s="1" t="s">
        <v>233</v>
      </c>
      <c r="V71" s="1" t="s">
        <v>57</v>
      </c>
      <c r="W71" s="1" t="s">
        <v>57</v>
      </c>
      <c r="X71" s="1">
        <v>30</v>
      </c>
      <c r="Y71" s="17">
        <v>200</v>
      </c>
      <c r="Z71" s="8">
        <f>100</f>
        <v>100</v>
      </c>
      <c r="AA71" s="9">
        <f>80/(100)</f>
        <v>0.80000000000000004</v>
      </c>
      <c r="AB71" s="7">
        <v>40</v>
      </c>
      <c r="AC71" s="15">
        <v>25</v>
      </c>
      <c r="AD71" s="16">
        <v>65</v>
      </c>
      <c r="AE71" s="14">
        <v>135</v>
      </c>
      <c r="AF71" s="1" t="s">
        <v>118</v>
      </c>
      <c r="AG71" s="1" t="b">
        <v>0</v>
      </c>
      <c r="AH71" s="1" t="s">
        <v>1235</v>
      </c>
      <c r="AI71" s="1" t="b">
        <v>0</v>
      </c>
      <c r="AJ71" s="1" t="b">
        <v>0</v>
      </c>
      <c r="AK71" s="1" t="b">
        <v>0</v>
      </c>
      <c r="AL71" s="1" t="b">
        <v>0</v>
      </c>
      <c r="AM71" s="1" t="s">
        <v>1236</v>
      </c>
      <c r="AN71" s="1">
        <v>4</v>
      </c>
      <c r="AO71" s="1" t="s">
        <v>890</v>
      </c>
      <c r="AP71" s="1">
        <v>93</v>
      </c>
      <c r="AQ71" s="1" t="s">
        <v>61</v>
      </c>
      <c r="AR71" s="1" t="s">
        <v>891</v>
      </c>
      <c r="AS71" s="12">
        <f>Table1[[#This Row],[Visit Cost]]*(1-Table1[[#This Row],[Insurance Coverage Pct]]/100)+Table1[[#This Row],[Copay Amount]]+Table1[[#This Row],[Deductible Applied]]</f>
        <v>263.39999999999998</v>
      </c>
    </row>
    <row r="72" spans="1:45" ht="15">
      <c r="A72" s="3" t="s">
        <v>892</v>
      </c>
      <c r="B72" s="1" t="s">
        <v>1318</v>
      </c>
      <c r="C72" s="2" t="s">
        <v>895</v>
      </c>
      <c r="D72" s="1" t="s">
        <v>67</v>
      </c>
      <c r="E72" s="1" t="s">
        <v>896</v>
      </c>
      <c r="F72" s="1" t="s">
        <v>69</v>
      </c>
      <c r="G72" s="1" t="s">
        <v>897</v>
      </c>
      <c r="H72" s="28" t="s">
        <v>687</v>
      </c>
      <c r="I72" s="29">
        <v>0.6875</v>
      </c>
      <c r="J72" s="2" t="str">
        <f>PROPER(Table1[[#This Row],[Visit Type2]])</f>
        <v>Urgent Care</v>
      </c>
      <c r="K72" s="1" t="s">
        <v>111</v>
      </c>
      <c r="L72" s="1" t="str">
        <f t="shared" si="4"/>
        <v>Cardiology</v>
      </c>
      <c r="M72" s="1" t="s">
        <v>73</v>
      </c>
      <c r="N72" s="72" t="s">
        <v>1462</v>
      </c>
      <c r="O72" s="1" t="s">
        <v>74</v>
      </c>
      <c r="P72" s="1" t="str">
        <f t="shared" si="5"/>
        <v>Chest Pain</v>
      </c>
      <c r="Q72" s="1" t="s">
        <v>898</v>
      </c>
      <c r="R72" s="1" t="s">
        <v>899</v>
      </c>
      <c r="S72" s="1">
        <v>99203</v>
      </c>
      <c r="T72" s="1" t="s">
        <v>900</v>
      </c>
      <c r="U72" s="1" t="s">
        <v>361</v>
      </c>
      <c r="V72" s="1" t="s">
        <v>57</v>
      </c>
      <c r="W72" s="1" t="s">
        <v>57</v>
      </c>
      <c r="X72" s="1">
        <v>45</v>
      </c>
      <c r="Y72" s="17">
        <v>340</v>
      </c>
      <c r="Z72" s="8">
        <f>100</f>
        <v>100</v>
      </c>
      <c r="AA72" s="9">
        <f>70/(100)</f>
        <v>0.69999999999999996</v>
      </c>
      <c r="AB72" s="7">
        <v>102</v>
      </c>
      <c r="AC72" s="15">
        <v>50</v>
      </c>
      <c r="AD72" s="16">
        <v>152</v>
      </c>
      <c r="AE72" s="14">
        <v>188</v>
      </c>
      <c r="AF72" s="1" t="s">
        <v>80</v>
      </c>
      <c r="AG72" s="1" t="b">
        <v>1</v>
      </c>
      <c r="AH72" s="1" t="s">
        <v>901</v>
      </c>
      <c r="AI72" s="1" t="b">
        <v>0</v>
      </c>
      <c r="AJ72" s="1" t="b">
        <v>1</v>
      </c>
      <c r="AK72" s="1" t="b">
        <v>0</v>
      </c>
      <c r="AL72" s="1" t="b">
        <v>0</v>
      </c>
      <c r="AM72" s="1" t="s">
        <v>1236</v>
      </c>
      <c r="AN72" s="1">
        <v>3</v>
      </c>
      <c r="AO72" s="1" t="s">
        <v>902</v>
      </c>
      <c r="AP72" s="1">
        <v>87</v>
      </c>
      <c r="AQ72" s="1" t="s">
        <v>61</v>
      </c>
      <c r="AR72" s="1" t="s">
        <v>903</v>
      </c>
      <c r="AS72" s="12">
        <f>Table1[[#This Row],[Visit Cost]]*(1-Table1[[#This Row],[Insurance Coverage Pct]]/100)+Table1[[#This Row],[Copay Amount]]+Table1[[#This Row],[Deductible Applied]]</f>
        <v>489.62</v>
      </c>
    </row>
    <row r="73" spans="1:45" ht="15">
      <c r="A73" s="3" t="s">
        <v>904</v>
      </c>
      <c r="B73" s="1" t="s">
        <v>1319</v>
      </c>
      <c r="C73" s="2">
        <v>21894</v>
      </c>
      <c r="D73" s="1" t="s">
        <v>45</v>
      </c>
      <c r="E73" s="1" t="s">
        <v>907</v>
      </c>
      <c r="F73" s="1" t="s">
        <v>127</v>
      </c>
      <c r="G73" s="1" t="s">
        <v>908</v>
      </c>
      <c r="H73" s="28" t="s">
        <v>813</v>
      </c>
      <c r="I73" s="29">
        <v>0.34375</v>
      </c>
      <c r="J73" s="2" t="str">
        <f>PROPER(Table1[[#This Row],[Visit Type2]])</f>
        <v>Follow-Up</v>
      </c>
      <c r="K73" s="1" t="s">
        <v>72</v>
      </c>
      <c r="L73" s="1" t="str">
        <f t="shared" si="4"/>
        <v>Psychiatry</v>
      </c>
      <c r="M73" s="1" t="s">
        <v>321</v>
      </c>
      <c r="N73" s="72" t="s">
        <v>1463</v>
      </c>
      <c r="O73" s="1" t="s">
        <v>322</v>
      </c>
      <c r="P73" s="1" t="str">
        <f t="shared" si="5"/>
        <v>Schizophrenia</v>
      </c>
      <c r="Q73" s="1" t="s">
        <v>909</v>
      </c>
      <c r="R73" s="1" t="s">
        <v>910</v>
      </c>
      <c r="S73" s="1">
        <v>99214</v>
      </c>
      <c r="T73" s="1" t="s">
        <v>911</v>
      </c>
      <c r="U73" s="1" t="s">
        <v>57</v>
      </c>
      <c r="V73" s="1" t="s">
        <v>57</v>
      </c>
      <c r="W73" s="1" t="s">
        <v>57</v>
      </c>
      <c r="X73" s="1">
        <v>50</v>
      </c>
      <c r="Y73" s="17">
        <v>255</v>
      </c>
      <c r="Z73" s="8">
        <f>100</f>
        <v>100</v>
      </c>
      <c r="AA73" s="9">
        <f>100/(100)</f>
        <v>1</v>
      </c>
      <c r="AB73" s="7">
        <v>0</v>
      </c>
      <c r="AC73" s="15">
        <v>0</v>
      </c>
      <c r="AD73" s="16">
        <v>0</v>
      </c>
      <c r="AE73" s="14">
        <v>255</v>
      </c>
      <c r="AF73" s="1" t="s">
        <v>127</v>
      </c>
      <c r="AG73" s="1" t="b">
        <v>0</v>
      </c>
      <c r="AH73" s="1" t="s">
        <v>1235</v>
      </c>
      <c r="AI73" s="1" t="b">
        <v>0</v>
      </c>
      <c r="AJ73" s="1" t="b">
        <v>0</v>
      </c>
      <c r="AK73" s="1" t="b">
        <v>0</v>
      </c>
      <c r="AL73" s="1" t="b">
        <v>1</v>
      </c>
      <c r="AM73" s="1" t="s">
        <v>912</v>
      </c>
      <c r="AN73" s="1">
        <v>3</v>
      </c>
      <c r="AO73" s="1" t="s">
        <v>913</v>
      </c>
      <c r="AP73" s="1">
        <v>92</v>
      </c>
      <c r="AQ73" s="1" t="s">
        <v>172</v>
      </c>
      <c r="AR73" s="1" t="s">
        <v>914</v>
      </c>
      <c r="AS73" s="12">
        <f>Table1[[#This Row],[Visit Cost]]*(1-Table1[[#This Row],[Insurance Coverage Pct]]/100)+Table1[[#This Row],[Copay Amount]]+Table1[[#This Row],[Deductible Applied]]</f>
        <v>252.44999999999999</v>
      </c>
    </row>
    <row r="74" spans="1:45" ht="15">
      <c r="A74" s="3" t="s">
        <v>915</v>
      </c>
      <c r="B74" s="1" t="s">
        <v>1320</v>
      </c>
      <c r="C74" s="2" t="s">
        <v>918</v>
      </c>
      <c r="D74" s="1" t="s">
        <v>67</v>
      </c>
      <c r="E74" s="1" t="s">
        <v>919</v>
      </c>
      <c r="F74" s="1" t="s">
        <v>47</v>
      </c>
      <c r="G74" s="1" t="s">
        <v>920</v>
      </c>
      <c r="H74" s="28" t="s">
        <v>921</v>
      </c>
      <c r="I74" s="29">
        <v>0.53125</v>
      </c>
      <c r="J74" s="2" t="str">
        <f>PROPER(Table1[[#This Row],[Visit Type2]])</f>
        <v>New Patient</v>
      </c>
      <c r="K74" s="1" t="s">
        <v>92</v>
      </c>
      <c r="L74" s="1" t="str">
        <f t="shared" si="4"/>
        <v>Dermatology</v>
      </c>
      <c r="M74" s="1" t="s">
        <v>245</v>
      </c>
      <c r="N74" s="72" t="s">
        <v>1464</v>
      </c>
      <c r="O74" s="1" t="s">
        <v>246</v>
      </c>
      <c r="P74" s="1" t="str">
        <f t="shared" si="5"/>
        <v>Eczema</v>
      </c>
      <c r="Q74" s="1" t="s">
        <v>922</v>
      </c>
      <c r="R74" s="1" t="s">
        <v>923</v>
      </c>
      <c r="S74" s="1">
        <v>99204</v>
      </c>
      <c r="T74" s="1" t="s">
        <v>924</v>
      </c>
      <c r="U74" s="1" t="s">
        <v>57</v>
      </c>
      <c r="V74" s="1" t="s">
        <v>57</v>
      </c>
      <c r="W74" s="1" t="s">
        <v>57</v>
      </c>
      <c r="X74" s="1">
        <v>40</v>
      </c>
      <c r="Y74" s="17">
        <v>290</v>
      </c>
      <c r="Z74" s="8">
        <f>100</f>
        <v>100</v>
      </c>
      <c r="AA74" s="9">
        <f>85/(100)</f>
        <v>0.84999999999999998</v>
      </c>
      <c r="AB74" s="7">
        <v>43.5</v>
      </c>
      <c r="AC74" s="15">
        <v>30</v>
      </c>
      <c r="AD74" s="16">
        <v>73.5</v>
      </c>
      <c r="AE74" s="14">
        <v>216.5</v>
      </c>
      <c r="AF74" s="1" t="s">
        <v>58</v>
      </c>
      <c r="AG74" s="1" t="b">
        <v>1</v>
      </c>
      <c r="AH74" s="1" t="s">
        <v>925</v>
      </c>
      <c r="AI74" s="1" t="b">
        <v>0</v>
      </c>
      <c r="AJ74" s="1" t="b">
        <v>0</v>
      </c>
      <c r="AK74" s="1" t="b">
        <v>1</v>
      </c>
      <c r="AL74" s="1" t="b">
        <v>0</v>
      </c>
      <c r="AM74" s="1" t="s">
        <v>1236</v>
      </c>
      <c r="AN74" s="1">
        <v>4</v>
      </c>
      <c r="AO74" s="1" t="s">
        <v>926</v>
      </c>
      <c r="AP74" s="1">
        <v>90</v>
      </c>
      <c r="AQ74" s="1" t="s">
        <v>61</v>
      </c>
      <c r="AR74" s="1" t="s">
        <v>927</v>
      </c>
      <c r="AS74" s="12">
        <f>Table1[[#This Row],[Visit Cost]]*(1-Table1[[#This Row],[Insurance Coverage Pct]]/100)+Table1[[#This Row],[Copay Amount]]+Table1[[#This Row],[Deductible Applied]]</f>
        <v>361.03500000000003</v>
      </c>
    </row>
    <row r="75" spans="1:45" ht="15">
      <c r="A75" s="3" t="s">
        <v>928</v>
      </c>
      <c r="B75" s="1" t="s">
        <v>1321</v>
      </c>
      <c r="C75" s="2">
        <v>24691</v>
      </c>
      <c r="D75" s="1" t="s">
        <v>45</v>
      </c>
      <c r="E75" s="1" t="s">
        <v>931</v>
      </c>
      <c r="F75" s="1" t="s">
        <v>89</v>
      </c>
      <c r="G75" s="1" t="s">
        <v>932</v>
      </c>
      <c r="H75" s="28" t="s">
        <v>933</v>
      </c>
      <c r="I75" s="29">
        <v>0.625</v>
      </c>
      <c r="J75" s="2" t="str">
        <f>PROPER(Table1[[#This Row],[Visit Type2]])</f>
        <v>Surgery</v>
      </c>
      <c r="K75" s="1" t="s">
        <v>144</v>
      </c>
      <c r="L75" s="1" t="str">
        <f t="shared" si="4"/>
        <v>Orthopedics</v>
      </c>
      <c r="M75" s="1" t="s">
        <v>93</v>
      </c>
      <c r="N75" s="72" t="s">
        <v>1465</v>
      </c>
      <c r="O75" s="1" t="s">
        <v>94</v>
      </c>
      <c r="P75" s="1" t="str">
        <f t="shared" si="5"/>
        <v>Shoulder Arthroscopy</v>
      </c>
      <c r="Q75" s="1" t="s">
        <v>934</v>
      </c>
      <c r="R75" s="1" t="s">
        <v>935</v>
      </c>
      <c r="S75" s="1">
        <v>99222</v>
      </c>
      <c r="T75" s="1" t="s">
        <v>936</v>
      </c>
      <c r="U75" s="1" t="s">
        <v>57</v>
      </c>
      <c r="V75" s="1" t="s">
        <v>937</v>
      </c>
      <c r="W75" s="1">
        <v>29827</v>
      </c>
      <c r="X75" s="1">
        <v>90</v>
      </c>
      <c r="Y75" s="17">
        <v>8200</v>
      </c>
      <c r="Z75" s="8">
        <f>100</f>
        <v>100</v>
      </c>
      <c r="AA75" s="9">
        <f>80/(100)</f>
        <v>0.80000000000000004</v>
      </c>
      <c r="AB75" s="7">
        <v>1640</v>
      </c>
      <c r="AC75" s="15">
        <v>400</v>
      </c>
      <c r="AD75" s="16">
        <v>2040</v>
      </c>
      <c r="AE75" s="14">
        <v>6160</v>
      </c>
      <c r="AF75" s="1" t="s">
        <v>80</v>
      </c>
      <c r="AG75" s="1" t="b">
        <v>1</v>
      </c>
      <c r="AH75" s="1">
        <v>45540</v>
      </c>
      <c r="AI75" s="1" t="b">
        <v>0</v>
      </c>
      <c r="AJ75" s="1" t="b">
        <v>1</v>
      </c>
      <c r="AK75" s="1" t="b">
        <v>1</v>
      </c>
      <c r="AL75" s="1" t="b">
        <v>0</v>
      </c>
      <c r="AM75" s="1" t="s">
        <v>1236</v>
      </c>
      <c r="AN75" s="1">
        <v>5</v>
      </c>
      <c r="AO75" s="1" t="s">
        <v>938</v>
      </c>
      <c r="AP75" s="1">
        <v>85</v>
      </c>
      <c r="AQ75" s="1" t="s">
        <v>172</v>
      </c>
      <c r="AR75" s="1" t="s">
        <v>939</v>
      </c>
      <c r="AS75" s="12">
        <f>Table1[[#This Row],[Visit Cost]]*(1-Table1[[#This Row],[Insurance Coverage Pct]]/100)+Table1[[#This Row],[Copay Amount]]+Table1[[#This Row],[Deductible Applied]]</f>
        <v>10174.4</v>
      </c>
    </row>
    <row r="76" spans="1:45" ht="15">
      <c r="A76" s="3" t="s">
        <v>940</v>
      </c>
      <c r="B76" s="1" t="s">
        <v>1322</v>
      </c>
      <c r="C76" s="2">
        <v>30387</v>
      </c>
      <c r="D76" s="1" t="s">
        <v>67</v>
      </c>
      <c r="E76" s="1" t="s">
        <v>943</v>
      </c>
      <c r="F76" s="1" t="s">
        <v>69</v>
      </c>
      <c r="G76" s="1" t="s">
        <v>944</v>
      </c>
      <c r="H76" s="28" t="s">
        <v>945</v>
      </c>
      <c r="I76" s="29">
        <v>0.39583333333333331</v>
      </c>
      <c r="J76" s="2" t="str">
        <f>PROPER(Table1[[#This Row],[Visit Type2]])</f>
        <v>Pediatric</v>
      </c>
      <c r="K76" s="1" t="s">
        <v>180</v>
      </c>
      <c r="L76" s="1" t="str">
        <f t="shared" si="4"/>
        <v>Pediatrics</v>
      </c>
      <c r="M76" s="1" t="s">
        <v>181</v>
      </c>
      <c r="N76" s="72" t="s">
        <v>1466</v>
      </c>
      <c r="O76" s="1" t="s">
        <v>182</v>
      </c>
      <c r="P76" s="1" t="str">
        <f t="shared" si="5"/>
        <v>Constipation</v>
      </c>
      <c r="Q76" s="1" t="s">
        <v>946</v>
      </c>
      <c r="R76" s="1" t="s">
        <v>947</v>
      </c>
      <c r="S76" s="1">
        <v>99211</v>
      </c>
      <c r="T76" s="1" t="s">
        <v>948</v>
      </c>
      <c r="U76" s="1" t="s">
        <v>57</v>
      </c>
      <c r="V76" s="1" t="s">
        <v>57</v>
      </c>
      <c r="W76" s="1" t="s">
        <v>57</v>
      </c>
      <c r="X76" s="1">
        <v>20</v>
      </c>
      <c r="Y76" s="17">
        <v>125</v>
      </c>
      <c r="Z76" s="8">
        <f>100</f>
        <v>100</v>
      </c>
      <c r="AA76" s="9">
        <f>100/(100)</f>
        <v>1</v>
      </c>
      <c r="AB76" s="7">
        <v>0</v>
      </c>
      <c r="AC76" s="15">
        <v>0</v>
      </c>
      <c r="AD76" s="16">
        <v>0</v>
      </c>
      <c r="AE76" s="14">
        <v>125</v>
      </c>
      <c r="AF76" s="1" t="s">
        <v>69</v>
      </c>
      <c r="AG76" s="1" t="b">
        <v>0</v>
      </c>
      <c r="AH76" s="1" t="s">
        <v>1235</v>
      </c>
      <c r="AI76" s="1" t="b">
        <v>0</v>
      </c>
      <c r="AJ76" s="1" t="b">
        <v>0</v>
      </c>
      <c r="AK76" s="1" t="b">
        <v>0</v>
      </c>
      <c r="AL76" s="1" t="b">
        <v>0</v>
      </c>
      <c r="AM76" s="1" t="s">
        <v>1236</v>
      </c>
      <c r="AN76" s="1">
        <v>5</v>
      </c>
      <c r="AO76" s="1" t="s">
        <v>949</v>
      </c>
      <c r="AP76" s="1">
        <v>97</v>
      </c>
      <c r="AQ76" s="1" t="s">
        <v>61</v>
      </c>
      <c r="AR76" s="1" t="s">
        <v>950</v>
      </c>
      <c r="AS76" s="12">
        <f>Table1[[#This Row],[Visit Cost]]*(1-Table1[[#This Row],[Insurance Coverage Pct]]/100)+Table1[[#This Row],[Copay Amount]]+Table1[[#This Row],[Deductible Applied]]</f>
        <v>123.75</v>
      </c>
    </row>
    <row r="77" spans="1:45" ht="15">
      <c r="A77" s="3" t="s">
        <v>951</v>
      </c>
      <c r="B77" s="1" t="s">
        <v>1323</v>
      </c>
      <c r="C77" s="2" t="s">
        <v>954</v>
      </c>
      <c r="D77" s="1" t="s">
        <v>45</v>
      </c>
      <c r="E77" s="1" t="s">
        <v>955</v>
      </c>
      <c r="F77" s="1" t="s">
        <v>47</v>
      </c>
      <c r="G77" s="1" t="s">
        <v>956</v>
      </c>
      <c r="H77" s="28" t="s">
        <v>901</v>
      </c>
      <c r="I77" s="29">
        <v>0.59375</v>
      </c>
      <c r="J77" s="2" t="str">
        <f>PROPER(Table1[[#This Row],[Visit Type2]])</f>
        <v>Checkup</v>
      </c>
      <c r="K77" s="1" t="s">
        <v>50</v>
      </c>
      <c r="L77" s="1" t="str">
        <f t="shared" si="4"/>
        <v>Endocrinology</v>
      </c>
      <c r="M77" s="1" t="s">
        <v>130</v>
      </c>
      <c r="N77" s="72" t="s">
        <v>1467</v>
      </c>
      <c r="O77" s="1" t="s">
        <v>131</v>
      </c>
      <c r="P77" s="1" t="str">
        <f t="shared" si="5"/>
        <v>Thyroid Cancer</v>
      </c>
      <c r="Q77" s="1" t="s">
        <v>957</v>
      </c>
      <c r="R77" s="1" t="s">
        <v>958</v>
      </c>
      <c r="S77" s="1">
        <v>99215</v>
      </c>
      <c r="T77" s="1" t="s">
        <v>959</v>
      </c>
      <c r="U77" s="1" t="s">
        <v>960</v>
      </c>
      <c r="V77" s="1" t="s">
        <v>57</v>
      </c>
      <c r="W77" s="1" t="s">
        <v>57</v>
      </c>
      <c r="X77" s="1">
        <v>55</v>
      </c>
      <c r="Y77" s="17">
        <v>450</v>
      </c>
      <c r="Z77" s="8">
        <f>100</f>
        <v>100</v>
      </c>
      <c r="AA77" s="9">
        <f>80/(100)</f>
        <v>0.80000000000000004</v>
      </c>
      <c r="AB77" s="7">
        <v>90</v>
      </c>
      <c r="AC77" s="15">
        <v>50</v>
      </c>
      <c r="AD77" s="16">
        <v>140</v>
      </c>
      <c r="AE77" s="14">
        <v>310</v>
      </c>
      <c r="AF77" s="1" t="s">
        <v>118</v>
      </c>
      <c r="AG77" s="1" t="b">
        <v>1</v>
      </c>
      <c r="AH77" s="1" t="s">
        <v>961</v>
      </c>
      <c r="AI77" s="1" t="b">
        <v>0</v>
      </c>
      <c r="AJ77" s="1" t="b">
        <v>0</v>
      </c>
      <c r="AK77" s="1" t="b">
        <v>0</v>
      </c>
      <c r="AL77" s="1" t="b">
        <v>0</v>
      </c>
      <c r="AM77" s="1" t="s">
        <v>1236</v>
      </c>
      <c r="AN77" s="1">
        <v>4</v>
      </c>
      <c r="AO77" s="1" t="s">
        <v>962</v>
      </c>
      <c r="AP77" s="1">
        <v>94</v>
      </c>
      <c r="AQ77" s="1" t="s">
        <v>61</v>
      </c>
      <c r="AR77" s="1" t="s">
        <v>963</v>
      </c>
      <c r="AS77" s="12">
        <f>Table1[[#This Row],[Visit Cost]]*(1-Table1[[#This Row],[Insurance Coverage Pct]]/100)+Table1[[#This Row],[Copay Amount]]+Table1[[#This Row],[Deductible Applied]]</f>
        <v>586.39999999999998</v>
      </c>
    </row>
    <row r="78" spans="1:45" ht="15">
      <c r="A78" s="3" t="s">
        <v>964</v>
      </c>
      <c r="B78" s="1" t="s">
        <v>1324</v>
      </c>
      <c r="C78" s="2" t="s">
        <v>967</v>
      </c>
      <c r="D78" s="1" t="s">
        <v>67</v>
      </c>
      <c r="E78" s="1" t="s">
        <v>968</v>
      </c>
      <c r="F78" s="1" t="s">
        <v>127</v>
      </c>
      <c r="G78" s="1" t="s">
        <v>969</v>
      </c>
      <c r="H78" s="28" t="s">
        <v>970</v>
      </c>
      <c r="I78" s="29">
        <v>0.41666666666666669</v>
      </c>
      <c r="J78" s="2" t="str">
        <f>PROPER(Table1[[#This Row],[Visit Type2]])</f>
        <v>Follow-Up</v>
      </c>
      <c r="K78" s="1" t="s">
        <v>72</v>
      </c>
      <c r="L78" s="1" t="str">
        <f t="shared" si="4"/>
        <v>Pulmonology</v>
      </c>
      <c r="M78" s="1" t="s">
        <v>162</v>
      </c>
      <c r="N78" s="72" t="s">
        <v>1468</v>
      </c>
      <c r="O78" s="1" t="s">
        <v>163</v>
      </c>
      <c r="P78" s="1" t="str">
        <f t="shared" si="5"/>
        <v>Asthma</v>
      </c>
      <c r="Q78" s="1" t="s">
        <v>164</v>
      </c>
      <c r="R78" s="1" t="s">
        <v>165</v>
      </c>
      <c r="S78" s="1">
        <v>99213</v>
      </c>
      <c r="T78" s="1" t="s">
        <v>971</v>
      </c>
      <c r="U78" s="1" t="s">
        <v>167</v>
      </c>
      <c r="V78" s="1" t="s">
        <v>57</v>
      </c>
      <c r="W78" s="1" t="s">
        <v>57</v>
      </c>
      <c r="X78" s="1">
        <v>35</v>
      </c>
      <c r="Y78" s="17">
        <v>210</v>
      </c>
      <c r="Z78" s="8">
        <f>100</f>
        <v>100</v>
      </c>
      <c r="AA78" s="9">
        <f>100/(100)</f>
        <v>1</v>
      </c>
      <c r="AB78" s="7">
        <v>0</v>
      </c>
      <c r="AC78" s="15">
        <v>0</v>
      </c>
      <c r="AD78" s="16">
        <v>0</v>
      </c>
      <c r="AE78" s="14">
        <v>210</v>
      </c>
      <c r="AF78" s="1" t="s">
        <v>127</v>
      </c>
      <c r="AG78" s="1" t="b">
        <v>0</v>
      </c>
      <c r="AH78" s="1" t="s">
        <v>1235</v>
      </c>
      <c r="AI78" s="1" t="b">
        <v>0</v>
      </c>
      <c r="AJ78" s="1" t="b">
        <v>0</v>
      </c>
      <c r="AK78" s="1" t="b">
        <v>0</v>
      </c>
      <c r="AL78" s="1" t="b">
        <v>0</v>
      </c>
      <c r="AM78" s="1" t="s">
        <v>1236</v>
      </c>
      <c r="AN78" s="1">
        <v>4</v>
      </c>
      <c r="AO78" s="1" t="s">
        <v>972</v>
      </c>
      <c r="AP78" s="1">
        <v>95</v>
      </c>
      <c r="AQ78" s="1" t="s">
        <v>61</v>
      </c>
      <c r="AR78" s="1" t="s">
        <v>973</v>
      </c>
      <c r="AS78" s="12">
        <f>Table1[[#This Row],[Visit Cost]]*(1-Table1[[#This Row],[Insurance Coverage Pct]]/100)+Table1[[#This Row],[Copay Amount]]+Table1[[#This Row],[Deductible Applied]]</f>
        <v>207.90000000000001</v>
      </c>
    </row>
    <row r="79" spans="1:45" ht="15">
      <c r="A79" s="3" t="s">
        <v>974</v>
      </c>
      <c r="B79" s="1" t="s">
        <v>1325</v>
      </c>
      <c r="C79" s="2" t="s">
        <v>977</v>
      </c>
      <c r="D79" s="1" t="s">
        <v>45</v>
      </c>
      <c r="E79" s="1" t="s">
        <v>978</v>
      </c>
      <c r="F79" s="1" t="s">
        <v>47</v>
      </c>
      <c r="G79" s="1" t="s">
        <v>979</v>
      </c>
      <c r="H79" s="28">
        <v>45296</v>
      </c>
      <c r="I79" s="29">
        <v>0.5625</v>
      </c>
      <c r="J79" s="2" t="str">
        <f>PROPER(Table1[[#This Row],[Visit Type2]])</f>
        <v>Urgent Care</v>
      </c>
      <c r="K79" s="1" t="s">
        <v>111</v>
      </c>
      <c r="L79" s="1" t="str">
        <f t="shared" si="4"/>
        <v>Gastroenterology</v>
      </c>
      <c r="M79" s="1" t="s">
        <v>258</v>
      </c>
      <c r="N79" s="72" t="s">
        <v>1469</v>
      </c>
      <c r="O79" s="1" t="s">
        <v>259</v>
      </c>
      <c r="P79" s="1" t="str">
        <f t="shared" si="5"/>
        <v>Pancreatitis</v>
      </c>
      <c r="Q79" s="1" t="s">
        <v>980</v>
      </c>
      <c r="R79" s="1" t="s">
        <v>981</v>
      </c>
      <c r="S79" s="1">
        <v>99203</v>
      </c>
      <c r="T79" s="1" t="s">
        <v>982</v>
      </c>
      <c r="U79" s="1" t="s">
        <v>983</v>
      </c>
      <c r="V79" s="1" t="s">
        <v>150</v>
      </c>
      <c r="W79" s="1" t="s">
        <v>57</v>
      </c>
      <c r="X79" s="1">
        <v>75</v>
      </c>
      <c r="Y79" s="17">
        <v>680</v>
      </c>
      <c r="Z79" s="8">
        <f>100</f>
        <v>100</v>
      </c>
      <c r="AA79" s="9">
        <f>70/(100)</f>
        <v>0.69999999999999996</v>
      </c>
      <c r="AB79" s="7">
        <v>204</v>
      </c>
      <c r="AC79" s="15">
        <v>80</v>
      </c>
      <c r="AD79" s="16">
        <v>284</v>
      </c>
      <c r="AE79" s="14">
        <v>396</v>
      </c>
      <c r="AF79" s="1" t="s">
        <v>80</v>
      </c>
      <c r="AG79" s="1" t="b">
        <v>1</v>
      </c>
      <c r="AH79" s="1">
        <v>45509</v>
      </c>
      <c r="AI79" s="1" t="b">
        <v>0</v>
      </c>
      <c r="AJ79" s="1" t="b">
        <v>1</v>
      </c>
      <c r="AK79" s="1" t="b">
        <v>0</v>
      </c>
      <c r="AL79" s="1" t="b">
        <v>0</v>
      </c>
      <c r="AM79" s="1" t="s">
        <v>1236</v>
      </c>
      <c r="AN79" s="1">
        <v>3</v>
      </c>
      <c r="AO79" s="1" t="s">
        <v>984</v>
      </c>
      <c r="AP79" s="1">
        <v>88</v>
      </c>
      <c r="AQ79" s="1" t="s">
        <v>61</v>
      </c>
      <c r="AR79" s="1" t="s">
        <v>985</v>
      </c>
      <c r="AS79" s="12">
        <f>Table1[[#This Row],[Visit Cost]]*(1-Table1[[#This Row],[Insurance Coverage Pct]]/100)+Table1[[#This Row],[Copay Amount]]+Table1[[#This Row],[Deductible Applied]]</f>
        <v>959.24000000000001</v>
      </c>
    </row>
    <row r="80" spans="1:45" ht="15">
      <c r="A80" s="3" t="s">
        <v>986</v>
      </c>
      <c r="B80" s="1" t="s">
        <v>1326</v>
      </c>
      <c r="C80" s="2">
        <v>35653</v>
      </c>
      <c r="D80" s="1" t="s">
        <v>67</v>
      </c>
      <c r="E80" s="1" t="s">
        <v>989</v>
      </c>
      <c r="F80" s="1" t="s">
        <v>69</v>
      </c>
      <c r="G80" s="1" t="s">
        <v>990</v>
      </c>
      <c r="H80" s="28">
        <v>45327</v>
      </c>
      <c r="I80" s="29">
        <v>0.36458333333333331</v>
      </c>
      <c r="J80" s="2" t="str">
        <f>PROPER(Table1[[#This Row],[Visit Type2]])</f>
        <v>New Patient</v>
      </c>
      <c r="K80" s="1" t="s">
        <v>92</v>
      </c>
      <c r="L80" s="1" t="str">
        <f t="shared" si="4"/>
        <v>Neurology</v>
      </c>
      <c r="M80" s="1" t="s">
        <v>194</v>
      </c>
      <c r="N80" s="72" t="s">
        <v>1470</v>
      </c>
      <c r="O80" s="1" t="s">
        <v>195</v>
      </c>
      <c r="P80" s="1" t="str">
        <f t="shared" si="5"/>
        <v>Epilepsy</v>
      </c>
      <c r="Q80" s="1" t="s">
        <v>427</v>
      </c>
      <c r="R80" s="1" t="s">
        <v>428</v>
      </c>
      <c r="S80" s="1">
        <v>99204</v>
      </c>
      <c r="T80" s="1" t="s">
        <v>429</v>
      </c>
      <c r="U80" s="1" t="s">
        <v>430</v>
      </c>
      <c r="V80" s="1" t="s">
        <v>57</v>
      </c>
      <c r="W80" s="1" t="s">
        <v>57</v>
      </c>
      <c r="X80" s="1">
        <v>50</v>
      </c>
      <c r="Y80" s="17">
        <v>410</v>
      </c>
      <c r="Z80" s="8">
        <f>100</f>
        <v>100</v>
      </c>
      <c r="AA80" s="9">
        <f>75/(100)</f>
        <v>0.75</v>
      </c>
      <c r="AB80" s="7">
        <v>102.5</v>
      </c>
      <c r="AC80" s="15">
        <v>55</v>
      </c>
      <c r="AD80" s="16">
        <v>157.5</v>
      </c>
      <c r="AE80" s="14">
        <v>252.5</v>
      </c>
      <c r="AF80" s="1" t="s">
        <v>58</v>
      </c>
      <c r="AG80" s="1" t="b">
        <v>1</v>
      </c>
      <c r="AH80" s="1">
        <v>45328</v>
      </c>
      <c r="AI80" s="1" t="b">
        <v>0</v>
      </c>
      <c r="AJ80" s="1" t="b">
        <v>0</v>
      </c>
      <c r="AK80" s="1" t="b">
        <v>1</v>
      </c>
      <c r="AL80" s="1" t="b">
        <v>0</v>
      </c>
      <c r="AM80" s="1" t="s">
        <v>1236</v>
      </c>
      <c r="AN80" s="1">
        <v>4</v>
      </c>
      <c r="AO80" s="1" t="s">
        <v>991</v>
      </c>
      <c r="AP80" s="1">
        <v>89</v>
      </c>
      <c r="AQ80" s="1" t="s">
        <v>153</v>
      </c>
      <c r="AR80" s="1" t="s">
        <v>992</v>
      </c>
      <c r="AS80" s="12">
        <f>Table1[[#This Row],[Visit Cost]]*(1-Table1[[#This Row],[Insurance Coverage Pct]]/100)+Table1[[#This Row],[Copay Amount]]+Table1[[#This Row],[Deductible Applied]]</f>
        <v>564.42499999999995</v>
      </c>
    </row>
    <row r="81" spans="1:45" ht="15">
      <c r="A81" s="3" t="s">
        <v>993</v>
      </c>
      <c r="B81" s="1" t="s">
        <v>1327</v>
      </c>
      <c r="C81" s="2" t="s">
        <v>996</v>
      </c>
      <c r="D81" s="1" t="s">
        <v>45</v>
      </c>
      <c r="E81" s="1" t="s">
        <v>997</v>
      </c>
      <c r="F81" s="1" t="s">
        <v>47</v>
      </c>
      <c r="G81" s="1" t="s">
        <v>998</v>
      </c>
      <c r="H81" s="28">
        <v>45356</v>
      </c>
      <c r="I81" s="29">
        <v>0.66666666666666663</v>
      </c>
      <c r="J81" s="2" t="str">
        <f>PROPER(Table1[[#This Row],[Visit Type2]])</f>
        <v>Follow-Up</v>
      </c>
      <c r="K81" s="1" t="s">
        <v>72</v>
      </c>
      <c r="L81" s="1" t="str">
        <f t="shared" si="4"/>
        <v>Cardiology</v>
      </c>
      <c r="M81" s="1" t="s">
        <v>73</v>
      </c>
      <c r="N81" s="72" t="s">
        <v>1471</v>
      </c>
      <c r="O81" s="1" t="s">
        <v>74</v>
      </c>
      <c r="P81" s="1" t="str">
        <f t="shared" si="5"/>
        <v>Hypertension</v>
      </c>
      <c r="Q81" s="1" t="s">
        <v>53</v>
      </c>
      <c r="R81" s="1" t="s">
        <v>54</v>
      </c>
      <c r="S81" s="1">
        <v>99214</v>
      </c>
      <c r="T81" s="1" t="s">
        <v>360</v>
      </c>
      <c r="U81" s="1" t="s">
        <v>57</v>
      </c>
      <c r="V81" s="1" t="s">
        <v>57</v>
      </c>
      <c r="W81" s="1" t="s">
        <v>57</v>
      </c>
      <c r="X81" s="1">
        <v>30</v>
      </c>
      <c r="Y81" s="17">
        <v>185</v>
      </c>
      <c r="Z81" s="8">
        <f>100</f>
        <v>100</v>
      </c>
      <c r="AA81" s="9">
        <f>80/(100)</f>
        <v>0.80000000000000004</v>
      </c>
      <c r="AB81" s="7">
        <v>37</v>
      </c>
      <c r="AC81" s="15">
        <v>25</v>
      </c>
      <c r="AD81" s="16">
        <v>62</v>
      </c>
      <c r="AE81" s="14">
        <v>123</v>
      </c>
      <c r="AF81" s="1" t="s">
        <v>80</v>
      </c>
      <c r="AG81" s="1" t="b">
        <v>0</v>
      </c>
      <c r="AH81" s="1" t="s">
        <v>1235</v>
      </c>
      <c r="AI81" s="1" t="b">
        <v>0</v>
      </c>
      <c r="AJ81" s="1" t="b">
        <v>0</v>
      </c>
      <c r="AK81" s="1" t="b">
        <v>0</v>
      </c>
      <c r="AL81" s="1" t="b">
        <v>0</v>
      </c>
      <c r="AM81" s="1" t="s">
        <v>1236</v>
      </c>
      <c r="AN81" s="1">
        <v>5</v>
      </c>
      <c r="AO81" s="1" t="s">
        <v>999</v>
      </c>
      <c r="AP81" s="1">
        <v>94</v>
      </c>
      <c r="AQ81" s="1" t="s">
        <v>61</v>
      </c>
      <c r="AR81" s="1" t="s">
        <v>1000</v>
      </c>
      <c r="AS81" s="12">
        <f>Table1[[#This Row],[Visit Cost]]*(1-Table1[[#This Row],[Insurance Coverage Pct]]/100)+Table1[[#This Row],[Copay Amount]]+Table1[[#This Row],[Deductible Applied]]</f>
        <v>245.52000000000001</v>
      </c>
    </row>
    <row r="82" spans="1:45" ht="15">
      <c r="A82" s="3" t="s">
        <v>1001</v>
      </c>
      <c r="B82" s="1" t="s">
        <v>1328</v>
      </c>
      <c r="C82" s="2" t="s">
        <v>1003</v>
      </c>
      <c r="D82" s="1" t="s">
        <v>67</v>
      </c>
      <c r="E82" s="1" t="s">
        <v>1004</v>
      </c>
      <c r="F82" s="1" t="s">
        <v>47</v>
      </c>
      <c r="G82" s="1" t="s">
        <v>1005</v>
      </c>
      <c r="H82" s="28">
        <v>45448</v>
      </c>
      <c r="I82" s="29">
        <v>0.38541666666666669</v>
      </c>
      <c r="J82" s="2" t="str">
        <f>PROPER(Table1[[#This Row],[Visit Type2]])</f>
        <v>Surgery</v>
      </c>
      <c r="K82" s="1" t="s">
        <v>144</v>
      </c>
      <c r="L82" s="1" t="str">
        <f t="shared" si="4"/>
        <v>General Surgery</v>
      </c>
      <c r="M82" s="1" t="s">
        <v>145</v>
      </c>
      <c r="N82" s="72" t="s">
        <v>1472</v>
      </c>
      <c r="O82" s="1" t="s">
        <v>146</v>
      </c>
      <c r="P82" s="1" t="str">
        <f t="shared" si="5"/>
        <v>Cholecystitis</v>
      </c>
      <c r="Q82" s="1" t="s">
        <v>371</v>
      </c>
      <c r="R82" s="1" t="s">
        <v>372</v>
      </c>
      <c r="S82" s="1">
        <v>99222</v>
      </c>
      <c r="T82" s="1" t="s">
        <v>373</v>
      </c>
      <c r="U82" s="1" t="s">
        <v>57</v>
      </c>
      <c r="V82" s="1" t="s">
        <v>374</v>
      </c>
      <c r="W82" s="1">
        <v>47600</v>
      </c>
      <c r="X82" s="1">
        <v>90</v>
      </c>
      <c r="Y82" s="17">
        <v>9500</v>
      </c>
      <c r="Z82" s="8">
        <f>100</f>
        <v>100</v>
      </c>
      <c r="AA82" s="9">
        <f>75/(100)</f>
        <v>0.75</v>
      </c>
      <c r="AB82" s="7">
        <v>2375</v>
      </c>
      <c r="AC82" s="15">
        <v>600</v>
      </c>
      <c r="AD82" s="16">
        <v>2975</v>
      </c>
      <c r="AE82" s="14">
        <v>6525</v>
      </c>
      <c r="AF82" s="1" t="s">
        <v>80</v>
      </c>
      <c r="AG82" s="1" t="b">
        <v>1</v>
      </c>
      <c r="AH82" s="1" t="s">
        <v>1006</v>
      </c>
      <c r="AI82" s="1" t="b">
        <v>0</v>
      </c>
      <c r="AJ82" s="1" t="b">
        <v>1</v>
      </c>
      <c r="AK82" s="1" t="b">
        <v>1</v>
      </c>
      <c r="AL82" s="1" t="b">
        <v>0</v>
      </c>
      <c r="AM82" s="1" t="s">
        <v>1236</v>
      </c>
      <c r="AN82" s="1">
        <v>4</v>
      </c>
      <c r="AO82" s="1" t="s">
        <v>1007</v>
      </c>
      <c r="AP82" s="1">
        <v>86</v>
      </c>
      <c r="AQ82" s="1" t="s">
        <v>153</v>
      </c>
      <c r="AR82" s="1" t="s">
        <v>1008</v>
      </c>
      <c r="AS82" s="12">
        <f>Table1[[#This Row],[Visit Cost]]*(1-Table1[[#This Row],[Insurance Coverage Pct]]/100)+Table1[[#This Row],[Copay Amount]]+Table1[[#This Row],[Deductible Applied]]</f>
        <v>12403.75</v>
      </c>
    </row>
    <row r="83" spans="1:45" ht="15">
      <c r="A83" s="3" t="s">
        <v>1009</v>
      </c>
      <c r="B83" s="1" t="s">
        <v>1329</v>
      </c>
      <c r="C83" s="2" t="s">
        <v>1012</v>
      </c>
      <c r="D83" s="1" t="s">
        <v>45</v>
      </c>
      <c r="E83" s="1" t="s">
        <v>1013</v>
      </c>
      <c r="F83" s="1" t="s">
        <v>89</v>
      </c>
      <c r="G83" s="1" t="s">
        <v>1014</v>
      </c>
      <c r="H83" s="28">
        <v>45478</v>
      </c>
      <c r="I83" s="29">
        <v>0.60416666666666663</v>
      </c>
      <c r="J83" s="2" t="str">
        <f>PROPER(Table1[[#This Row],[Visit Type2]])</f>
        <v>Checkup</v>
      </c>
      <c r="K83" s="1" t="s">
        <v>50</v>
      </c>
      <c r="L83" s="1" t="str">
        <f t="shared" si="4"/>
        <v>Rheumatology</v>
      </c>
      <c r="M83" s="1" t="s">
        <v>273</v>
      </c>
      <c r="N83" s="72" t="s">
        <v>1473</v>
      </c>
      <c r="O83" s="1" t="s">
        <v>274</v>
      </c>
      <c r="P83" s="1" t="str">
        <f t="shared" si="5"/>
        <v>Osteoarthritis</v>
      </c>
      <c r="Q83" s="1" t="s">
        <v>95</v>
      </c>
      <c r="R83" s="1" t="s">
        <v>96</v>
      </c>
      <c r="S83" s="1">
        <v>99214</v>
      </c>
      <c r="T83" s="1" t="s">
        <v>97</v>
      </c>
      <c r="U83" s="1" t="s">
        <v>57</v>
      </c>
      <c r="V83" s="1" t="s">
        <v>57</v>
      </c>
      <c r="W83" s="1" t="s">
        <v>57</v>
      </c>
      <c r="X83" s="1">
        <v>40</v>
      </c>
      <c r="Y83" s="17">
        <v>270</v>
      </c>
      <c r="Z83" s="8">
        <f>100</f>
        <v>100</v>
      </c>
      <c r="AA83" s="9">
        <f>100/(100)</f>
        <v>1</v>
      </c>
      <c r="AB83" s="7">
        <v>0</v>
      </c>
      <c r="AC83" s="15">
        <v>0</v>
      </c>
      <c r="AD83" s="16">
        <v>0</v>
      </c>
      <c r="AE83" s="14">
        <v>270</v>
      </c>
      <c r="AF83" s="1" t="s">
        <v>89</v>
      </c>
      <c r="AG83" s="1" t="b">
        <v>1</v>
      </c>
      <c r="AH83" s="1">
        <v>45479</v>
      </c>
      <c r="AI83" s="1" t="b">
        <v>0</v>
      </c>
      <c r="AJ83" s="1" t="b">
        <v>0</v>
      </c>
      <c r="AK83" s="1" t="b">
        <v>0</v>
      </c>
      <c r="AL83" s="1" t="b">
        <v>0</v>
      </c>
      <c r="AM83" s="1" t="s">
        <v>1236</v>
      </c>
      <c r="AN83" s="1">
        <v>5</v>
      </c>
      <c r="AO83" s="1" t="s">
        <v>1015</v>
      </c>
      <c r="AP83" s="1">
        <v>93</v>
      </c>
      <c r="AQ83" s="1" t="s">
        <v>61</v>
      </c>
      <c r="AR83" s="1" t="s">
        <v>1016</v>
      </c>
      <c r="AS83" s="12">
        <f>Table1[[#This Row],[Visit Cost]]*(1-Table1[[#This Row],[Insurance Coverage Pct]]/100)+Table1[[#This Row],[Copay Amount]]+Table1[[#This Row],[Deductible Applied]]</f>
        <v>267.30000000000001</v>
      </c>
    </row>
    <row r="84" spans="1:45" ht="15">
      <c r="A84" s="3" t="s">
        <v>1017</v>
      </c>
      <c r="B84" s="1" t="s">
        <v>1330</v>
      </c>
      <c r="C84" s="2">
        <v>33912</v>
      </c>
      <c r="D84" s="1" t="s">
        <v>67</v>
      </c>
      <c r="E84" s="1" t="s">
        <v>1020</v>
      </c>
      <c r="F84" s="1" t="s">
        <v>69</v>
      </c>
      <c r="G84" s="1" t="s">
        <v>1021</v>
      </c>
      <c r="H84" s="28">
        <v>45509</v>
      </c>
      <c r="I84" s="29">
        <v>0.45833333333333331</v>
      </c>
      <c r="J84" s="2" t="str">
        <f>PROPER(Table1[[#This Row],[Visit Type2]])</f>
        <v>New Patient</v>
      </c>
      <c r="K84" s="1" t="s">
        <v>92</v>
      </c>
      <c r="L84" s="1" t="str">
        <f t="shared" si="4"/>
        <v>Dermatology</v>
      </c>
      <c r="M84" s="1" t="s">
        <v>245</v>
      </c>
      <c r="N84" s="72" t="s">
        <v>1474</v>
      </c>
      <c r="O84" s="1" t="s">
        <v>246</v>
      </c>
      <c r="P84" s="1" t="str">
        <f t="shared" si="5"/>
        <v>Acne</v>
      </c>
      <c r="Q84" s="1" t="s">
        <v>396</v>
      </c>
      <c r="R84" s="1" t="s">
        <v>397</v>
      </c>
      <c r="S84" s="1">
        <v>99203</v>
      </c>
      <c r="T84" s="1" t="s">
        <v>1022</v>
      </c>
      <c r="U84" s="1" t="s">
        <v>57</v>
      </c>
      <c r="V84" s="1" t="s">
        <v>57</v>
      </c>
      <c r="W84" s="1" t="s">
        <v>57</v>
      </c>
      <c r="X84" s="1">
        <v>30</v>
      </c>
      <c r="Y84" s="17">
        <v>220</v>
      </c>
      <c r="Z84" s="8">
        <f>100</f>
        <v>100</v>
      </c>
      <c r="AA84" s="9">
        <f>85/(100)</f>
        <v>0.84999999999999998</v>
      </c>
      <c r="AB84" s="7">
        <v>33</v>
      </c>
      <c r="AC84" s="15">
        <v>25</v>
      </c>
      <c r="AD84" s="16">
        <v>58</v>
      </c>
      <c r="AE84" s="14">
        <v>162</v>
      </c>
      <c r="AF84" s="1" t="s">
        <v>118</v>
      </c>
      <c r="AG84" s="1" t="b">
        <v>1</v>
      </c>
      <c r="AH84" s="1">
        <v>45510</v>
      </c>
      <c r="AI84" s="1" t="b">
        <v>0</v>
      </c>
      <c r="AJ84" s="1" t="b">
        <v>0</v>
      </c>
      <c r="AK84" s="1" t="b">
        <v>1</v>
      </c>
      <c r="AL84" s="1" t="b">
        <v>0</v>
      </c>
      <c r="AM84" s="1" t="s">
        <v>1236</v>
      </c>
      <c r="AN84" s="1">
        <v>3</v>
      </c>
      <c r="AO84" s="1" t="s">
        <v>1023</v>
      </c>
      <c r="AP84" s="1">
        <v>89</v>
      </c>
      <c r="AQ84" s="1" t="s">
        <v>61</v>
      </c>
      <c r="AR84" s="1" t="s">
        <v>1024</v>
      </c>
      <c r="AS84" s="12">
        <f>Table1[[#This Row],[Visit Cost]]*(1-Table1[[#This Row],[Insurance Coverage Pct]]/100)+Table1[[#This Row],[Copay Amount]]+Table1[[#This Row],[Deductible Applied]]</f>
        <v>276.13</v>
      </c>
    </row>
    <row r="85" spans="1:45" ht="15">
      <c r="A85" s="3" t="s">
        <v>1025</v>
      </c>
      <c r="B85" s="1" t="s">
        <v>1331</v>
      </c>
      <c r="C85" s="2">
        <v>25393</v>
      </c>
      <c r="D85" s="1" t="s">
        <v>45</v>
      </c>
      <c r="E85" s="1" t="s">
        <v>1028</v>
      </c>
      <c r="F85" s="1" t="s">
        <v>127</v>
      </c>
      <c r="G85" s="1" t="s">
        <v>1029</v>
      </c>
      <c r="H85" s="28">
        <v>45540</v>
      </c>
      <c r="I85" s="29">
        <v>0.36458333333333331</v>
      </c>
      <c r="J85" s="2" t="str">
        <f>PROPER(Table1[[#This Row],[Visit Type2]])</f>
        <v>Urgent Care</v>
      </c>
      <c r="K85" s="1" t="s">
        <v>111</v>
      </c>
      <c r="L85" s="1" t="str">
        <f t="shared" si="4"/>
        <v>Endocrinology</v>
      </c>
      <c r="M85" s="1" t="s">
        <v>112</v>
      </c>
      <c r="N85" s="72" t="s">
        <v>1475</v>
      </c>
      <c r="O85" s="1" t="s">
        <v>113</v>
      </c>
      <c r="P85" s="1" t="str">
        <f t="shared" si="5"/>
        <v>Pneumonia</v>
      </c>
      <c r="Q85" s="1" t="s">
        <v>406</v>
      </c>
      <c r="R85" s="1" t="s">
        <v>407</v>
      </c>
      <c r="S85" s="1">
        <v>99291</v>
      </c>
      <c r="T85" s="1" t="s">
        <v>1030</v>
      </c>
      <c r="U85" s="1" t="s">
        <v>117</v>
      </c>
      <c r="V85" s="1" t="s">
        <v>117</v>
      </c>
      <c r="W85" s="1" t="s">
        <v>57</v>
      </c>
      <c r="X85" s="1">
        <v>95</v>
      </c>
      <c r="Y85" s="17">
        <v>600</v>
      </c>
      <c r="Z85" s="8">
        <f>100</f>
        <v>100</v>
      </c>
      <c r="AA85" s="9">
        <f>100/(100)</f>
        <v>1</v>
      </c>
      <c r="AB85" s="7">
        <v>0</v>
      </c>
      <c r="AC85" s="15">
        <v>0</v>
      </c>
      <c r="AD85" s="16">
        <v>0</v>
      </c>
      <c r="AE85" s="14">
        <v>600</v>
      </c>
      <c r="AF85" s="1" t="s">
        <v>127</v>
      </c>
      <c r="AG85" s="1" t="b">
        <v>1</v>
      </c>
      <c r="AH85" s="1" t="s">
        <v>865</v>
      </c>
      <c r="AI85" s="1" t="b">
        <v>0</v>
      </c>
      <c r="AJ85" s="1" t="b">
        <v>1</v>
      </c>
      <c r="AK85" s="1" t="b">
        <v>0</v>
      </c>
      <c r="AL85" s="1" t="b">
        <v>0</v>
      </c>
      <c r="AM85" s="1" t="s">
        <v>1236</v>
      </c>
      <c r="AN85" s="1">
        <v>4</v>
      </c>
      <c r="AO85" s="1" t="s">
        <v>1031</v>
      </c>
      <c r="AP85" s="1">
        <v>92</v>
      </c>
      <c r="AQ85" s="1" t="s">
        <v>61</v>
      </c>
      <c r="AR85" s="1" t="s">
        <v>1032</v>
      </c>
      <c r="AS85" s="12">
        <f>Table1[[#This Row],[Visit Cost]]*(1-Table1[[#This Row],[Insurance Coverage Pct]]/100)+Table1[[#This Row],[Copay Amount]]+Table1[[#This Row],[Deductible Applied]]</f>
        <v>594</v>
      </c>
    </row>
    <row r="86" spans="1:45" ht="15">
      <c r="A86" s="3" t="s">
        <v>1033</v>
      </c>
      <c r="B86" s="1" t="s">
        <v>1332</v>
      </c>
      <c r="C86" s="2" t="s">
        <v>1036</v>
      </c>
      <c r="D86" s="1" t="s">
        <v>67</v>
      </c>
      <c r="E86" s="1" t="s">
        <v>1037</v>
      </c>
      <c r="F86" s="1" t="s">
        <v>47</v>
      </c>
      <c r="G86" s="1" t="s">
        <v>1038</v>
      </c>
      <c r="H86" s="28">
        <v>45570</v>
      </c>
      <c r="I86" s="29">
        <v>0.55208333333333337</v>
      </c>
      <c r="J86" s="2" t="str">
        <f>PROPER(Table1[[#This Row],[Visit Type2]])</f>
        <v>Prenatal</v>
      </c>
      <c r="K86" s="1" t="s">
        <v>212</v>
      </c>
      <c r="L86" s="1" t="str">
        <f t="shared" si="4"/>
        <v>Gastroentrology</v>
      </c>
      <c r="M86" s="1" t="s">
        <v>213</v>
      </c>
      <c r="N86" s="72" t="s">
        <v>1476</v>
      </c>
      <c r="O86" s="1" t="s">
        <v>214</v>
      </c>
      <c r="P86" s="1" t="str">
        <f t="shared" si="5"/>
        <v>Pregnancy</v>
      </c>
      <c r="Q86" s="1" t="s">
        <v>215</v>
      </c>
      <c r="R86" s="1" t="s">
        <v>216</v>
      </c>
      <c r="S86" s="1">
        <v>99213</v>
      </c>
      <c r="T86" s="1" t="s">
        <v>217</v>
      </c>
      <c r="U86" s="1" t="s">
        <v>218</v>
      </c>
      <c r="V86" s="1" t="s">
        <v>218</v>
      </c>
      <c r="W86" s="1" t="s">
        <v>57</v>
      </c>
      <c r="X86" s="1">
        <v>35</v>
      </c>
      <c r="Y86" s="17">
        <v>285</v>
      </c>
      <c r="Z86" s="8">
        <f>100</f>
        <v>100</v>
      </c>
      <c r="AA86" s="9">
        <f>80/(100)</f>
        <v>0.80000000000000004</v>
      </c>
      <c r="AB86" s="7">
        <v>57</v>
      </c>
      <c r="AC86" s="15">
        <v>35</v>
      </c>
      <c r="AD86" s="16">
        <v>92</v>
      </c>
      <c r="AE86" s="14">
        <v>193</v>
      </c>
      <c r="AF86" s="1" t="s">
        <v>80</v>
      </c>
      <c r="AG86" s="1" t="b">
        <v>1</v>
      </c>
      <c r="AH86" s="1">
        <v>45571</v>
      </c>
      <c r="AI86" s="1" t="b">
        <v>0</v>
      </c>
      <c r="AJ86" s="1" t="b">
        <v>0</v>
      </c>
      <c r="AK86" s="1" t="b">
        <v>0</v>
      </c>
      <c r="AL86" s="1" t="b">
        <v>0</v>
      </c>
      <c r="AM86" s="1" t="s">
        <v>1236</v>
      </c>
      <c r="AN86" s="1">
        <v>5</v>
      </c>
      <c r="AO86" s="1" t="s">
        <v>1039</v>
      </c>
      <c r="AP86" s="1">
        <v>96</v>
      </c>
      <c r="AQ86" s="1" t="s">
        <v>61</v>
      </c>
      <c r="AR86" s="1" t="s">
        <v>1040</v>
      </c>
      <c r="AS86" s="12">
        <f>Table1[[#This Row],[Visit Cost]]*(1-Table1[[#This Row],[Insurance Coverage Pct]]/100)+Table1[[#This Row],[Copay Amount]]+Table1[[#This Row],[Deductible Applied]]</f>
        <v>374.71999999999997</v>
      </c>
    </row>
    <row r="87" spans="1:45" ht="15">
      <c r="A87" s="3" t="s">
        <v>1041</v>
      </c>
      <c r="B87" s="1" t="s">
        <v>1333</v>
      </c>
      <c r="C87" s="2" t="s">
        <v>1044</v>
      </c>
      <c r="D87" s="1" t="s">
        <v>45</v>
      </c>
      <c r="E87" s="1" t="s">
        <v>1045</v>
      </c>
      <c r="F87" s="1" t="s">
        <v>69</v>
      </c>
      <c r="G87" s="1" t="s">
        <v>1046</v>
      </c>
      <c r="H87" s="28" t="s">
        <v>1047</v>
      </c>
      <c r="I87" s="29">
        <v>0.69791666666666663</v>
      </c>
      <c r="J87" s="2" t="str">
        <f>PROPER(Table1[[#This Row],[Visit Type2]])</f>
        <v>Follow-Up</v>
      </c>
      <c r="K87" s="1" t="s">
        <v>72</v>
      </c>
      <c r="L87" s="1" t="str">
        <f t="shared" si="4"/>
        <v>Gastroenterology</v>
      </c>
      <c r="M87" s="1" t="s">
        <v>258</v>
      </c>
      <c r="N87" s="72" t="s">
        <v>1477</v>
      </c>
      <c r="O87" s="1" t="s">
        <v>259</v>
      </c>
      <c r="P87" s="1" t="str">
        <f t="shared" si="5"/>
        <v>Crohn'S</v>
      </c>
      <c r="Q87" s="1" t="s">
        <v>1048</v>
      </c>
      <c r="R87" s="1" t="s">
        <v>647</v>
      </c>
      <c r="S87" s="1">
        <v>99213</v>
      </c>
      <c r="T87" s="1" t="s">
        <v>1049</v>
      </c>
      <c r="U87" s="1" t="s">
        <v>1050</v>
      </c>
      <c r="V87" s="1" t="s">
        <v>57</v>
      </c>
      <c r="W87" s="1" t="s">
        <v>57</v>
      </c>
      <c r="X87" s="1">
        <v>65</v>
      </c>
      <c r="Y87" s="17">
        <v>1200</v>
      </c>
      <c r="Z87" s="8">
        <f>100</f>
        <v>100</v>
      </c>
      <c r="AA87" s="9">
        <f>70/(100)</f>
        <v>0.69999999999999996</v>
      </c>
      <c r="AB87" s="7">
        <v>360</v>
      </c>
      <c r="AC87" s="15">
        <v>100</v>
      </c>
      <c r="AD87" s="16">
        <v>460</v>
      </c>
      <c r="AE87" s="14">
        <v>740</v>
      </c>
      <c r="AF87" s="1" t="s">
        <v>58</v>
      </c>
      <c r="AG87" s="1" t="b">
        <v>1</v>
      </c>
      <c r="AH87" s="1" t="s">
        <v>1051</v>
      </c>
      <c r="AI87" s="1" t="b">
        <v>0</v>
      </c>
      <c r="AJ87" s="1" t="b">
        <v>0</v>
      </c>
      <c r="AK87" s="1" t="b">
        <v>1</v>
      </c>
      <c r="AL87" s="1" t="b">
        <v>1</v>
      </c>
      <c r="AM87" s="1" t="s">
        <v>1052</v>
      </c>
      <c r="AN87" s="1">
        <v>3</v>
      </c>
      <c r="AO87" s="1" t="s">
        <v>1053</v>
      </c>
      <c r="AP87" s="1">
        <v>85</v>
      </c>
      <c r="AQ87" s="1" t="s">
        <v>172</v>
      </c>
      <c r="AR87" s="1" t="s">
        <v>1054</v>
      </c>
      <c r="AS87" s="12">
        <f>Table1[[#This Row],[Visit Cost]]*(1-Table1[[#This Row],[Insurance Coverage Pct]]/100)+Table1[[#This Row],[Copay Amount]]+Table1[[#This Row],[Deductible Applied]]</f>
        <v>1651.5999999999999</v>
      </c>
    </row>
    <row r="88" spans="1:45" ht="15">
      <c r="A88" s="3" t="s">
        <v>1055</v>
      </c>
      <c r="B88" s="1" t="s">
        <v>1334</v>
      </c>
      <c r="C88" s="2" t="s">
        <v>1058</v>
      </c>
      <c r="D88" s="1" t="s">
        <v>67</v>
      </c>
      <c r="E88" s="1" t="s">
        <v>1059</v>
      </c>
      <c r="F88" s="1" t="s">
        <v>47</v>
      </c>
      <c r="G88" s="1" t="s">
        <v>1060</v>
      </c>
      <c r="H88" s="28" t="s">
        <v>1061</v>
      </c>
      <c r="I88" s="29">
        <v>0.39583333333333331</v>
      </c>
      <c r="J88" s="2" t="str">
        <f>PROPER(Table1[[#This Row],[Visit Type2]])</f>
        <v>Pediatric</v>
      </c>
      <c r="K88" s="1" t="s">
        <v>180</v>
      </c>
      <c r="L88" s="1" t="str">
        <f t="shared" si="4"/>
        <v>Pediatrics</v>
      </c>
      <c r="M88" s="1" t="s">
        <v>181</v>
      </c>
      <c r="N88" s="72" t="s">
        <v>1478</v>
      </c>
      <c r="O88" s="1" t="s">
        <v>182</v>
      </c>
      <c r="P88" s="1" t="str">
        <f t="shared" si="5"/>
        <v>Febrile Seizure</v>
      </c>
      <c r="Q88" s="1" t="s">
        <v>1062</v>
      </c>
      <c r="R88" s="1" t="s">
        <v>1063</v>
      </c>
      <c r="S88" s="1">
        <v>99212</v>
      </c>
      <c r="T88" s="1" t="s">
        <v>57</v>
      </c>
      <c r="U88" s="1" t="s">
        <v>57</v>
      </c>
      <c r="V88" s="1" t="s">
        <v>57</v>
      </c>
      <c r="W88" s="1" t="s">
        <v>57</v>
      </c>
      <c r="X88" s="1">
        <v>25</v>
      </c>
      <c r="Y88" s="17">
        <v>180</v>
      </c>
      <c r="Z88" s="8">
        <f>100</f>
        <v>100</v>
      </c>
      <c r="AA88" s="9">
        <f>90/(100)</f>
        <v>0.90000000000000002</v>
      </c>
      <c r="AB88" s="7">
        <v>18</v>
      </c>
      <c r="AC88" s="15">
        <v>10</v>
      </c>
      <c r="AD88" s="16">
        <v>28</v>
      </c>
      <c r="AE88" s="14">
        <v>152</v>
      </c>
      <c r="AF88" s="1" t="s">
        <v>80</v>
      </c>
      <c r="AG88" s="1" t="b">
        <v>0</v>
      </c>
      <c r="AH88" s="1" t="s">
        <v>1235</v>
      </c>
      <c r="AI88" s="1" t="b">
        <v>0</v>
      </c>
      <c r="AJ88" s="1" t="b">
        <v>0</v>
      </c>
      <c r="AK88" s="1" t="b">
        <v>0</v>
      </c>
      <c r="AL88" s="1" t="b">
        <v>0</v>
      </c>
      <c r="AM88" s="1" t="s">
        <v>1236</v>
      </c>
      <c r="AN88" s="1">
        <v>4</v>
      </c>
      <c r="AO88" s="1" t="s">
        <v>1064</v>
      </c>
      <c r="AP88" s="1">
        <v>94</v>
      </c>
      <c r="AQ88" s="1" t="s">
        <v>61</v>
      </c>
      <c r="AR88" s="1" t="s">
        <v>1065</v>
      </c>
      <c r="AS88" s="12">
        <f>Table1[[#This Row],[Visit Cost]]*(1-Table1[[#This Row],[Insurance Coverage Pct]]/100)+Table1[[#This Row],[Copay Amount]]+Table1[[#This Row],[Deductible Applied]]</f>
        <v>206.38</v>
      </c>
    </row>
    <row r="89" spans="1:45" ht="15">
      <c r="A89" s="3" t="s">
        <v>1066</v>
      </c>
      <c r="B89" s="1" t="s">
        <v>1335</v>
      </c>
      <c r="C89" s="2">
        <v>18386</v>
      </c>
      <c r="D89" s="1" t="s">
        <v>45</v>
      </c>
      <c r="E89" s="1" t="s">
        <v>1069</v>
      </c>
      <c r="F89" s="1" t="s">
        <v>89</v>
      </c>
      <c r="G89" s="1" t="s">
        <v>1070</v>
      </c>
      <c r="H89" s="28" t="s">
        <v>1071</v>
      </c>
      <c r="I89" s="29">
        <v>0.58333333333333337</v>
      </c>
      <c r="J89" s="2" t="str">
        <f>PROPER(Table1[[#This Row],[Visit Type2]])</f>
        <v>Surgery</v>
      </c>
      <c r="K89" s="1" t="s">
        <v>144</v>
      </c>
      <c r="L89" s="1" t="str">
        <f t="shared" si="4"/>
        <v>Ophthalmology</v>
      </c>
      <c r="M89" s="1" t="s">
        <v>286</v>
      </c>
      <c r="N89" s="72" t="s">
        <v>1479</v>
      </c>
      <c r="O89" s="1" t="s">
        <v>287</v>
      </c>
      <c r="P89" s="1" t="str">
        <f t="shared" si="5"/>
        <v>Cataract</v>
      </c>
      <c r="Q89" s="1" t="s">
        <v>288</v>
      </c>
      <c r="R89" s="1" t="s">
        <v>289</v>
      </c>
      <c r="S89" s="1">
        <v>99221</v>
      </c>
      <c r="T89" s="1" t="s">
        <v>290</v>
      </c>
      <c r="U89" s="1" t="s">
        <v>57</v>
      </c>
      <c r="V89" s="1" t="s">
        <v>57</v>
      </c>
      <c r="W89" s="1">
        <v>66984</v>
      </c>
      <c r="X89" s="1">
        <v>85</v>
      </c>
      <c r="Y89" s="17">
        <v>3650</v>
      </c>
      <c r="Z89" s="8">
        <f>100</f>
        <v>100</v>
      </c>
      <c r="AA89" s="9">
        <f>80/(100)</f>
        <v>0.80000000000000004</v>
      </c>
      <c r="AB89" s="7">
        <v>730</v>
      </c>
      <c r="AC89" s="15">
        <v>200</v>
      </c>
      <c r="AD89" s="16">
        <v>930</v>
      </c>
      <c r="AE89" s="14">
        <v>2720</v>
      </c>
      <c r="AF89" s="1" t="s">
        <v>80</v>
      </c>
      <c r="AG89" s="1" t="b">
        <v>1</v>
      </c>
      <c r="AH89" s="1" t="s">
        <v>961</v>
      </c>
      <c r="AI89" s="1" t="b">
        <v>0</v>
      </c>
      <c r="AJ89" s="1" t="b">
        <v>1</v>
      </c>
      <c r="AK89" s="1" t="b">
        <v>1</v>
      </c>
      <c r="AL89" s="1" t="b">
        <v>0</v>
      </c>
      <c r="AM89" s="1" t="s">
        <v>1236</v>
      </c>
      <c r="AN89" s="1">
        <v>5</v>
      </c>
      <c r="AO89" s="1" t="s">
        <v>1072</v>
      </c>
      <c r="AP89" s="1">
        <v>90</v>
      </c>
      <c r="AQ89" s="1" t="s">
        <v>172</v>
      </c>
      <c r="AR89" s="1" t="s">
        <v>1073</v>
      </c>
      <c r="AS89" s="12">
        <f>Table1[[#This Row],[Visit Cost]]*(1-Table1[[#This Row],[Insurance Coverage Pct]]/100)+Table1[[#This Row],[Copay Amount]]+Table1[[#This Row],[Deductible Applied]]</f>
        <v>4550.8000000000002</v>
      </c>
    </row>
    <row r="90" spans="1:45" ht="15">
      <c r="A90" s="3" t="s">
        <v>1074</v>
      </c>
      <c r="B90" s="1" t="s">
        <v>1336</v>
      </c>
      <c r="C90" s="2" t="s">
        <v>1077</v>
      </c>
      <c r="D90" s="1" t="s">
        <v>67</v>
      </c>
      <c r="E90" s="1" t="s">
        <v>1078</v>
      </c>
      <c r="F90" s="1" t="s">
        <v>69</v>
      </c>
      <c r="G90" s="1" t="s">
        <v>1079</v>
      </c>
      <c r="H90" s="28" t="s">
        <v>865</v>
      </c>
      <c r="I90" s="29">
        <v>0.44791666666666669</v>
      </c>
      <c r="J90" s="2" t="str">
        <f>PROPER(Table1[[#This Row],[Visit Type2]])</f>
        <v>New Patient</v>
      </c>
      <c r="K90" s="1" t="s">
        <v>92</v>
      </c>
      <c r="L90" s="1" t="str">
        <f t="shared" si="4"/>
        <v>Allergy</v>
      </c>
      <c r="M90" s="1" t="s">
        <v>346</v>
      </c>
      <c r="N90" s="72" t="s">
        <v>1480</v>
      </c>
      <c r="O90" s="1" t="s">
        <v>347</v>
      </c>
      <c r="P90" s="1" t="str">
        <f t="shared" si="5"/>
        <v>Drug Allergy</v>
      </c>
      <c r="Q90" s="1" t="s">
        <v>1080</v>
      </c>
      <c r="R90" s="1" t="s">
        <v>1081</v>
      </c>
      <c r="S90" s="1">
        <v>99204</v>
      </c>
      <c r="T90" s="1" t="s">
        <v>1082</v>
      </c>
      <c r="U90" s="1" t="s">
        <v>351</v>
      </c>
      <c r="V90" s="1" t="s">
        <v>57</v>
      </c>
      <c r="W90" s="1" t="s">
        <v>57</v>
      </c>
      <c r="X90" s="1">
        <v>45</v>
      </c>
      <c r="Y90" s="17">
        <v>330</v>
      </c>
      <c r="Z90" s="8">
        <f>100</f>
        <v>100</v>
      </c>
      <c r="AA90" s="9">
        <f>75/(100)</f>
        <v>0.75</v>
      </c>
      <c r="AB90" s="7">
        <v>82.5</v>
      </c>
      <c r="AC90" s="15">
        <v>50</v>
      </c>
      <c r="AD90" s="16">
        <v>132.5</v>
      </c>
      <c r="AE90" s="14">
        <v>197.5</v>
      </c>
      <c r="AF90" s="1" t="s">
        <v>118</v>
      </c>
      <c r="AG90" s="1" t="b">
        <v>1</v>
      </c>
      <c r="AH90" s="1" t="s">
        <v>1083</v>
      </c>
      <c r="AI90" s="1" t="b">
        <v>0</v>
      </c>
      <c r="AJ90" s="1" t="b">
        <v>0</v>
      </c>
      <c r="AK90" s="1" t="b">
        <v>1</v>
      </c>
      <c r="AL90" s="1" t="b">
        <v>0</v>
      </c>
      <c r="AM90" s="1" t="s">
        <v>1236</v>
      </c>
      <c r="AN90" s="1">
        <v>4</v>
      </c>
      <c r="AO90" s="1" t="s">
        <v>1084</v>
      </c>
      <c r="AP90" s="1">
        <v>91</v>
      </c>
      <c r="AQ90" s="1" t="s">
        <v>61</v>
      </c>
      <c r="AR90" s="1" t="s">
        <v>1085</v>
      </c>
      <c r="AS90" s="12">
        <f>Table1[[#This Row],[Visit Cost]]*(1-Table1[[#This Row],[Insurance Coverage Pct]]/100)+Table1[[#This Row],[Copay Amount]]+Table1[[#This Row],[Deductible Applied]]</f>
        <v>460.02500000000003</v>
      </c>
    </row>
    <row r="91" spans="1:45" ht="15">
      <c r="A91" s="3" t="s">
        <v>1086</v>
      </c>
      <c r="B91" s="1" t="s">
        <v>1337</v>
      </c>
      <c r="C91" s="2" t="s">
        <v>1089</v>
      </c>
      <c r="D91" s="1" t="s">
        <v>45</v>
      </c>
      <c r="E91" s="1" t="s">
        <v>1090</v>
      </c>
      <c r="F91" s="1" t="s">
        <v>47</v>
      </c>
      <c r="G91" s="1" t="s">
        <v>1091</v>
      </c>
      <c r="H91" s="28" t="s">
        <v>1092</v>
      </c>
      <c r="I91" s="29">
        <v>0.33333333333333331</v>
      </c>
      <c r="J91" s="2" t="str">
        <f>PROPER(Table1[[#This Row],[Visit Type2]])</f>
        <v>Checkup</v>
      </c>
      <c r="K91" s="1" t="s">
        <v>50</v>
      </c>
      <c r="L91" s="1" t="str">
        <f t="shared" si="4"/>
        <v>Urology</v>
      </c>
      <c r="M91" s="1" t="s">
        <v>309</v>
      </c>
      <c r="N91" s="72" t="s">
        <v>1481</v>
      </c>
      <c r="O91" s="1" t="s">
        <v>310</v>
      </c>
      <c r="P91" s="1" t="str">
        <f t="shared" si="5"/>
        <v>Kidney Stones</v>
      </c>
      <c r="Q91" s="1" t="s">
        <v>469</v>
      </c>
      <c r="R91" s="1" t="s">
        <v>470</v>
      </c>
      <c r="S91" s="1">
        <v>99214</v>
      </c>
      <c r="T91" s="1" t="s">
        <v>1093</v>
      </c>
      <c r="U91" s="1" t="s">
        <v>471</v>
      </c>
      <c r="V91" s="1" t="s">
        <v>234</v>
      </c>
      <c r="W91" s="1" t="s">
        <v>57</v>
      </c>
      <c r="X91" s="1">
        <v>40</v>
      </c>
      <c r="Y91" s="17">
        <v>560</v>
      </c>
      <c r="Z91" s="8">
        <f>100</f>
        <v>100</v>
      </c>
      <c r="AA91" s="9">
        <f>80/(100)</f>
        <v>0.80000000000000004</v>
      </c>
      <c r="AB91" s="7">
        <v>112</v>
      </c>
      <c r="AC91" s="15">
        <v>50</v>
      </c>
      <c r="AD91" s="16">
        <v>162</v>
      </c>
      <c r="AE91" s="14">
        <v>398</v>
      </c>
      <c r="AF91" s="1" t="s">
        <v>58</v>
      </c>
      <c r="AG91" s="1" t="b">
        <v>1</v>
      </c>
      <c r="AH91" s="1" t="s">
        <v>1094</v>
      </c>
      <c r="AI91" s="1" t="b">
        <v>0</v>
      </c>
      <c r="AJ91" s="1" t="b">
        <v>0</v>
      </c>
      <c r="AK91" s="1" t="b">
        <v>0</v>
      </c>
      <c r="AL91" s="1" t="b">
        <v>0</v>
      </c>
      <c r="AM91" s="1" t="s">
        <v>1236</v>
      </c>
      <c r="AN91" s="1">
        <v>3</v>
      </c>
      <c r="AO91" s="1" t="s">
        <v>1095</v>
      </c>
      <c r="AP91" s="1">
        <v>88</v>
      </c>
      <c r="AQ91" s="1" t="s">
        <v>153</v>
      </c>
      <c r="AR91" s="1" t="s">
        <v>1096</v>
      </c>
      <c r="AS91" s="12">
        <f>Table1[[#This Row],[Visit Cost]]*(1-Table1[[#This Row],[Insurance Coverage Pct]]/100)+Table1[[#This Row],[Copay Amount]]+Table1[[#This Row],[Deductible Applied]]</f>
        <v>717.51999999999998</v>
      </c>
    </row>
    <row r="92" spans="1:45" ht="15">
      <c r="A92" s="3" t="s">
        <v>1097</v>
      </c>
      <c r="B92" s="1" t="s">
        <v>1338</v>
      </c>
      <c r="C92" s="2" t="s">
        <v>1100</v>
      </c>
      <c r="D92" s="1" t="s">
        <v>67</v>
      </c>
      <c r="E92" s="1" t="s">
        <v>1101</v>
      </c>
      <c r="F92" s="1" t="s">
        <v>69</v>
      </c>
      <c r="G92" s="1" t="s">
        <v>1102</v>
      </c>
      <c r="H92" s="28" t="s">
        <v>1006</v>
      </c>
      <c r="I92" s="29">
        <v>0.5625</v>
      </c>
      <c r="J92" s="2" t="str">
        <f>PROPER(Table1[[#This Row],[Visit Type2]])</f>
        <v>Urgent Care</v>
      </c>
      <c r="K92" s="1" t="s">
        <v>111</v>
      </c>
      <c r="L92" s="1" t="str">
        <f t="shared" si="4"/>
        <v>Pulmonology</v>
      </c>
      <c r="M92" s="1" t="s">
        <v>162</v>
      </c>
      <c r="N92" s="72" t="s">
        <v>1482</v>
      </c>
      <c r="O92" s="1" t="s">
        <v>163</v>
      </c>
      <c r="P92" s="10" t="str">
        <f t="shared" si="5"/>
        <v>Chronic Obstructive Pulmonary Disease Exacerbation</v>
      </c>
      <c r="Q92" s="1" t="s">
        <v>1103</v>
      </c>
      <c r="R92" s="1" t="s">
        <v>548</v>
      </c>
      <c r="S92" s="1">
        <v>99203</v>
      </c>
      <c r="T92" s="1" t="s">
        <v>1104</v>
      </c>
      <c r="U92" s="1" t="s">
        <v>117</v>
      </c>
      <c r="V92" s="1" t="s">
        <v>57</v>
      </c>
      <c r="W92" s="1" t="s">
        <v>57</v>
      </c>
      <c r="X92" s="1">
        <v>50</v>
      </c>
      <c r="Y92" s="17">
        <v>320</v>
      </c>
      <c r="Z92" s="8">
        <f>100</f>
        <v>100</v>
      </c>
      <c r="AA92" s="9">
        <f>70/(100)</f>
        <v>0.69999999999999996</v>
      </c>
      <c r="AB92" s="7">
        <v>96</v>
      </c>
      <c r="AC92" s="15">
        <v>55</v>
      </c>
      <c r="AD92" s="16">
        <v>151</v>
      </c>
      <c r="AE92" s="14">
        <v>169</v>
      </c>
      <c r="AF92" s="1" t="s">
        <v>80</v>
      </c>
      <c r="AG92" s="1" t="b">
        <v>1</v>
      </c>
      <c r="AH92" s="1" t="s">
        <v>1105</v>
      </c>
      <c r="AI92" s="1" t="b">
        <v>0</v>
      </c>
      <c r="AJ92" s="1" t="b">
        <v>1</v>
      </c>
      <c r="AK92" s="1" t="b">
        <v>0</v>
      </c>
      <c r="AL92" s="1" t="b">
        <v>0</v>
      </c>
      <c r="AM92" s="1" t="s">
        <v>1236</v>
      </c>
      <c r="AN92" s="1">
        <v>3</v>
      </c>
      <c r="AO92" s="1" t="s">
        <v>1106</v>
      </c>
      <c r="AP92" s="1">
        <v>87</v>
      </c>
      <c r="AQ92" s="1" t="s">
        <v>61</v>
      </c>
      <c r="AR92" s="1" t="s">
        <v>1107</v>
      </c>
      <c r="AS92" s="12">
        <f>Table1[[#This Row],[Visit Cost]]*(1-Table1[[#This Row],[Insurance Coverage Pct]]/100)+Table1[[#This Row],[Copay Amount]]+Table1[[#This Row],[Deductible Applied]]</f>
        <v>468.75999999999999</v>
      </c>
    </row>
    <row r="93" spans="1:45" ht="15">
      <c r="A93" s="3" t="s">
        <v>1108</v>
      </c>
      <c r="B93" s="1" t="s">
        <v>1339</v>
      </c>
      <c r="C93" s="2">
        <v>26796</v>
      </c>
      <c r="D93" s="1" t="s">
        <v>45</v>
      </c>
      <c r="E93" s="1" t="s">
        <v>1111</v>
      </c>
      <c r="F93" s="1" t="s">
        <v>127</v>
      </c>
      <c r="G93" s="1" t="s">
        <v>1112</v>
      </c>
      <c r="H93" s="28" t="s">
        <v>1113</v>
      </c>
      <c r="I93" s="29">
        <v>0.38541666666666669</v>
      </c>
      <c r="J93" s="2" t="str">
        <f>PROPER(Table1[[#This Row],[Visit Type2]])</f>
        <v>Follow-Up</v>
      </c>
      <c r="K93" s="1" t="s">
        <v>72</v>
      </c>
      <c r="L93" s="1" t="str">
        <f t="shared" si="4"/>
        <v>Oncology</v>
      </c>
      <c r="M93" s="1" t="s">
        <v>228</v>
      </c>
      <c r="N93" s="72" t="s">
        <v>1483</v>
      </c>
      <c r="O93" s="1" t="s">
        <v>229</v>
      </c>
      <c r="P93" s="1" t="str">
        <f t="shared" si="5"/>
        <v>Colon Cancer</v>
      </c>
      <c r="Q93" s="1" t="s">
        <v>493</v>
      </c>
      <c r="R93" s="1" t="s">
        <v>494</v>
      </c>
      <c r="S93" s="1">
        <v>99215</v>
      </c>
      <c r="T93" s="1" t="s">
        <v>1114</v>
      </c>
      <c r="U93" s="1" t="s">
        <v>496</v>
      </c>
      <c r="V93" s="1" t="s">
        <v>150</v>
      </c>
      <c r="W93" s="1" t="s">
        <v>57</v>
      </c>
      <c r="X93" s="1">
        <v>70</v>
      </c>
      <c r="Y93" s="17">
        <v>1500</v>
      </c>
      <c r="Z93" s="8">
        <f>100</f>
        <v>100</v>
      </c>
      <c r="AA93" s="9">
        <f>100/(100)</f>
        <v>1</v>
      </c>
      <c r="AB93" s="7">
        <v>0</v>
      </c>
      <c r="AC93" s="15">
        <v>0</v>
      </c>
      <c r="AD93" s="16">
        <v>0</v>
      </c>
      <c r="AE93" s="14">
        <v>1500</v>
      </c>
      <c r="AF93" s="1" t="s">
        <v>127</v>
      </c>
      <c r="AG93" s="1" t="b">
        <v>1</v>
      </c>
      <c r="AH93" s="1" t="s">
        <v>1115</v>
      </c>
      <c r="AI93" s="1" t="b">
        <v>0</v>
      </c>
      <c r="AJ93" s="1" t="b">
        <v>0</v>
      </c>
      <c r="AK93" s="1" t="b">
        <v>0</v>
      </c>
      <c r="AL93" s="1" t="b">
        <v>0</v>
      </c>
      <c r="AM93" s="1" t="s">
        <v>1236</v>
      </c>
      <c r="AN93" s="1">
        <v>4</v>
      </c>
      <c r="AO93" s="1" t="s">
        <v>1116</v>
      </c>
      <c r="AP93" s="1">
        <v>95</v>
      </c>
      <c r="AQ93" s="1" t="s">
        <v>61</v>
      </c>
      <c r="AR93" s="1" t="s">
        <v>1117</v>
      </c>
      <c r="AS93" s="12">
        <f>Table1[[#This Row],[Visit Cost]]*(1-Table1[[#This Row],[Insurance Coverage Pct]]/100)+Table1[[#This Row],[Copay Amount]]+Table1[[#This Row],[Deductible Applied]]</f>
        <v>1485</v>
      </c>
    </row>
    <row r="94" spans="1:45" ht="15">
      <c r="A94" s="3" t="s">
        <v>1118</v>
      </c>
      <c r="B94" s="1" t="s">
        <v>1340</v>
      </c>
      <c r="C94" s="2" t="s">
        <v>1121</v>
      </c>
      <c r="D94" s="1" t="s">
        <v>67</v>
      </c>
      <c r="E94" s="1" t="s">
        <v>1122</v>
      </c>
      <c r="F94" s="1" t="s">
        <v>47</v>
      </c>
      <c r="G94" s="1" t="s">
        <v>1123</v>
      </c>
      <c r="H94" s="28" t="s">
        <v>1124</v>
      </c>
      <c r="I94" s="29">
        <v>0.5</v>
      </c>
      <c r="J94" s="2" t="str">
        <f>PROPER(Table1[[#This Row],[Visit Type2]])</f>
        <v>New Patient</v>
      </c>
      <c r="K94" s="1" t="s">
        <v>92</v>
      </c>
      <c r="L94" s="1" t="str">
        <f t="shared" si="4"/>
        <v>Psychiatry</v>
      </c>
      <c r="M94" s="1" t="s">
        <v>321</v>
      </c>
      <c r="N94" s="72" t="s">
        <v>1484</v>
      </c>
      <c r="O94" s="1" t="s">
        <v>322</v>
      </c>
      <c r="P94" s="1" t="str">
        <f t="shared" si="5"/>
        <v>Depression</v>
      </c>
      <c r="Q94" s="1" t="s">
        <v>323</v>
      </c>
      <c r="R94" s="1" t="s">
        <v>324</v>
      </c>
      <c r="S94" s="1">
        <v>99204</v>
      </c>
      <c r="T94" s="1" t="s">
        <v>1125</v>
      </c>
      <c r="U94" s="1" t="s">
        <v>57</v>
      </c>
      <c r="V94" s="1" t="s">
        <v>57</v>
      </c>
      <c r="W94" s="1" t="s">
        <v>57</v>
      </c>
      <c r="X94" s="1">
        <v>50</v>
      </c>
      <c r="Y94" s="17">
        <v>310</v>
      </c>
      <c r="Z94" s="8">
        <f>100</f>
        <v>100</v>
      </c>
      <c r="AA94" s="9">
        <f>85/(100)</f>
        <v>0.84999999999999998</v>
      </c>
      <c r="AB94" s="7">
        <v>46.5</v>
      </c>
      <c r="AC94" s="15">
        <v>30</v>
      </c>
      <c r="AD94" s="16">
        <v>76.5</v>
      </c>
      <c r="AE94" s="14">
        <v>233.5</v>
      </c>
      <c r="AF94" s="1" t="s">
        <v>58</v>
      </c>
      <c r="AG94" s="1" t="b">
        <v>1</v>
      </c>
      <c r="AH94" s="1" t="s">
        <v>1126</v>
      </c>
      <c r="AI94" s="1" t="b">
        <v>0</v>
      </c>
      <c r="AJ94" s="1" t="b">
        <v>0</v>
      </c>
      <c r="AK94" s="1" t="b">
        <v>1</v>
      </c>
      <c r="AL94" s="1" t="b">
        <v>0</v>
      </c>
      <c r="AM94" s="1" t="s">
        <v>1236</v>
      </c>
      <c r="AN94" s="1">
        <v>4</v>
      </c>
      <c r="AO94" s="1" t="s">
        <v>1127</v>
      </c>
      <c r="AP94" s="1">
        <v>89</v>
      </c>
      <c r="AQ94" s="1" t="s">
        <v>61</v>
      </c>
      <c r="AR94" s="1" t="s">
        <v>1128</v>
      </c>
      <c r="AS94" s="12">
        <f>Table1[[#This Row],[Visit Cost]]*(1-Table1[[#This Row],[Insurance Coverage Pct]]/100)+Table1[[#This Row],[Copay Amount]]+Table1[[#This Row],[Deductible Applied]]</f>
        <v>383.86500000000001</v>
      </c>
    </row>
    <row r="95" spans="1:45" ht="15">
      <c r="A95" s="3" t="s">
        <v>1129</v>
      </c>
      <c r="B95" s="1" t="s">
        <v>1341</v>
      </c>
      <c r="C95" s="2">
        <v>21499</v>
      </c>
      <c r="D95" s="1" t="s">
        <v>45</v>
      </c>
      <c r="E95" s="1" t="s">
        <v>1132</v>
      </c>
      <c r="F95" s="1" t="s">
        <v>89</v>
      </c>
      <c r="G95" s="1" t="s">
        <v>1133</v>
      </c>
      <c r="H95" s="28" t="s">
        <v>1134</v>
      </c>
      <c r="I95" s="29">
        <v>0.65625</v>
      </c>
      <c r="J95" s="2" t="str">
        <f>PROPER(Table1[[#This Row],[Visit Type2]])</f>
        <v>Surgery</v>
      </c>
      <c r="K95" s="1" t="s">
        <v>144</v>
      </c>
      <c r="L95" s="1" t="str">
        <f t="shared" si="4"/>
        <v>Orthopedics</v>
      </c>
      <c r="M95" s="1" t="s">
        <v>93</v>
      </c>
      <c r="N95" s="72" t="s">
        <v>1485</v>
      </c>
      <c r="O95" s="1" t="s">
        <v>94</v>
      </c>
      <c r="P95" s="1" t="str">
        <f t="shared" si="5"/>
        <v>Hip Fracture</v>
      </c>
      <c r="Q95" s="1" t="s">
        <v>1135</v>
      </c>
      <c r="R95" s="1" t="s">
        <v>1136</v>
      </c>
      <c r="S95" s="1">
        <v>99223</v>
      </c>
      <c r="T95" s="1" t="s">
        <v>1137</v>
      </c>
      <c r="U95" s="1" t="s">
        <v>57</v>
      </c>
      <c r="V95" s="1" t="s">
        <v>519</v>
      </c>
      <c r="W95" s="1">
        <v>27244</v>
      </c>
      <c r="X95" s="1">
        <v>120</v>
      </c>
      <c r="Y95" s="17">
        <v>14200</v>
      </c>
      <c r="Z95" s="8">
        <f>100</f>
        <v>100</v>
      </c>
      <c r="AA95" s="9">
        <f>80/(100)</f>
        <v>0.80000000000000004</v>
      </c>
      <c r="AB95" s="7">
        <v>2840</v>
      </c>
      <c r="AC95" s="15">
        <v>800</v>
      </c>
      <c r="AD95" s="16">
        <v>3640</v>
      </c>
      <c r="AE95" s="14">
        <v>10560</v>
      </c>
      <c r="AF95" s="1" t="s">
        <v>80</v>
      </c>
      <c r="AG95" s="1" t="b">
        <v>1</v>
      </c>
      <c r="AH95" s="1">
        <v>45449</v>
      </c>
      <c r="AI95" s="1" t="b">
        <v>0</v>
      </c>
      <c r="AJ95" s="1" t="b">
        <v>1</v>
      </c>
      <c r="AK95" s="1" t="b">
        <v>1</v>
      </c>
      <c r="AL95" s="1" t="b">
        <v>0</v>
      </c>
      <c r="AM95" s="1" t="s">
        <v>1236</v>
      </c>
      <c r="AN95" s="1">
        <v>5</v>
      </c>
      <c r="AO95" s="1" t="s">
        <v>1138</v>
      </c>
      <c r="AP95" s="1">
        <v>83</v>
      </c>
      <c r="AQ95" s="1" t="s">
        <v>172</v>
      </c>
      <c r="AR95" s="1" t="s">
        <v>1139</v>
      </c>
      <c r="AS95" s="12">
        <f>Table1[[#This Row],[Visit Cost]]*(1-Table1[[#This Row],[Insurance Coverage Pct]]/100)+Table1[[#This Row],[Copay Amount]]+Table1[[#This Row],[Deductible Applied]]</f>
        <v>17726.400000000001</v>
      </c>
    </row>
    <row r="96" spans="1:45" ht="15">
      <c r="A96" s="3" t="s">
        <v>1140</v>
      </c>
      <c r="B96" s="1" t="s">
        <v>1342</v>
      </c>
      <c r="C96" s="2" t="s">
        <v>1143</v>
      </c>
      <c r="D96" s="1" t="s">
        <v>67</v>
      </c>
      <c r="E96" s="1" t="s">
        <v>1144</v>
      </c>
      <c r="F96" s="1" t="s">
        <v>69</v>
      </c>
      <c r="G96" s="1" t="s">
        <v>1145</v>
      </c>
      <c r="H96" s="28" t="s">
        <v>925</v>
      </c>
      <c r="I96" s="29">
        <v>0.4375</v>
      </c>
      <c r="J96" s="2" t="str">
        <f>PROPER(Table1[[#This Row],[Visit Type2]])</f>
        <v>Pediatric</v>
      </c>
      <c r="K96" s="1" t="s">
        <v>180</v>
      </c>
      <c r="L96" s="1" t="str">
        <f t="shared" si="4"/>
        <v>Pediatrics</v>
      </c>
      <c r="M96" s="1" t="s">
        <v>181</v>
      </c>
      <c r="N96" s="72" t="s">
        <v>1486</v>
      </c>
      <c r="O96" s="1" t="s">
        <v>182</v>
      </c>
      <c r="P96" s="1" t="str">
        <f t="shared" si="5"/>
        <v>Uti</v>
      </c>
      <c r="Q96" s="1" t="s">
        <v>697</v>
      </c>
      <c r="R96" s="1" t="s">
        <v>698</v>
      </c>
      <c r="S96" s="1">
        <v>99211</v>
      </c>
      <c r="T96" s="1" t="s">
        <v>1146</v>
      </c>
      <c r="U96" s="1" t="s">
        <v>700</v>
      </c>
      <c r="V96" s="1" t="s">
        <v>57</v>
      </c>
      <c r="W96" s="1" t="s">
        <v>57</v>
      </c>
      <c r="X96" s="1">
        <v>25</v>
      </c>
      <c r="Y96" s="17">
        <v>155</v>
      </c>
      <c r="Z96" s="8">
        <f>100</f>
        <v>100</v>
      </c>
      <c r="AA96" s="9">
        <f>100/(100)</f>
        <v>1</v>
      </c>
      <c r="AB96" s="7">
        <v>0</v>
      </c>
      <c r="AC96" s="15">
        <v>0</v>
      </c>
      <c r="AD96" s="16">
        <v>0</v>
      </c>
      <c r="AE96" s="14">
        <v>155</v>
      </c>
      <c r="AF96" s="1" t="s">
        <v>69</v>
      </c>
      <c r="AG96" s="1" t="b">
        <v>0</v>
      </c>
      <c r="AH96" s="1" t="s">
        <v>1235</v>
      </c>
      <c r="AI96" s="1" t="b">
        <v>0</v>
      </c>
      <c r="AJ96" s="1" t="b">
        <v>0</v>
      </c>
      <c r="AK96" s="1" t="b">
        <v>0</v>
      </c>
      <c r="AL96" s="1" t="b">
        <v>0</v>
      </c>
      <c r="AM96" s="1" t="s">
        <v>1236</v>
      </c>
      <c r="AN96" s="1">
        <v>5</v>
      </c>
      <c r="AO96" s="1" t="s">
        <v>1147</v>
      </c>
      <c r="AP96" s="1">
        <v>97</v>
      </c>
      <c r="AQ96" s="1" t="s">
        <v>61</v>
      </c>
      <c r="AR96" s="1" t="s">
        <v>1148</v>
      </c>
      <c r="AS96" s="12">
        <f>Table1[[#This Row],[Visit Cost]]*(1-Table1[[#This Row],[Insurance Coverage Pct]]/100)+Table1[[#This Row],[Copay Amount]]+Table1[[#This Row],[Deductible Applied]]</f>
        <v>153.44999999999999</v>
      </c>
    </row>
    <row r="97" spans="1:45" ht="15">
      <c r="A97" s="3" t="s">
        <v>1149</v>
      </c>
      <c r="B97" s="1" t="s">
        <v>1343</v>
      </c>
      <c r="C97" s="2">
        <v>24570</v>
      </c>
      <c r="D97" s="1" t="s">
        <v>45</v>
      </c>
      <c r="E97" s="1" t="s">
        <v>1152</v>
      </c>
      <c r="F97" s="1" t="s">
        <v>47</v>
      </c>
      <c r="G97" s="1" t="s">
        <v>1153</v>
      </c>
      <c r="H97" s="28" t="s">
        <v>1105</v>
      </c>
      <c r="I97" s="29">
        <v>0.70833333333333337</v>
      </c>
      <c r="J97" s="2" t="str">
        <f>PROPER(Table1[[#This Row],[Visit Type2]])</f>
        <v>Checkup</v>
      </c>
      <c r="K97" s="1" t="s">
        <v>50</v>
      </c>
      <c r="L97" s="1" t="str">
        <f t="shared" si="4"/>
        <v>Endocrinology</v>
      </c>
      <c r="M97" s="1" t="s">
        <v>130</v>
      </c>
      <c r="N97" s="72" t="s">
        <v>1487</v>
      </c>
      <c r="O97" s="1" t="s">
        <v>131</v>
      </c>
      <c r="P97" s="1" t="str">
        <f t="shared" si="5"/>
        <v>Diabetes Type2</v>
      </c>
      <c r="Q97" s="1" t="s">
        <v>132</v>
      </c>
      <c r="R97" s="1" t="s">
        <v>133</v>
      </c>
      <c r="S97" s="1">
        <v>99214</v>
      </c>
      <c r="T97" s="1" t="s">
        <v>134</v>
      </c>
      <c r="U97" s="1" t="s">
        <v>135</v>
      </c>
      <c r="V97" s="1" t="s">
        <v>57</v>
      </c>
      <c r="W97" s="1" t="s">
        <v>57</v>
      </c>
      <c r="X97" s="1">
        <v>40</v>
      </c>
      <c r="Y97" s="17">
        <v>210</v>
      </c>
      <c r="Z97" s="8">
        <f>100</f>
        <v>100</v>
      </c>
      <c r="AA97" s="9">
        <f>75/(100)</f>
        <v>0.75</v>
      </c>
      <c r="AB97" s="7">
        <v>52.5</v>
      </c>
      <c r="AC97" s="15">
        <v>35</v>
      </c>
      <c r="AD97" s="16">
        <v>87.5</v>
      </c>
      <c r="AE97" s="14">
        <v>122.5</v>
      </c>
      <c r="AF97" s="1" t="s">
        <v>118</v>
      </c>
      <c r="AG97" s="1" t="b">
        <v>1</v>
      </c>
      <c r="AH97" s="1" t="s">
        <v>1154</v>
      </c>
      <c r="AI97" s="1" t="b">
        <v>0</v>
      </c>
      <c r="AJ97" s="1" t="b">
        <v>0</v>
      </c>
      <c r="AK97" s="1" t="b">
        <v>0</v>
      </c>
      <c r="AL97" s="1" t="b">
        <v>0</v>
      </c>
      <c r="AM97" s="1" t="s">
        <v>1236</v>
      </c>
      <c r="AN97" s="1">
        <v>4</v>
      </c>
      <c r="AO97" s="1" t="s">
        <v>1155</v>
      </c>
      <c r="AP97" s="1">
        <v>94</v>
      </c>
      <c r="AQ97" s="1" t="s">
        <v>61</v>
      </c>
      <c r="AR97" s="1" t="s">
        <v>1156</v>
      </c>
      <c r="AS97" s="12">
        <f>Table1[[#This Row],[Visit Cost]]*(1-Table1[[#This Row],[Insurance Coverage Pct]]/100)+Table1[[#This Row],[Copay Amount]]+Table1[[#This Row],[Deductible Applied]]</f>
        <v>295.92500000000001</v>
      </c>
    </row>
    <row r="98" spans="1:45" ht="15">
      <c r="A98" s="3" t="s">
        <v>1157</v>
      </c>
      <c r="B98" s="1" t="s">
        <v>1344</v>
      </c>
      <c r="C98" s="2">
        <v>30560</v>
      </c>
      <c r="D98" s="1" t="s">
        <v>67</v>
      </c>
      <c r="E98" s="1" t="s">
        <v>1160</v>
      </c>
      <c r="F98" s="1" t="s">
        <v>127</v>
      </c>
      <c r="G98" s="1" t="s">
        <v>1161</v>
      </c>
      <c r="H98" s="28" t="s">
        <v>1162</v>
      </c>
      <c r="I98" s="29">
        <v>0.36458333333333331</v>
      </c>
      <c r="J98" s="2" t="str">
        <f>PROPER(Table1[[#This Row],[Visit Type2]])</f>
        <v>Follow-Up</v>
      </c>
      <c r="K98" s="1" t="s">
        <v>72</v>
      </c>
      <c r="L98" s="1" t="str">
        <f>IF(M98="ER","Endocrinology",IF(M98="OB/GYN","Gastroentrology",M98))</f>
        <v>Cardiology</v>
      </c>
      <c r="M98" s="1" t="s">
        <v>73</v>
      </c>
      <c r="N98" s="72" t="s">
        <v>1488</v>
      </c>
      <c r="O98" s="1" t="s">
        <v>74</v>
      </c>
      <c r="P98" s="1" t="str">
        <f>PROPER(SUBSTITUTE(SUBSTITUTE(SUBSTITUTE(SUBSTITUTE(SUBSTITUTE(SUBSTITUTE(SUBSTITUTE(SUBSTITUTE(SUBSTITUTE(SUBSTITUTE(Q98,"CAD","Coronary Artery Disease"),"GERD","Gastroesophageal Reflux Disease"),"BPH","Benign Prostatic Hyperplasia"),"COPD","Chronic Obstructive Pulmonary Disease"),"IBD","Inflammatory Bowel Disease"),"URI","Upper Respiratory Infection"),"PID","Pelvic Inflammatory Disease"),"DJD","Degenerative Joint Disease"),"RA","Rheumatoid Arthritis"),"DM","Diabetes Mellitus"))</f>
        <v>Hypertension</v>
      </c>
      <c r="Q98" s="1" t="s">
        <v>53</v>
      </c>
      <c r="R98" s="1" t="s">
        <v>54</v>
      </c>
      <c r="S98" s="1">
        <v>99213</v>
      </c>
      <c r="T98" s="1" t="s">
        <v>55</v>
      </c>
      <c r="U98" s="1" t="s">
        <v>57</v>
      </c>
      <c r="V98" s="1" t="s">
        <v>57</v>
      </c>
      <c r="W98" s="1" t="s">
        <v>57</v>
      </c>
      <c r="X98" s="1">
        <v>30</v>
      </c>
      <c r="Y98" s="17">
        <v>175</v>
      </c>
      <c r="Z98" s="8">
        <f>100</f>
        <v>100</v>
      </c>
      <c r="AA98" s="9">
        <f>100/(100)</f>
        <v>1</v>
      </c>
      <c r="AB98" s="7">
        <v>0</v>
      </c>
      <c r="AC98" s="15">
        <v>0</v>
      </c>
      <c r="AD98" s="16">
        <v>0</v>
      </c>
      <c r="AE98" s="14">
        <v>175</v>
      </c>
      <c r="AF98" s="1" t="s">
        <v>127</v>
      </c>
      <c r="AG98" s="1" t="b">
        <v>0</v>
      </c>
      <c r="AH98" s="1" t="s">
        <v>1235</v>
      </c>
      <c r="AI98" s="1" t="b">
        <v>0</v>
      </c>
      <c r="AJ98" s="1" t="b">
        <v>0</v>
      </c>
      <c r="AK98" s="1" t="b">
        <v>0</v>
      </c>
      <c r="AL98" s="1" t="b">
        <v>1</v>
      </c>
      <c r="AM98" s="1" t="s">
        <v>1163</v>
      </c>
      <c r="AN98" s="1">
        <v>3</v>
      </c>
      <c r="AO98" s="1" t="s">
        <v>1164</v>
      </c>
      <c r="AP98" s="1">
        <v>93</v>
      </c>
      <c r="AQ98" s="1" t="s">
        <v>172</v>
      </c>
      <c r="AR98" s="1" t="s">
        <v>1165</v>
      </c>
      <c r="AS98" s="12">
        <f>Table1[[#This Row],[Visit Cost]]*(1-Table1[[#This Row],[Insurance Coverage Pct]]/100)+Table1[[#This Row],[Copay Amount]]+Table1[[#This Row],[Deductible Applied]]</f>
        <v>173.25</v>
      </c>
    </row>
    <row r="99" spans="1:45" ht="15">
      <c r="A99" s="3" t="s">
        <v>1166</v>
      </c>
      <c r="B99" s="1" t="s">
        <v>1345</v>
      </c>
      <c r="C99" s="2" t="s">
        <v>1169</v>
      </c>
      <c r="D99" s="1" t="s">
        <v>45</v>
      </c>
      <c r="E99" s="1" t="s">
        <v>1170</v>
      </c>
      <c r="F99" s="1" t="s">
        <v>47</v>
      </c>
      <c r="G99" s="1" t="s">
        <v>1171</v>
      </c>
      <c r="H99" s="28" t="s">
        <v>961</v>
      </c>
      <c r="I99" s="29">
        <v>0.46875</v>
      </c>
      <c r="J99" s="2" t="str">
        <f>PROPER(Table1[[#This Row],[Visit Type2]])</f>
        <v>Urgent Care</v>
      </c>
      <c r="K99" s="1" t="s">
        <v>111</v>
      </c>
      <c r="L99" s="1" t="str">
        <f>IF(M99="ER","Endocrinology",IF(M99="OB/GYN","Gastroentrology",M99))</f>
        <v>Dermatology</v>
      </c>
      <c r="M99" s="1" t="s">
        <v>245</v>
      </c>
      <c r="N99" s="72" t="s">
        <v>1489</v>
      </c>
      <c r="O99" s="1" t="s">
        <v>246</v>
      </c>
      <c r="P99" s="1" t="str">
        <f>PROPER(SUBSTITUTE(SUBSTITUTE(SUBSTITUTE(SUBSTITUTE(SUBSTITUTE(SUBSTITUTE(SUBSTITUTE(SUBSTITUTE(SUBSTITUTE(SUBSTITUTE(Q99,"CAD","Coronary Artery Disease"),"GERD","Gastroesophageal Reflux Disease"),"BPH","Benign Prostatic Hyperplasia"),"COPD","Chronic Obstructive Pulmonary Disease"),"IBD","Inflammatory Bowel Disease"),"URI","Upper Respiratory Infection"),"PID","Pelvic Inflammatory Disease"),"DJD","Degenerative Joint Disease"),"RA","Rheumatoid Arthritis"),"DM","Diabetes Mellitus"))</f>
        <v>Cellulitis</v>
      </c>
      <c r="Q99" s="1" t="s">
        <v>559</v>
      </c>
      <c r="R99" s="1" t="s">
        <v>560</v>
      </c>
      <c r="S99" s="1">
        <v>99203</v>
      </c>
      <c r="T99" s="1" t="s">
        <v>561</v>
      </c>
      <c r="U99" s="1" t="s">
        <v>57</v>
      </c>
      <c r="V99" s="1" t="s">
        <v>57</v>
      </c>
      <c r="W99" s="1" t="s">
        <v>57</v>
      </c>
      <c r="X99" s="1">
        <v>35</v>
      </c>
      <c r="Y99" s="17">
        <v>240</v>
      </c>
      <c r="Z99" s="8">
        <f>100</f>
        <v>100</v>
      </c>
      <c r="AA99" s="9">
        <f>80/(100)</f>
        <v>0.80000000000000004</v>
      </c>
      <c r="AB99" s="7">
        <v>48</v>
      </c>
      <c r="AC99" s="15">
        <v>30</v>
      </c>
      <c r="AD99" s="16">
        <v>78</v>
      </c>
      <c r="AE99" s="14">
        <v>162</v>
      </c>
      <c r="AF99" s="1" t="s">
        <v>80</v>
      </c>
      <c r="AG99" s="1" t="b">
        <v>1</v>
      </c>
      <c r="AH99" s="1">
        <v>45418</v>
      </c>
      <c r="AI99" s="1" t="b">
        <v>0</v>
      </c>
      <c r="AJ99" s="1" t="b">
        <v>1</v>
      </c>
      <c r="AK99" s="1" t="b">
        <v>0</v>
      </c>
      <c r="AL99" s="1" t="b">
        <v>0</v>
      </c>
      <c r="AM99" s="1" t="s">
        <v>1236</v>
      </c>
      <c r="AN99" s="1">
        <v>3</v>
      </c>
      <c r="AO99" s="1" t="s">
        <v>1172</v>
      </c>
      <c r="AP99" s="1">
        <v>88</v>
      </c>
      <c r="AQ99" s="1" t="s">
        <v>61</v>
      </c>
      <c r="AR99" s="1" t="s">
        <v>1173</v>
      </c>
      <c r="AS99" s="12">
        <f>Table1[[#This Row],[Visit Cost]]*(1-Table1[[#This Row],[Insurance Coverage Pct]]/100)+Table1[[#This Row],[Copay Amount]]+Table1[[#This Row],[Deductible Applied]]</f>
        <v>316.07999999999998</v>
      </c>
    </row>
    <row r="100" spans="1:45" ht="15">
      <c r="A100" s="3" t="s">
        <v>1174</v>
      </c>
      <c r="B100" s="1" t="s">
        <v>1346</v>
      </c>
      <c r="C100" s="2">
        <v>35410</v>
      </c>
      <c r="D100" s="1" t="s">
        <v>67</v>
      </c>
      <c r="E100" s="1" t="s">
        <v>1176</v>
      </c>
      <c r="F100" s="1" t="s">
        <v>69</v>
      </c>
      <c r="G100" s="1" t="s">
        <v>1177</v>
      </c>
      <c r="H100" s="28" t="s">
        <v>1178</v>
      </c>
      <c r="I100" s="29">
        <v>0.58333333333333337</v>
      </c>
      <c r="J100" s="2" t="str">
        <f>PROPER(Table1[[#This Row],[Visit Type2]])</f>
        <v>New Patient</v>
      </c>
      <c r="K100" s="1" t="s">
        <v>92</v>
      </c>
      <c r="L100" s="1" t="str">
        <f>IF(M100="ER","Endocrinology",IF(M100="OB/GYN","Gastroentrology",M100))</f>
        <v>Neurology</v>
      </c>
      <c r="M100" s="1" t="s">
        <v>194</v>
      </c>
      <c r="N100" s="72" t="s">
        <v>1490</v>
      </c>
      <c r="O100" s="1" t="s">
        <v>195</v>
      </c>
      <c r="P100" s="1" t="str">
        <f>PROPER(SUBSTITUTE(SUBSTITUTE(SUBSTITUTE(SUBSTITUTE(SUBSTITUTE(SUBSTITUTE(SUBSTITUTE(SUBSTITUTE(SUBSTITUTE(SUBSTITUTE(Q100,"CAD","Coronary Artery Disease"),"GERD","Gastroesophageal Reflux Disease"),"BPH","Benign Prostatic Hyperplasia"),"COPD","Chronic Obstructive Pulmonary Disease"),"IBD","Inflammatory Bowel Disease"),"URI","Upper Respiratory Infection"),"PID","Pelvic Inflammatory Disease"),"DJD","Degenerative Joint Disease"),"RA","Rheumatoid Arthritis"),"DM","Diabetes Mellitus"))</f>
        <v>Multiple Sclerosis</v>
      </c>
      <c r="Q100" s="1" t="s">
        <v>1179</v>
      </c>
      <c r="R100" s="1" t="s">
        <v>1180</v>
      </c>
      <c r="S100" s="1">
        <v>99204</v>
      </c>
      <c r="T100" s="1" t="s">
        <v>1181</v>
      </c>
      <c r="U100" s="1" t="s">
        <v>57</v>
      </c>
      <c r="V100" s="1" t="s">
        <v>1182</v>
      </c>
      <c r="W100" s="1" t="s">
        <v>57</v>
      </c>
      <c r="X100" s="1">
        <v>60</v>
      </c>
      <c r="Y100" s="17">
        <v>850</v>
      </c>
      <c r="Z100" s="8">
        <f>100</f>
        <v>100</v>
      </c>
      <c r="AA100" s="9">
        <f>70/(100)</f>
        <v>0.69999999999999996</v>
      </c>
      <c r="AB100" s="7">
        <v>255</v>
      </c>
      <c r="AC100" s="15">
        <v>90</v>
      </c>
      <c r="AD100" s="16">
        <v>345</v>
      </c>
      <c r="AE100" s="14">
        <v>505</v>
      </c>
      <c r="AF100" s="1" t="s">
        <v>58</v>
      </c>
      <c r="AG100" s="1" t="b">
        <v>1</v>
      </c>
      <c r="AH100" s="1" t="s">
        <v>1183</v>
      </c>
      <c r="AI100" s="1" t="b">
        <v>0</v>
      </c>
      <c r="AJ100" s="1" t="b">
        <v>0</v>
      </c>
      <c r="AK100" s="1" t="b">
        <v>1</v>
      </c>
      <c r="AL100" s="1" t="b">
        <v>0</v>
      </c>
      <c r="AM100" s="1" t="s">
        <v>1236</v>
      </c>
      <c r="AN100" s="1">
        <v>4</v>
      </c>
      <c r="AO100" s="1" t="s">
        <v>1184</v>
      </c>
      <c r="AP100" s="1">
        <v>90</v>
      </c>
      <c r="AQ100" s="1" t="s">
        <v>153</v>
      </c>
      <c r="AR100" s="1" t="s">
        <v>1185</v>
      </c>
      <c r="AS100" s="12">
        <f>Table1[[#This Row],[Visit Cost]]*(1-Table1[[#This Row],[Insurance Coverage Pct]]/100)+Table1[[#This Row],[Copay Amount]]+Table1[[#This Row],[Deductible Applied]]</f>
        <v>1189.05</v>
      </c>
    </row>
    <row r="101" spans="1:45" ht="15">
      <c r="A101" s="3" t="s">
        <v>1186</v>
      </c>
      <c r="B101" s="1" t="s">
        <v>1347</v>
      </c>
      <c r="C101" s="2" t="s">
        <v>1189</v>
      </c>
      <c r="D101" s="1" t="s">
        <v>45</v>
      </c>
      <c r="E101" s="1" t="s">
        <v>1190</v>
      </c>
      <c r="F101" s="1" t="s">
        <v>47</v>
      </c>
      <c r="G101" s="1" t="s">
        <v>1191</v>
      </c>
      <c r="H101" s="28" t="s">
        <v>1192</v>
      </c>
      <c r="I101" s="29">
        <v>0.40625</v>
      </c>
      <c r="J101" s="2" t="str">
        <f>PROPER(Table1[[#This Row],[Visit Type2]])</f>
        <v>Follow-Up</v>
      </c>
      <c r="K101" s="1" t="s">
        <v>72</v>
      </c>
      <c r="L101" s="1" t="str">
        <f>IF(M101="ER","Endocrinology",IF(M101="OB/GYN","Gastroentrology",M101))</f>
        <v>Gastroenterology</v>
      </c>
      <c r="M101" s="1" t="s">
        <v>258</v>
      </c>
      <c r="N101" s="72" t="s">
        <v>1491</v>
      </c>
      <c r="O101" s="1" t="s">
        <v>259</v>
      </c>
      <c r="P101" s="1" t="str">
        <f>PROPER(SUBSTITUTE(SUBSTITUTE(SUBSTITUTE(SUBSTITUTE(SUBSTITUTE(SUBSTITUTE(SUBSTITUTE(SUBSTITUTE(SUBSTITUTE(SUBSTITUTE(Q101,"CAD","Coronary Artery Disease"),"GERD","Gastroesophageal Reflux Disease"),"BPH","Benign Prostatic Hyperplasia"),"COPD","Chronic Obstructive Pulmonary Disease"),"IBD","Inflammatory Bowel Disease"),"URI","Upper Respiratory Infection"),"PID","Pelvic Inflammatory Disease"),"DJD","Degenerative Joint Disease"),"RA","Rheumatoid Arthritis"),"DM","Diabetes Mellitus"))</f>
        <v>Inflammatory Bowel Disease</v>
      </c>
      <c r="Q101" s="1" t="s">
        <v>646</v>
      </c>
      <c r="R101" s="1" t="s">
        <v>647</v>
      </c>
      <c r="S101" s="1">
        <v>99213</v>
      </c>
      <c r="T101" s="1" t="s">
        <v>648</v>
      </c>
      <c r="U101" s="1" t="s">
        <v>57</v>
      </c>
      <c r="V101" s="1" t="s">
        <v>57</v>
      </c>
      <c r="W101" s="1" t="s">
        <v>57</v>
      </c>
      <c r="X101" s="1">
        <v>40</v>
      </c>
      <c r="Y101" s="17">
        <v>310</v>
      </c>
      <c r="Z101" s="8">
        <f>100</f>
        <v>100</v>
      </c>
      <c r="AA101" s="9">
        <f>80/(100)</f>
        <v>0.80000000000000004</v>
      </c>
      <c r="AB101" s="7">
        <v>62</v>
      </c>
      <c r="AC101" s="15">
        <v>35</v>
      </c>
      <c r="AD101" s="16">
        <v>97</v>
      </c>
      <c r="AE101" s="14">
        <v>213</v>
      </c>
      <c r="AF101" s="1" t="s">
        <v>80</v>
      </c>
      <c r="AG101" s="1" t="b">
        <v>0</v>
      </c>
      <c r="AH101" s="1" t="s">
        <v>1235</v>
      </c>
      <c r="AI101" s="1" t="b">
        <v>0</v>
      </c>
      <c r="AJ101" s="1" t="b">
        <v>0</v>
      </c>
      <c r="AK101" s="1" t="b">
        <v>0</v>
      </c>
      <c r="AL101" s="1" t="b">
        <v>0</v>
      </c>
      <c r="AM101" s="1" t="s">
        <v>1236</v>
      </c>
      <c r="AN101" s="1">
        <v>4</v>
      </c>
      <c r="AO101" s="1" t="s">
        <v>1193</v>
      </c>
      <c r="AP101" s="1">
        <v>92</v>
      </c>
      <c r="AQ101" s="1" t="s">
        <v>61</v>
      </c>
      <c r="AR101" s="1" t="s">
        <v>1194</v>
      </c>
      <c r="AS101" s="13">
        <f>Table1[[#This Row],[Visit Cost]]*(1-Table1[[#This Row],[Insurance Coverage Pct]]/100)+Table1[[#This Row],[Copay Amount]]+Table1[[#This Row],[Deductible Applied]]</f>
        <v>404.51999999999998</v>
      </c>
    </row>
    <row r="103" spans="47:47" ht="15">
      <c r="AU103">
        <f>AVERAGE(AN19:AN94)</f>
        <v>4</v>
      </c>
    </row>
  </sheetData>
  <sheetProtection/>
  <pageMargins left="0.7" right="0.7" top="0.75" bottom="0.75" header="0.3" footer="0.3"/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310B25B-3853-4784-8BF4-2BFCE7C17C60}">
  <sheetPr codeName=""/>
  <dimension ref="A1:AO101"/>
  <sheetViews>
    <sheetView workbookViewId="0" topLeftCell="A1">
      <selection pane="topLeft" activeCell="I33" sqref="I33"/>
    </sheetView>
  </sheetViews>
  <sheetFormatPr defaultColWidth="9.14285714285714" defaultRowHeight="15"/>
  <cols>
    <col min="1" max="1" width="10.2857142857143" customWidth="1"/>
    <col min="2" max="2" width="20.1428571428571" customWidth="1"/>
    <col min="3" max="3" width="10.7142857142857" customWidth="1"/>
    <col min="4" max="4" width="8" customWidth="1"/>
    <col min="5" max="5" width="12.4285714285714" customWidth="1"/>
    <col min="6" max="6" width="14.8571428571429" customWidth="1"/>
    <col min="7" max="7" width="7.71428571428571" customWidth="1"/>
    <col min="8" max="8" width="10.7142857142857" customWidth="1"/>
    <col min="9" max="9" width="11.5714285714286" customWidth="1"/>
    <col min="10" max="10" width="12" customWidth="1"/>
    <col min="11" max="11" width="16.5714285714286" customWidth="1"/>
    <col min="12" max="12" width="20.8571428571429" customWidth="1"/>
    <col min="13" max="13" width="9.71428571428571" customWidth="1"/>
    <col min="14" max="14" width="36.5714285714286" customWidth="1"/>
    <col min="15" max="15" width="20.1428571428571" customWidth="1"/>
    <col min="16" max="16" width="15.7142857142857" customWidth="1"/>
    <col min="17" max="17" width="28.4285714285714" customWidth="1"/>
    <col min="18" max="18" width="18" customWidth="1"/>
    <col min="19" max="19" width="20.1428571428571" customWidth="1"/>
    <col min="20" max="20" width="15.4285714285714" customWidth="1"/>
    <col min="21" max="21" width="19" customWidth="1"/>
    <col min="22" max="22" width="15.2857142857143" customWidth="1"/>
    <col min="23" max="23" width="22.4285714285714" customWidth="1"/>
    <col min="24" max="24" width="14.8571428571429" customWidth="1"/>
    <col min="25" max="25" width="18.5714285714286" customWidth="1"/>
    <col min="26" max="26" width="13.8571428571429" customWidth="1"/>
    <col min="27" max="27" width="12.5714285714286" customWidth="1"/>
    <col min="28" max="28" width="17" customWidth="1"/>
    <col min="29" max="29" width="18.4285714285714" customWidth="1"/>
    <col min="30" max="30" width="14.5714285714286" customWidth="1"/>
    <col min="31" max="31" width="17.8571428571429" customWidth="1"/>
    <col min="32" max="32" width="15.5714285714286" customWidth="1"/>
    <col min="33" max="33" width="12.8571428571429" customWidth="1"/>
    <col min="34" max="34" width="13.8571428571429" customWidth="1"/>
    <col min="35" max="35" width="25.8571428571429" customWidth="1"/>
    <col min="36" max="36" width="19.2857142857143" customWidth="1"/>
    <col min="37" max="37" width="34.1428571428571" customWidth="1"/>
    <col min="38" max="38" width="18.2857142857143" customWidth="1"/>
    <col min="39" max="39" width="13.4285714285714" customWidth="1"/>
    <col min="40" max="40" width="13.2857142857143" customWidth="1"/>
    <col min="41" max="41" width="27.2857142857143" customWidth="1"/>
  </cols>
  <sheetData>
    <row r="1" spans="1:41" ht="15">
      <c r="A1" s="4" t="s">
        <v>1195</v>
      </c>
      <c r="B1" s="5" t="s">
        <v>1247</v>
      </c>
      <c r="C1" s="5" t="s">
        <v>5</v>
      </c>
      <c r="D1" s="5" t="s">
        <v>6</v>
      </c>
      <c r="E1" s="5" t="s">
        <v>1196</v>
      </c>
      <c r="F1" s="5" t="s">
        <v>1199</v>
      </c>
      <c r="G1" s="5" t="s">
        <v>1197</v>
      </c>
      <c r="H1" s="5" t="s">
        <v>1200</v>
      </c>
      <c r="I1" s="5" t="s">
        <v>1201</v>
      </c>
      <c r="J1" s="5" t="s">
        <v>1202</v>
      </c>
      <c r="K1" s="5" t="s">
        <v>13</v>
      </c>
      <c r="L1" s="5" t="s">
        <v>1492</v>
      </c>
      <c r="M1" s="5" t="s">
        <v>1198</v>
      </c>
      <c r="N1" s="5" t="s">
        <v>1203</v>
      </c>
      <c r="O1" s="5" t="s">
        <v>1213</v>
      </c>
      <c r="P1" s="5" t="s">
        <v>1214</v>
      </c>
      <c r="Q1" s="5" t="s">
        <v>1215</v>
      </c>
      <c r="R1" s="5" t="s">
        <v>1223</v>
      </c>
      <c r="S1" s="5" t="s">
        <v>1204</v>
      </c>
      <c r="T1" s="5" t="s">
        <v>1205</v>
      </c>
      <c r="U1" s="5" t="s">
        <v>1224</v>
      </c>
      <c r="V1" s="5" t="s">
        <v>1206</v>
      </c>
      <c r="W1" s="5" t="s">
        <v>1225</v>
      </c>
      <c r="X1" s="5" t="s">
        <v>1207</v>
      </c>
      <c r="Y1" s="5" t="s">
        <v>1208</v>
      </c>
      <c r="Z1" s="5" t="s">
        <v>1226</v>
      </c>
      <c r="AA1" s="5" t="s">
        <v>1209</v>
      </c>
      <c r="AB1" s="5" t="s">
        <v>1210</v>
      </c>
      <c r="AC1" s="5" t="s">
        <v>1211</v>
      </c>
      <c r="AD1" s="5" t="s">
        <v>1216</v>
      </c>
      <c r="AE1" s="5" t="s">
        <v>1217</v>
      </c>
      <c r="AF1" s="5" t="s">
        <v>1218</v>
      </c>
      <c r="AG1" s="5" t="s">
        <v>1219</v>
      </c>
      <c r="AH1" s="5" t="s">
        <v>1227</v>
      </c>
      <c r="AI1" s="5" t="s">
        <v>1220</v>
      </c>
      <c r="AJ1" s="5" t="s">
        <v>1221</v>
      </c>
      <c r="AK1" s="5" t="s">
        <v>38</v>
      </c>
      <c r="AL1" s="5" t="s">
        <v>1</v>
      </c>
      <c r="AM1" s="5" t="s">
        <v>1222</v>
      </c>
      <c r="AN1" s="5" t="s">
        <v>1212</v>
      </c>
      <c r="AO1" s="6" t="s">
        <v>1237</v>
      </c>
    </row>
    <row r="2" spans="1:41" ht="15">
      <c r="A2" s="3" t="s">
        <v>41</v>
      </c>
      <c r="B2" s="1" t="s">
        <v>1248</v>
      </c>
      <c r="C2" s="2" t="s">
        <v>44</v>
      </c>
      <c r="D2" s="1" t="s">
        <v>45</v>
      </c>
      <c r="E2" s="1" t="s">
        <v>46</v>
      </c>
      <c r="F2" s="1" t="s">
        <v>47</v>
      </c>
      <c r="G2" s="1" t="s">
        <v>48</v>
      </c>
      <c r="H2" s="28" t="s">
        <v>49</v>
      </c>
      <c r="I2" s="29">
        <v>0.39583333333333331</v>
      </c>
      <c r="J2" s="2" t="s">
        <v>50</v>
      </c>
      <c r="K2" s="1" t="s">
        <v>51</v>
      </c>
      <c r="L2" s="72" t="s">
        <v>1391</v>
      </c>
      <c r="M2" s="1" t="s">
        <v>52</v>
      </c>
      <c r="N2" s="1" t="s">
        <v>53</v>
      </c>
      <c r="O2" s="1" t="s">
        <v>54</v>
      </c>
      <c r="P2" s="1">
        <v>99214</v>
      </c>
      <c r="Q2" s="1" t="s">
        <v>55</v>
      </c>
      <c r="R2" s="1" t="s">
        <v>56</v>
      </c>
      <c r="S2" s="1" t="s">
        <v>57</v>
      </c>
      <c r="T2" s="1" t="s">
        <v>57</v>
      </c>
      <c r="U2" s="1">
        <v>45</v>
      </c>
      <c r="V2" s="17">
        <v>185</v>
      </c>
      <c r="W2" s="9">
        <f>80/(100)</f>
        <v>0.80000000000000004</v>
      </c>
      <c r="X2" s="7">
        <v>37</v>
      </c>
      <c r="Y2" s="15">
        <v>25</v>
      </c>
      <c r="Z2" s="16">
        <v>62</v>
      </c>
      <c r="AA2" s="14">
        <v>123</v>
      </c>
      <c r="AB2" s="1" t="s">
        <v>58</v>
      </c>
      <c r="AC2" s="1" t="b">
        <v>1</v>
      </c>
      <c r="AD2" s="1" t="s">
        <v>59</v>
      </c>
      <c r="AE2" s="1" t="b">
        <v>0</v>
      </c>
      <c r="AF2" s="1" t="b">
        <v>0</v>
      </c>
      <c r="AG2" s="1" t="b">
        <v>0</v>
      </c>
      <c r="AH2" s="1" t="b">
        <v>0</v>
      </c>
      <c r="AI2" s="1" t="s">
        <v>1236</v>
      </c>
      <c r="AJ2" s="1">
        <v>4</v>
      </c>
      <c r="AK2" s="1" t="s">
        <v>60</v>
      </c>
      <c r="AL2" s="1">
        <v>95</v>
      </c>
      <c r="AM2" s="1" t="s">
        <v>61</v>
      </c>
      <c r="AN2" s="1" t="s">
        <v>62</v>
      </c>
      <c r="AO2" s="11">
        <f>Table18[[#This Row],[Visit Cost]]*(1-Table18[[#This Row],[Insurance Coverage Pct]]/100)+Table18[[#This Row],[Copay Amount]]+Table18[[#This Row],[Deductible Applied]]</f>
        <v>245.52000000000001</v>
      </c>
    </row>
    <row r="3" spans="1:41" ht="15">
      <c r="A3" s="3" t="s">
        <v>63</v>
      </c>
      <c r="B3" s="1" t="s">
        <v>1249</v>
      </c>
      <c r="C3" s="2" t="s">
        <v>66</v>
      </c>
      <c r="D3" s="1" t="s">
        <v>67</v>
      </c>
      <c r="E3" s="1" t="s">
        <v>68</v>
      </c>
      <c r="F3" s="1" t="s">
        <v>69</v>
      </c>
      <c r="G3" s="1" t="s">
        <v>70</v>
      </c>
      <c r="H3" s="28" t="s">
        <v>71</v>
      </c>
      <c r="I3" s="29">
        <v>0.59375</v>
      </c>
      <c r="J3" s="2" t="s">
        <v>1238</v>
      </c>
      <c r="K3" s="1" t="s">
        <v>73</v>
      </c>
      <c r="L3" s="72" t="s">
        <v>1392</v>
      </c>
      <c r="M3" s="1" t="s">
        <v>74</v>
      </c>
      <c r="N3" s="1" t="s">
        <v>1246</v>
      </c>
      <c r="O3" s="1" t="s">
        <v>76</v>
      </c>
      <c r="P3" s="1">
        <v>99213</v>
      </c>
      <c r="Q3" s="1" t="s">
        <v>77</v>
      </c>
      <c r="R3" s="1" t="s">
        <v>78</v>
      </c>
      <c r="S3" s="1" t="s">
        <v>79</v>
      </c>
      <c r="T3" s="1" t="s">
        <v>57</v>
      </c>
      <c r="U3" s="1">
        <v>60</v>
      </c>
      <c r="V3" s="17">
        <v>225</v>
      </c>
      <c r="W3" s="9">
        <f>70/(100)</f>
        <v>0.69999999999999996</v>
      </c>
      <c r="X3" s="7">
        <v>67.5</v>
      </c>
      <c r="Y3" s="15">
        <v>40</v>
      </c>
      <c r="Z3" s="16">
        <v>107.5</v>
      </c>
      <c r="AA3" s="14">
        <v>117.5</v>
      </c>
      <c r="AB3" s="1" t="s">
        <v>80</v>
      </c>
      <c r="AC3" s="1" t="b">
        <v>1</v>
      </c>
      <c r="AD3" s="1" t="s">
        <v>81</v>
      </c>
      <c r="AE3" s="1" t="b">
        <v>0</v>
      </c>
      <c r="AF3" s="1" t="b">
        <v>0</v>
      </c>
      <c r="AG3" s="1" t="b">
        <v>1</v>
      </c>
      <c r="AH3" s="1" t="b">
        <v>0</v>
      </c>
      <c r="AI3" s="1" t="s">
        <v>1236</v>
      </c>
      <c r="AJ3" s="1">
        <v>3</v>
      </c>
      <c r="AK3" s="1" t="s">
        <v>82</v>
      </c>
      <c r="AL3" s="1">
        <v>92</v>
      </c>
      <c r="AM3" s="1" t="s">
        <v>83</v>
      </c>
      <c r="AN3" s="1" t="s">
        <v>84</v>
      </c>
      <c r="AO3" s="12">
        <f>Table18[[#This Row],[Visit Cost]]*(1-Table18[[#This Row],[Insurance Coverage Pct]]/100)+Table18[[#This Row],[Copay Amount]]+Table18[[#This Row],[Deductible Applied]]</f>
        <v>330.92500000000001</v>
      </c>
    </row>
    <row r="4" spans="1:41" ht="15">
      <c r="A4" s="3" t="s">
        <v>85</v>
      </c>
      <c r="B4" s="1" t="s">
        <v>1250</v>
      </c>
      <c r="C4" s="2">
        <v>23957</v>
      </c>
      <c r="D4" s="1" t="s">
        <v>45</v>
      </c>
      <c r="E4" s="1" t="s">
        <v>88</v>
      </c>
      <c r="F4" s="1" t="s">
        <v>89</v>
      </c>
      <c r="G4" s="1" t="s">
        <v>90</v>
      </c>
      <c r="H4" s="28" t="s">
        <v>91</v>
      </c>
      <c r="I4" s="29">
        <v>0.41666666666666669</v>
      </c>
      <c r="J4" s="2" t="s">
        <v>92</v>
      </c>
      <c r="K4" s="1" t="s">
        <v>93</v>
      </c>
      <c r="L4" s="72" t="s">
        <v>1393</v>
      </c>
      <c r="M4" s="1" t="s">
        <v>94</v>
      </c>
      <c r="N4" s="1" t="s">
        <v>95</v>
      </c>
      <c r="O4" s="1" t="s">
        <v>96</v>
      </c>
      <c r="P4" s="1">
        <v>99204</v>
      </c>
      <c r="Q4" s="1" t="s">
        <v>97</v>
      </c>
      <c r="R4" s="1" t="s">
        <v>98</v>
      </c>
      <c r="S4" s="1" t="s">
        <v>99</v>
      </c>
      <c r="T4" s="1" t="s">
        <v>57</v>
      </c>
      <c r="U4" s="1">
        <v>30</v>
      </c>
      <c r="V4" s="17">
        <v>350</v>
      </c>
      <c r="W4" s="9">
        <f>85/(100)</f>
        <v>0.84999999999999998</v>
      </c>
      <c r="X4" s="7">
        <v>52.5</v>
      </c>
      <c r="Y4" s="15">
        <v>30</v>
      </c>
      <c r="Z4" s="16">
        <v>82.5</v>
      </c>
      <c r="AA4" s="14">
        <v>267.5</v>
      </c>
      <c r="AB4" s="1" t="s">
        <v>58</v>
      </c>
      <c r="AC4" s="1" t="b">
        <v>0</v>
      </c>
      <c r="AD4" s="1" t="s">
        <v>1235</v>
      </c>
      <c r="AE4" s="1" t="b">
        <v>1</v>
      </c>
      <c r="AF4" s="1" t="b">
        <v>1</v>
      </c>
      <c r="AG4" s="1" t="b">
        <v>0</v>
      </c>
      <c r="AH4" s="1" t="b">
        <v>0</v>
      </c>
      <c r="AI4" s="1" t="s">
        <v>100</v>
      </c>
      <c r="AJ4" s="1">
        <v>5</v>
      </c>
      <c r="AK4" s="1" t="s">
        <v>101</v>
      </c>
      <c r="AL4" s="1">
        <v>88</v>
      </c>
      <c r="AM4" s="1" t="s">
        <v>102</v>
      </c>
      <c r="AN4" s="1" t="s">
        <v>103</v>
      </c>
      <c r="AO4" s="12">
        <f>Table18[[#This Row],[Visit Cost]]*(1-Table18[[#This Row],[Insurance Coverage Pct]]/100)+Table18[[#This Row],[Copay Amount]]+Table18[[#This Row],[Deductible Applied]]</f>
        <v>429.52500000000003</v>
      </c>
    </row>
    <row r="5" spans="1:41" ht="15">
      <c r="A5" s="3" t="s">
        <v>104</v>
      </c>
      <c r="B5" s="1" t="s">
        <v>1251</v>
      </c>
      <c r="C5" s="2" t="s">
        <v>107</v>
      </c>
      <c r="D5" s="1" t="s">
        <v>67</v>
      </c>
      <c r="E5" s="1" t="s">
        <v>108</v>
      </c>
      <c r="F5" s="1" t="s">
        <v>47</v>
      </c>
      <c r="G5" s="1" t="s">
        <v>109</v>
      </c>
      <c r="H5" s="28" t="s">
        <v>110</v>
      </c>
      <c r="I5" s="29">
        <v>0.48958333333333331</v>
      </c>
      <c r="J5" s="2" t="s">
        <v>111</v>
      </c>
      <c r="K5" s="1" t="s">
        <v>130</v>
      </c>
      <c r="L5" s="72" t="s">
        <v>1394</v>
      </c>
      <c r="M5" s="1" t="s">
        <v>113</v>
      </c>
      <c r="N5" s="1" t="s">
        <v>114</v>
      </c>
      <c r="O5" s="1" t="s">
        <v>115</v>
      </c>
      <c r="P5" s="1">
        <v>99285</v>
      </c>
      <c r="Q5" s="1" t="s">
        <v>116</v>
      </c>
      <c r="R5" s="1" t="s">
        <v>117</v>
      </c>
      <c r="S5" s="1" t="s">
        <v>117</v>
      </c>
      <c r="T5" s="1" t="s">
        <v>57</v>
      </c>
      <c r="U5" s="1">
        <v>90</v>
      </c>
      <c r="V5" s="17">
        <v>550</v>
      </c>
      <c r="W5" s="9">
        <f>60/(100)</f>
        <v>0.59999999999999998</v>
      </c>
      <c r="X5" s="7">
        <v>220</v>
      </c>
      <c r="Y5" s="15">
        <v>100</v>
      </c>
      <c r="Z5" s="16">
        <v>320</v>
      </c>
      <c r="AA5" s="14">
        <v>230</v>
      </c>
      <c r="AB5" s="1" t="s">
        <v>118</v>
      </c>
      <c r="AC5" s="1" t="b">
        <v>1</v>
      </c>
      <c r="AD5" s="1" t="s">
        <v>119</v>
      </c>
      <c r="AE5" s="1" t="b">
        <v>0</v>
      </c>
      <c r="AF5" s="1" t="b">
        <v>1</v>
      </c>
      <c r="AG5" s="1" t="b">
        <v>0</v>
      </c>
      <c r="AH5" s="1" t="b">
        <v>0</v>
      </c>
      <c r="AI5" s="1" t="s">
        <v>1236</v>
      </c>
      <c r="AJ5" s="1">
        <v>4</v>
      </c>
      <c r="AK5" s="1" t="s">
        <v>120</v>
      </c>
      <c r="AL5" s="1">
        <v>90</v>
      </c>
      <c r="AM5" s="1" t="s">
        <v>61</v>
      </c>
      <c r="AN5" s="1" t="s">
        <v>121</v>
      </c>
      <c r="AO5" s="12">
        <f>Table18[[#This Row],[Visit Cost]]*(1-Table18[[#This Row],[Insurance Coverage Pct]]/100)+Table18[[#This Row],[Copay Amount]]+Table18[[#This Row],[Deductible Applied]]</f>
        <v>866.70000000000005</v>
      </c>
    </row>
    <row r="6" spans="1:41" ht="15">
      <c r="A6" s="3" t="s">
        <v>122</v>
      </c>
      <c r="B6" s="1" t="s">
        <v>1252</v>
      </c>
      <c r="C6" s="2" t="s">
        <v>125</v>
      </c>
      <c r="D6" s="1" t="s">
        <v>45</v>
      </c>
      <c r="E6" s="1" t="s">
        <v>126</v>
      </c>
      <c r="F6" s="1" t="s">
        <v>127</v>
      </c>
      <c r="G6" s="1" t="s">
        <v>128</v>
      </c>
      <c r="H6" s="28" t="s">
        <v>129</v>
      </c>
      <c r="I6" s="29">
        <v>0.34375</v>
      </c>
      <c r="J6" s="2" t="s">
        <v>50</v>
      </c>
      <c r="K6" s="1" t="s">
        <v>130</v>
      </c>
      <c r="L6" s="72" t="s">
        <v>1396</v>
      </c>
      <c r="M6" s="1" t="s">
        <v>131</v>
      </c>
      <c r="N6" s="1" t="s">
        <v>132</v>
      </c>
      <c r="O6" s="1" t="s">
        <v>133</v>
      </c>
      <c r="P6" s="1">
        <v>99214</v>
      </c>
      <c r="Q6" s="1" t="s">
        <v>134</v>
      </c>
      <c r="R6" s="1" t="s">
        <v>135</v>
      </c>
      <c r="S6" s="1" t="s">
        <v>57</v>
      </c>
      <c r="T6" s="1" t="s">
        <v>57</v>
      </c>
      <c r="U6" s="1">
        <v>40</v>
      </c>
      <c r="V6" s="17">
        <v>200</v>
      </c>
      <c r="W6" s="9">
        <f>100/(100)</f>
        <v>1</v>
      </c>
      <c r="X6" s="7">
        <v>0</v>
      </c>
      <c r="Y6" s="15">
        <v>0</v>
      </c>
      <c r="Z6" s="16">
        <v>0</v>
      </c>
      <c r="AA6" s="14">
        <v>200</v>
      </c>
      <c r="AB6" s="1" t="s">
        <v>127</v>
      </c>
      <c r="AC6" s="1" t="b">
        <v>0</v>
      </c>
      <c r="AD6" s="1" t="s">
        <v>1235</v>
      </c>
      <c r="AE6" s="1" t="b">
        <v>0</v>
      </c>
      <c r="AF6" s="1" t="b">
        <v>0</v>
      </c>
      <c r="AG6" s="1" t="b">
        <v>0</v>
      </c>
      <c r="AH6" s="1" t="b">
        <v>0</v>
      </c>
      <c r="AI6" s="1" t="s">
        <v>1236</v>
      </c>
      <c r="AJ6" s="1">
        <v>5</v>
      </c>
      <c r="AK6" s="1" t="s">
        <v>136</v>
      </c>
      <c r="AL6" s="1">
        <v>98</v>
      </c>
      <c r="AM6" s="1" t="s">
        <v>61</v>
      </c>
      <c r="AN6" s="1" t="s">
        <v>137</v>
      </c>
      <c r="AO6" s="12">
        <f>Table18[[#This Row],[Visit Cost]]*(1-Table18[[#This Row],[Insurance Coverage Pct]]/100)+Table18[[#This Row],[Copay Amount]]+Table18[[#This Row],[Deductible Applied]]</f>
        <v>198</v>
      </c>
    </row>
    <row r="7" spans="1:41" ht="15">
      <c r="A7" s="3" t="s">
        <v>138</v>
      </c>
      <c r="B7" s="1" t="s">
        <v>1253</v>
      </c>
      <c r="C7" s="2">
        <v>32275</v>
      </c>
      <c r="D7" s="1" t="s">
        <v>67</v>
      </c>
      <c r="E7" s="1" t="s">
        <v>141</v>
      </c>
      <c r="F7" s="1" t="s">
        <v>47</v>
      </c>
      <c r="G7" s="1" t="s">
        <v>142</v>
      </c>
      <c r="H7" s="28" t="s">
        <v>143</v>
      </c>
      <c r="I7" s="29">
        <v>0.5625</v>
      </c>
      <c r="J7" s="2" t="s">
        <v>144</v>
      </c>
      <c r="K7" s="1" t="s">
        <v>145</v>
      </c>
      <c r="L7" s="72" t="s">
        <v>1397</v>
      </c>
      <c r="M7" s="1" t="s">
        <v>146</v>
      </c>
      <c r="N7" s="1" t="s">
        <v>147</v>
      </c>
      <c r="O7" s="1" t="s">
        <v>148</v>
      </c>
      <c r="P7" s="1">
        <v>99223</v>
      </c>
      <c r="Q7" s="1" t="s">
        <v>149</v>
      </c>
      <c r="R7" s="1" t="s">
        <v>57</v>
      </c>
      <c r="S7" s="1" t="s">
        <v>150</v>
      </c>
      <c r="T7" s="1">
        <v>44970</v>
      </c>
      <c r="U7" s="1">
        <v>120</v>
      </c>
      <c r="V7" s="17">
        <v>12500</v>
      </c>
      <c r="W7" s="9">
        <f>80/(100)</f>
        <v>0.80000000000000004</v>
      </c>
      <c r="X7" s="7">
        <v>2500</v>
      </c>
      <c r="Y7" s="15">
        <v>500</v>
      </c>
      <c r="Z7" s="16">
        <v>3000</v>
      </c>
      <c r="AA7" s="14">
        <v>9500</v>
      </c>
      <c r="AB7" s="1" t="s">
        <v>80</v>
      </c>
      <c r="AC7" s="1" t="b">
        <v>1</v>
      </c>
      <c r="AD7" s="1" t="s">
        <v>151</v>
      </c>
      <c r="AE7" s="1" t="b">
        <v>0</v>
      </c>
      <c r="AF7" s="1" t="b">
        <v>1</v>
      </c>
      <c r="AG7" s="1" t="b">
        <v>1</v>
      </c>
      <c r="AH7" s="1" t="b">
        <v>0</v>
      </c>
      <c r="AI7" s="1" t="s">
        <v>1236</v>
      </c>
      <c r="AJ7" s="1">
        <v>4</v>
      </c>
      <c r="AK7" s="1" t="s">
        <v>152</v>
      </c>
      <c r="AL7" s="1">
        <v>85</v>
      </c>
      <c r="AM7" s="1" t="s">
        <v>153</v>
      </c>
      <c r="AN7" s="1" t="s">
        <v>154</v>
      </c>
      <c r="AO7" s="12">
        <f>Table18[[#This Row],[Visit Cost]]*(1-Table18[[#This Row],[Insurance Coverage Pct]]/100)+Table18[[#This Row],[Copay Amount]]+Table18[[#This Row],[Deductible Applied]]</f>
        <v>15400</v>
      </c>
    </row>
    <row r="8" spans="1:41" ht="15">
      <c r="A8" s="3" t="s">
        <v>155</v>
      </c>
      <c r="B8" s="1" t="s">
        <v>1254</v>
      </c>
      <c r="C8" s="2" t="s">
        <v>158</v>
      </c>
      <c r="D8" s="1" t="s">
        <v>45</v>
      </c>
      <c r="E8" s="1" t="s">
        <v>159</v>
      </c>
      <c r="F8" s="1" t="s">
        <v>69</v>
      </c>
      <c r="G8" s="1" t="s">
        <v>160</v>
      </c>
      <c r="H8" s="28" t="s">
        <v>161</v>
      </c>
      <c r="I8" s="29">
        <v>0.66666666666666663</v>
      </c>
      <c r="J8" s="2" t="s">
        <v>1238</v>
      </c>
      <c r="K8" s="1" t="s">
        <v>162</v>
      </c>
      <c r="L8" s="72" t="s">
        <v>1398</v>
      </c>
      <c r="M8" s="1" t="s">
        <v>163</v>
      </c>
      <c r="N8" s="1" t="s">
        <v>164</v>
      </c>
      <c r="O8" s="1" t="s">
        <v>165</v>
      </c>
      <c r="P8" s="1">
        <v>99213</v>
      </c>
      <c r="Q8" s="1" t="s">
        <v>166</v>
      </c>
      <c r="R8" s="1" t="s">
        <v>167</v>
      </c>
      <c r="S8" s="1" t="s">
        <v>57</v>
      </c>
      <c r="T8" s="1" t="s">
        <v>57</v>
      </c>
      <c r="U8" s="1">
        <v>25</v>
      </c>
      <c r="V8" s="17">
        <v>180</v>
      </c>
      <c r="W8" s="9">
        <f>70/(100)</f>
        <v>0.69999999999999996</v>
      </c>
      <c r="X8" s="7">
        <v>54</v>
      </c>
      <c r="Y8" s="15">
        <v>35</v>
      </c>
      <c r="Z8" s="16">
        <v>89</v>
      </c>
      <c r="AA8" s="14">
        <v>91</v>
      </c>
      <c r="AB8" s="1" t="s">
        <v>58</v>
      </c>
      <c r="AC8" s="1" t="b">
        <v>1</v>
      </c>
      <c r="AD8" s="1" t="s">
        <v>168</v>
      </c>
      <c r="AE8" s="1" t="b">
        <v>0</v>
      </c>
      <c r="AF8" s="1" t="b">
        <v>0</v>
      </c>
      <c r="AG8" s="1" t="b">
        <v>0</v>
      </c>
      <c r="AH8" s="1" t="b">
        <v>1</v>
      </c>
      <c r="AI8" s="1" t="s">
        <v>169</v>
      </c>
      <c r="AJ8" s="1" t="s">
        <v>170</v>
      </c>
      <c r="AK8" s="1">
        <v>3</v>
      </c>
      <c r="AL8" s="1" t="s">
        <v>171</v>
      </c>
      <c r="AM8" s="1">
        <v>93</v>
      </c>
      <c r="AN8" t="s">
        <v>173</v>
      </c>
      <c r="AO8" s="12">
        <f>Table18[[#This Row],[Visit Cost]]*(1-Table18[[#This Row],[Insurance Coverage Pct]]/100)+Table18[[#This Row],[Copay Amount]]+Table18[[#This Row],[Deductible Applied]]</f>
        <v>267.74000000000001</v>
      </c>
    </row>
    <row r="9" spans="1:41" ht="15">
      <c r="A9" s="3" t="s">
        <v>174</v>
      </c>
      <c r="B9" s="1" t="s">
        <v>1255</v>
      </c>
      <c r="C9" s="2">
        <v>35037</v>
      </c>
      <c r="D9" s="1" t="s">
        <v>67</v>
      </c>
      <c r="E9" s="1" t="s">
        <v>177</v>
      </c>
      <c r="F9" s="1" t="s">
        <v>47</v>
      </c>
      <c r="G9" s="1" t="s">
        <v>178</v>
      </c>
      <c r="H9" s="28" t="s">
        <v>179</v>
      </c>
      <c r="I9" s="29">
        <v>0.375</v>
      </c>
      <c r="J9" s="2" t="s">
        <v>180</v>
      </c>
      <c r="K9" s="1" t="s">
        <v>181</v>
      </c>
      <c r="L9" s="72" t="s">
        <v>1399</v>
      </c>
      <c r="M9" s="1" t="s">
        <v>182</v>
      </c>
      <c r="N9" s="1" t="s">
        <v>183</v>
      </c>
      <c r="O9" s="1" t="s">
        <v>184</v>
      </c>
      <c r="P9" s="1">
        <v>99212</v>
      </c>
      <c r="Q9" s="1" t="s">
        <v>185</v>
      </c>
      <c r="R9" s="1" t="s">
        <v>57</v>
      </c>
      <c r="S9" s="1" t="s">
        <v>57</v>
      </c>
      <c r="T9" s="1" t="s">
        <v>57</v>
      </c>
      <c r="U9" s="1">
        <v>20</v>
      </c>
      <c r="V9" s="17">
        <v>150</v>
      </c>
      <c r="W9" s="9">
        <f>90/(100)</f>
        <v>0.90000000000000002</v>
      </c>
      <c r="X9" s="7">
        <v>15</v>
      </c>
      <c r="Y9" s="15">
        <v>10</v>
      </c>
      <c r="Z9" s="16">
        <v>25</v>
      </c>
      <c r="AA9" s="14">
        <v>125</v>
      </c>
      <c r="AB9" s="1" t="s">
        <v>80</v>
      </c>
      <c r="AC9" s="1" t="b">
        <v>0</v>
      </c>
      <c r="AD9" s="1" t="s">
        <v>1235</v>
      </c>
      <c r="AE9" s="1" t="b">
        <v>0</v>
      </c>
      <c r="AF9" s="1" t="b">
        <v>0</v>
      </c>
      <c r="AG9" s="1" t="b">
        <v>0</v>
      </c>
      <c r="AH9" s="1" t="b">
        <v>0</v>
      </c>
      <c r="AI9" s="1" t="s">
        <v>1236</v>
      </c>
      <c r="AJ9" s="1">
        <v>5</v>
      </c>
      <c r="AK9" s="1" t="s">
        <v>186</v>
      </c>
      <c r="AL9" s="1">
        <v>96</v>
      </c>
      <c r="AM9" s="1" t="s">
        <v>61</v>
      </c>
      <c r="AN9" s="1" t="s">
        <v>187</v>
      </c>
      <c r="AO9" s="12">
        <f>Table18[[#This Row],[Visit Cost]]*(1-Table18[[#This Row],[Insurance Coverage Pct]]/100)+Table18[[#This Row],[Copay Amount]]+Table18[[#This Row],[Deductible Applied]]</f>
        <v>173.65000000000001</v>
      </c>
    </row>
    <row r="10" spans="1:41" ht="15">
      <c r="A10" s="3" t="s">
        <v>188</v>
      </c>
      <c r="B10" s="1" t="s">
        <v>1256</v>
      </c>
      <c r="C10" s="2" t="s">
        <v>191</v>
      </c>
      <c r="D10" s="1" t="s">
        <v>45</v>
      </c>
      <c r="E10" s="1" t="s">
        <v>192</v>
      </c>
      <c r="F10" s="1" t="s">
        <v>89</v>
      </c>
      <c r="G10" s="1" t="s">
        <v>193</v>
      </c>
      <c r="H10" s="28" t="s">
        <v>119</v>
      </c>
      <c r="I10" s="29">
        <v>0.61458333333333337</v>
      </c>
      <c r="J10" s="2" t="s">
        <v>92</v>
      </c>
      <c r="K10" s="1" t="s">
        <v>194</v>
      </c>
      <c r="L10" s="72" t="s">
        <v>1400</v>
      </c>
      <c r="M10" s="1" t="s">
        <v>195</v>
      </c>
      <c r="N10" s="1" t="s">
        <v>196</v>
      </c>
      <c r="O10" s="1" t="s">
        <v>197</v>
      </c>
      <c r="P10" s="1">
        <v>99204</v>
      </c>
      <c r="Q10" s="1" t="s">
        <v>198</v>
      </c>
      <c r="R10" s="1" t="s">
        <v>199</v>
      </c>
      <c r="S10" s="1" t="s">
        <v>200</v>
      </c>
      <c r="T10" s="1" t="s">
        <v>57</v>
      </c>
      <c r="U10" s="1">
        <v>50</v>
      </c>
      <c r="V10" s="17">
        <v>450</v>
      </c>
      <c r="W10" s="9">
        <f>80/(100)</f>
        <v>0.80000000000000004</v>
      </c>
      <c r="X10" s="7">
        <v>90</v>
      </c>
      <c r="Y10" s="15">
        <v>50</v>
      </c>
      <c r="Z10" s="16">
        <v>140</v>
      </c>
      <c r="AA10" s="14">
        <v>310</v>
      </c>
      <c r="AB10" s="1" t="s">
        <v>58</v>
      </c>
      <c r="AC10" s="1" t="b">
        <v>1</v>
      </c>
      <c r="AD10" s="1" t="s">
        <v>201</v>
      </c>
      <c r="AE10" s="1" t="b">
        <v>0</v>
      </c>
      <c r="AF10" s="1" t="b">
        <v>0</v>
      </c>
      <c r="AG10" s="1" t="b">
        <v>1</v>
      </c>
      <c r="AH10" s="1" t="b">
        <v>0</v>
      </c>
      <c r="AI10" s="1" t="s">
        <v>1236</v>
      </c>
      <c r="AJ10" s="1">
        <v>3</v>
      </c>
      <c r="AK10" s="1" t="s">
        <v>202</v>
      </c>
      <c r="AL10" s="1">
        <v>89</v>
      </c>
      <c r="AM10" s="1" t="s">
        <v>203</v>
      </c>
      <c r="AN10" s="1" t="s">
        <v>204</v>
      </c>
      <c r="AO10" s="12">
        <f>Table18[[#This Row],[Visit Cost]]*(1-Table18[[#This Row],[Insurance Coverage Pct]]/100)+Table18[[#This Row],[Copay Amount]]+Table18[[#This Row],[Deductible Applied]]</f>
        <v>586.39999999999998</v>
      </c>
    </row>
    <row r="11" spans="1:41" ht="15">
      <c r="A11" s="3" t="s">
        <v>205</v>
      </c>
      <c r="B11" s="1" t="s">
        <v>1257</v>
      </c>
      <c r="C11" s="2" t="s">
        <v>208</v>
      </c>
      <c r="D11" s="1" t="s">
        <v>67</v>
      </c>
      <c r="E11" s="1" t="s">
        <v>209</v>
      </c>
      <c r="F11" s="1" t="s">
        <v>69</v>
      </c>
      <c r="G11" s="1" t="s">
        <v>210</v>
      </c>
      <c r="H11" s="28" t="s">
        <v>211</v>
      </c>
      <c r="I11" s="29">
        <v>0.4375</v>
      </c>
      <c r="J11" s="2" t="s">
        <v>212</v>
      </c>
      <c r="K11" s="1" t="s">
        <v>1240</v>
      </c>
      <c r="L11" s="72" t="s">
        <v>1401</v>
      </c>
      <c r="M11" s="1" t="s">
        <v>214</v>
      </c>
      <c r="N11" s="1" t="s">
        <v>215</v>
      </c>
      <c r="O11" s="1" t="s">
        <v>216</v>
      </c>
      <c r="P11" s="1">
        <v>99214</v>
      </c>
      <c r="Q11" s="1" t="s">
        <v>217</v>
      </c>
      <c r="R11" s="1" t="s">
        <v>218</v>
      </c>
      <c r="S11" s="1" t="s">
        <v>218</v>
      </c>
      <c r="T11" s="1" t="s">
        <v>57</v>
      </c>
      <c r="U11" s="1">
        <v>40</v>
      </c>
      <c r="V11" s="17">
        <v>300</v>
      </c>
      <c r="W11" s="9">
        <f>75/(100)</f>
        <v>0.75</v>
      </c>
      <c r="X11" s="7">
        <v>75</v>
      </c>
      <c r="Y11" s="15">
        <v>40</v>
      </c>
      <c r="Z11" s="16">
        <v>115</v>
      </c>
      <c r="AA11" s="14">
        <v>185</v>
      </c>
      <c r="AB11" s="1" t="s">
        <v>80</v>
      </c>
      <c r="AC11" s="1" t="b">
        <v>1</v>
      </c>
      <c r="AD11" s="1" t="s">
        <v>219</v>
      </c>
      <c r="AE11" s="1" t="b">
        <v>0</v>
      </c>
      <c r="AF11" s="1" t="b">
        <v>0</v>
      </c>
      <c r="AG11" s="1" t="b">
        <v>0</v>
      </c>
      <c r="AH11" s="1" t="b">
        <v>0</v>
      </c>
      <c r="AI11" s="1" t="s">
        <v>1236</v>
      </c>
      <c r="AJ11" s="1">
        <v>5</v>
      </c>
      <c r="AK11" s="1" t="s">
        <v>220</v>
      </c>
      <c r="AL11" s="1">
        <v>97</v>
      </c>
      <c r="AM11" s="1" t="s">
        <v>61</v>
      </c>
      <c r="AN11" s="1" t="s">
        <v>221</v>
      </c>
      <c r="AO11" s="12">
        <f>Table18[[#This Row],[Visit Cost]]*(1-Table18[[#This Row],[Insurance Coverage Pct]]/100)+Table18[[#This Row],[Copay Amount]]+Table18[[#This Row],[Deductible Applied]]</f>
        <v>412.75</v>
      </c>
    </row>
    <row r="12" spans="1:41" ht="15">
      <c r="A12" s="3" t="s">
        <v>222</v>
      </c>
      <c r="B12" s="1" t="s">
        <v>1258</v>
      </c>
      <c r="C12" s="2">
        <v>18120</v>
      </c>
      <c r="D12" s="1" t="s">
        <v>45</v>
      </c>
      <c r="E12" s="1" t="s">
        <v>225</v>
      </c>
      <c r="F12" s="1" t="s">
        <v>127</v>
      </c>
      <c r="G12" s="1" t="s">
        <v>226</v>
      </c>
      <c r="H12" s="28" t="s">
        <v>227</v>
      </c>
      <c r="I12" s="29">
        <v>0.33333333333333331</v>
      </c>
      <c r="J12" s="2" t="s">
        <v>50</v>
      </c>
      <c r="K12" s="1" t="s">
        <v>228</v>
      </c>
      <c r="L12" s="72" t="s">
        <v>1402</v>
      </c>
      <c r="M12" s="1" t="s">
        <v>229</v>
      </c>
      <c r="N12" s="1" t="s">
        <v>230</v>
      </c>
      <c r="O12" s="1" t="s">
        <v>231</v>
      </c>
      <c r="P12" s="1">
        <v>99215</v>
      </c>
      <c r="Q12" s="1" t="s">
        <v>232</v>
      </c>
      <c r="R12" s="1" t="s">
        <v>233</v>
      </c>
      <c r="S12" s="1" t="s">
        <v>234</v>
      </c>
      <c r="T12" s="1" t="s">
        <v>57</v>
      </c>
      <c r="U12" s="1">
        <v>60</v>
      </c>
      <c r="V12" s="17">
        <v>500</v>
      </c>
      <c r="W12" s="9">
        <f>100/(100)</f>
        <v>1</v>
      </c>
      <c r="X12" s="7">
        <v>0</v>
      </c>
      <c r="Y12" s="15">
        <v>0</v>
      </c>
      <c r="Z12" s="16">
        <v>0</v>
      </c>
      <c r="AA12" s="14">
        <v>500</v>
      </c>
      <c r="AB12" s="1" t="s">
        <v>127</v>
      </c>
      <c r="AC12" s="1" t="b">
        <v>1</v>
      </c>
      <c r="AD12" s="1" t="s">
        <v>235</v>
      </c>
      <c r="AE12" s="1" t="b">
        <v>0</v>
      </c>
      <c r="AF12" s="1" t="b">
        <v>0</v>
      </c>
      <c r="AG12" s="1" t="b">
        <v>0</v>
      </c>
      <c r="AH12" s="1" t="b">
        <v>0</v>
      </c>
      <c r="AI12" s="1" t="s">
        <v>1236</v>
      </c>
      <c r="AJ12" s="1">
        <v>4</v>
      </c>
      <c r="AK12" s="1" t="s">
        <v>236</v>
      </c>
      <c r="AL12" s="1">
        <v>94</v>
      </c>
      <c r="AM12" s="1" t="s">
        <v>61</v>
      </c>
      <c r="AN12" s="1" t="s">
        <v>237</v>
      </c>
      <c r="AO12" s="12">
        <f>Table18[[#This Row],[Visit Cost]]*(1-Table18[[#This Row],[Insurance Coverage Pct]]/100)+Table18[[#This Row],[Copay Amount]]+Table18[[#This Row],[Deductible Applied]]</f>
        <v>495</v>
      </c>
    </row>
    <row r="13" spans="1:41" ht="15">
      <c r="A13" s="3" t="s">
        <v>238</v>
      </c>
      <c r="B13" s="1" t="s">
        <v>1259</v>
      </c>
      <c r="C13" s="2" t="s">
        <v>241</v>
      </c>
      <c r="D13" s="1" t="s">
        <v>67</v>
      </c>
      <c r="E13" s="1" t="s">
        <v>242</v>
      </c>
      <c r="F13" s="1" t="s">
        <v>47</v>
      </c>
      <c r="G13" s="1" t="s">
        <v>243</v>
      </c>
      <c r="H13" s="28" t="s">
        <v>244</v>
      </c>
      <c r="I13" s="29">
        <v>0.46875</v>
      </c>
      <c r="J13" s="2" t="s">
        <v>111</v>
      </c>
      <c r="K13" s="1" t="s">
        <v>245</v>
      </c>
      <c r="L13" s="72" t="s">
        <v>1403</v>
      </c>
      <c r="M13" s="1" t="s">
        <v>246</v>
      </c>
      <c r="N13" s="1" t="s">
        <v>247</v>
      </c>
      <c r="O13" s="1" t="s">
        <v>248</v>
      </c>
      <c r="P13" s="1">
        <v>99202</v>
      </c>
      <c r="Q13" s="1" t="s">
        <v>249</v>
      </c>
      <c r="R13" s="1" t="s">
        <v>57</v>
      </c>
      <c r="S13" s="1" t="s">
        <v>57</v>
      </c>
      <c r="T13" s="1" t="s">
        <v>57</v>
      </c>
      <c r="U13" s="1">
        <v>15</v>
      </c>
      <c r="V13" s="17">
        <v>125</v>
      </c>
      <c r="W13" s="9">
        <f>85/(100)</f>
        <v>0.84999999999999998</v>
      </c>
      <c r="X13" s="7">
        <v>18.75</v>
      </c>
      <c r="Y13" s="15">
        <v>15</v>
      </c>
      <c r="Z13" s="16">
        <v>33.75</v>
      </c>
      <c r="AA13" s="14">
        <v>91.25</v>
      </c>
      <c r="AB13" s="1" t="s">
        <v>58</v>
      </c>
      <c r="AC13" s="1" t="b">
        <v>0</v>
      </c>
      <c r="AD13" s="1" t="s">
        <v>1235</v>
      </c>
      <c r="AE13" s="1" t="b">
        <v>0</v>
      </c>
      <c r="AF13" s="1" t="b">
        <v>1</v>
      </c>
      <c r="AG13" s="1" t="b">
        <v>0</v>
      </c>
      <c r="AH13" s="1" t="b">
        <v>0</v>
      </c>
      <c r="AI13" s="1" t="s">
        <v>1236</v>
      </c>
      <c r="AJ13" s="1">
        <v>4</v>
      </c>
      <c r="AK13" s="1" t="s">
        <v>250</v>
      </c>
      <c r="AL13" s="1">
        <v>91</v>
      </c>
      <c r="AM13" s="1" t="s">
        <v>61</v>
      </c>
      <c r="AN13" s="1" t="s">
        <v>251</v>
      </c>
      <c r="AO13" s="12">
        <f>Table18[[#This Row],[Visit Cost]]*(1-Table18[[#This Row],[Insurance Coverage Pct]]/100)+Table18[[#This Row],[Copay Amount]]+Table18[[#This Row],[Deductible Applied]]</f>
        <v>157.6875</v>
      </c>
    </row>
    <row r="14" spans="1:41" ht="15">
      <c r="A14" s="3" t="s">
        <v>252</v>
      </c>
      <c r="B14" s="1" t="s">
        <v>1260</v>
      </c>
      <c r="C14" s="2">
        <v>28313</v>
      </c>
      <c r="D14" s="1" t="s">
        <v>45</v>
      </c>
      <c r="E14" s="1" t="s">
        <v>255</v>
      </c>
      <c r="F14" s="1" t="s">
        <v>69</v>
      </c>
      <c r="G14" s="1" t="s">
        <v>256</v>
      </c>
      <c r="H14" s="28" t="s">
        <v>257</v>
      </c>
      <c r="I14" s="29">
        <v>0.54166666666666663</v>
      </c>
      <c r="J14" s="2" t="s">
        <v>1238</v>
      </c>
      <c r="K14" s="1" t="s">
        <v>258</v>
      </c>
      <c r="L14" s="72" t="s">
        <v>1404</v>
      </c>
      <c r="M14" s="1" t="s">
        <v>259</v>
      </c>
      <c r="N14" s="1" t="s">
        <v>1231</v>
      </c>
      <c r="O14" s="1" t="s">
        <v>261</v>
      </c>
      <c r="P14" s="1">
        <v>99213</v>
      </c>
      <c r="Q14" s="1" t="s">
        <v>262</v>
      </c>
      <c r="R14" s="1" t="s">
        <v>263</v>
      </c>
      <c r="S14" s="1" t="s">
        <v>57</v>
      </c>
      <c r="T14" s="1">
        <v>43239</v>
      </c>
      <c r="U14" s="1">
        <v>45</v>
      </c>
      <c r="V14" s="17">
        <v>800</v>
      </c>
      <c r="W14" s="9">
        <f>70/(100)</f>
        <v>0.69999999999999996</v>
      </c>
      <c r="X14" s="7">
        <v>240</v>
      </c>
      <c r="Y14" s="15">
        <v>80</v>
      </c>
      <c r="Z14" s="16">
        <v>320</v>
      </c>
      <c r="AA14" s="14">
        <v>480</v>
      </c>
      <c r="AB14" s="1" t="s">
        <v>80</v>
      </c>
      <c r="AC14" s="1" t="b">
        <v>1</v>
      </c>
      <c r="AD14" s="1" t="s">
        <v>264</v>
      </c>
      <c r="AE14" s="1" t="b">
        <v>0</v>
      </c>
      <c r="AF14" s="1" t="b">
        <v>0</v>
      </c>
      <c r="AG14" s="1" t="b">
        <v>1</v>
      </c>
      <c r="AH14" s="1" t="b">
        <v>0</v>
      </c>
      <c r="AI14" s="1" t="s">
        <v>1236</v>
      </c>
      <c r="AJ14" s="1">
        <v>3</v>
      </c>
      <c r="AK14" s="1" t="s">
        <v>265</v>
      </c>
      <c r="AL14" s="1">
        <v>87</v>
      </c>
      <c r="AM14" s="1" t="s">
        <v>153</v>
      </c>
      <c r="AN14" s="1" t="s">
        <v>266</v>
      </c>
      <c r="AO14" s="12">
        <f>Table18[[#This Row],[Visit Cost]]*(1-Table18[[#This Row],[Insurance Coverage Pct]]/100)+Table18[[#This Row],[Copay Amount]]+Table18[[#This Row],[Deductible Applied]]</f>
        <v>1114.4000000000001</v>
      </c>
    </row>
    <row r="15" spans="1:41" ht="15">
      <c r="A15" s="3" t="s">
        <v>267</v>
      </c>
      <c r="B15" s="1" t="s">
        <v>1261</v>
      </c>
      <c r="C15" s="2" t="s">
        <v>270</v>
      </c>
      <c r="D15" s="1" t="s">
        <v>67</v>
      </c>
      <c r="E15" s="1" t="s">
        <v>271</v>
      </c>
      <c r="F15" s="1" t="s">
        <v>47</v>
      </c>
      <c r="G15" s="1" t="s">
        <v>272</v>
      </c>
      <c r="H15" s="28">
        <v>45293</v>
      </c>
      <c r="I15" s="29">
        <v>0.40625</v>
      </c>
      <c r="J15" s="2" t="s">
        <v>92</v>
      </c>
      <c r="K15" s="1" t="s">
        <v>273</v>
      </c>
      <c r="L15" s="72" t="s">
        <v>1405</v>
      </c>
      <c r="M15" s="1" t="s">
        <v>274</v>
      </c>
      <c r="N15" s="1" t="s">
        <v>275</v>
      </c>
      <c r="O15" s="1" t="s">
        <v>276</v>
      </c>
      <c r="P15" s="1">
        <v>99204</v>
      </c>
      <c r="Q15" s="1" t="s">
        <v>277</v>
      </c>
      <c r="R15" s="1" t="s">
        <v>278</v>
      </c>
      <c r="S15" s="1" t="s">
        <v>57</v>
      </c>
      <c r="T15" s="1" t="s">
        <v>57</v>
      </c>
      <c r="U15" s="1">
        <v>50</v>
      </c>
      <c r="V15" s="17">
        <v>400</v>
      </c>
      <c r="W15" s="9">
        <f>80/(100)</f>
        <v>0.80000000000000004</v>
      </c>
      <c r="X15" s="7">
        <v>80</v>
      </c>
      <c r="Y15" s="15">
        <v>45</v>
      </c>
      <c r="Z15" s="16">
        <v>125</v>
      </c>
      <c r="AA15" s="14">
        <v>275</v>
      </c>
      <c r="AB15" s="1" t="s">
        <v>118</v>
      </c>
      <c r="AC15" s="1" t="b">
        <v>1</v>
      </c>
      <c r="AD15" s="1">
        <v>45294</v>
      </c>
      <c r="AE15" s="1" t="b">
        <v>0</v>
      </c>
      <c r="AF15" s="1" t="b">
        <v>0</v>
      </c>
      <c r="AG15" s="1" t="b">
        <v>1</v>
      </c>
      <c r="AH15" s="1" t="b">
        <v>0</v>
      </c>
      <c r="AI15" s="1" t="s">
        <v>1236</v>
      </c>
      <c r="AJ15" s="1">
        <v>4</v>
      </c>
      <c r="AK15" s="1" t="s">
        <v>279</v>
      </c>
      <c r="AL15" s="1">
        <v>90</v>
      </c>
      <c r="AM15" s="1" t="s">
        <v>61</v>
      </c>
      <c r="AN15" s="1" t="s">
        <v>280</v>
      </c>
      <c r="AO15" s="12">
        <f>Table18[[#This Row],[Visit Cost]]*(1-Table18[[#This Row],[Insurance Coverage Pct]]/100)+Table18[[#This Row],[Copay Amount]]+Table18[[#This Row],[Deductible Applied]]</f>
        <v>521.79999999999995</v>
      </c>
    </row>
    <row r="16" spans="1:41" ht="15">
      <c r="A16" s="3" t="s">
        <v>281</v>
      </c>
      <c r="B16" s="1" t="s">
        <v>1262</v>
      </c>
      <c r="C16" s="2">
        <v>21531</v>
      </c>
      <c r="D16" s="1" t="s">
        <v>45</v>
      </c>
      <c r="E16" s="1" t="s">
        <v>284</v>
      </c>
      <c r="F16" s="1" t="s">
        <v>89</v>
      </c>
      <c r="G16" s="1" t="s">
        <v>285</v>
      </c>
      <c r="H16" s="28">
        <v>45324</v>
      </c>
      <c r="I16" s="29">
        <v>0.60416666666666663</v>
      </c>
      <c r="J16" s="2" t="s">
        <v>144</v>
      </c>
      <c r="K16" s="1" t="s">
        <v>286</v>
      </c>
      <c r="L16" s="72" t="s">
        <v>1406</v>
      </c>
      <c r="M16" s="1" t="s">
        <v>287</v>
      </c>
      <c r="N16" s="1" t="s">
        <v>288</v>
      </c>
      <c r="O16" s="1" t="s">
        <v>289</v>
      </c>
      <c r="P16" s="1">
        <v>99221</v>
      </c>
      <c r="Q16" s="1" t="s">
        <v>290</v>
      </c>
      <c r="R16" s="1" t="s">
        <v>57</v>
      </c>
      <c r="S16" s="1" t="s">
        <v>57</v>
      </c>
      <c r="T16" s="1">
        <v>66984</v>
      </c>
      <c r="U16" s="1">
        <v>75</v>
      </c>
      <c r="V16" s="17">
        <v>3500</v>
      </c>
      <c r="W16" s="9">
        <f>80/(100)</f>
        <v>0.80000000000000004</v>
      </c>
      <c r="X16" s="7">
        <v>700</v>
      </c>
      <c r="Y16" s="15">
        <v>200</v>
      </c>
      <c r="Z16" s="16">
        <v>900</v>
      </c>
      <c r="AA16" s="14">
        <v>2600</v>
      </c>
      <c r="AB16" s="1" t="s">
        <v>80</v>
      </c>
      <c r="AC16" s="1" t="b">
        <v>1</v>
      </c>
      <c r="AD16" s="1" t="s">
        <v>81</v>
      </c>
      <c r="AE16" s="1" t="b">
        <v>0</v>
      </c>
      <c r="AF16" s="1" t="b">
        <v>1</v>
      </c>
      <c r="AG16" s="1" t="b">
        <v>1</v>
      </c>
      <c r="AH16" s="1" t="b">
        <v>0</v>
      </c>
      <c r="AI16" s="1" t="s">
        <v>1236</v>
      </c>
      <c r="AJ16" s="1">
        <v>5</v>
      </c>
      <c r="AK16" s="1" t="s">
        <v>291</v>
      </c>
      <c r="AL16" s="1">
        <v>92</v>
      </c>
      <c r="AM16" s="1" t="s">
        <v>172</v>
      </c>
      <c r="AN16" s="1" t="s">
        <v>292</v>
      </c>
      <c r="AO16" s="12">
        <f>Table18[[#This Row],[Visit Cost]]*(1-Table18[[#This Row],[Insurance Coverage Pct]]/100)+Table18[[#This Row],[Copay Amount]]+Table18[[#This Row],[Deductible Applied]]</f>
        <v>4372</v>
      </c>
    </row>
    <row r="17" spans="1:41" ht="15">
      <c r="A17" s="3" t="s">
        <v>293</v>
      </c>
      <c r="B17" s="1" t="s">
        <v>1263</v>
      </c>
      <c r="C17" s="2">
        <v>34037</v>
      </c>
      <c r="D17" s="1" t="s">
        <v>67</v>
      </c>
      <c r="E17" s="1" t="s">
        <v>296</v>
      </c>
      <c r="F17" s="1" t="s">
        <v>69</v>
      </c>
      <c r="G17" s="1" t="s">
        <v>297</v>
      </c>
      <c r="H17" s="28">
        <v>45414</v>
      </c>
      <c r="I17" s="29">
        <v>0.41666666666666669</v>
      </c>
      <c r="J17" s="2" t="s">
        <v>180</v>
      </c>
      <c r="K17" s="1" t="s">
        <v>181</v>
      </c>
      <c r="L17" s="72" t="s">
        <v>1407</v>
      </c>
      <c r="M17" s="1" t="s">
        <v>182</v>
      </c>
      <c r="N17" s="1" t="s">
        <v>298</v>
      </c>
      <c r="O17" s="1" t="s">
        <v>299</v>
      </c>
      <c r="P17" s="1">
        <v>99211</v>
      </c>
      <c r="Q17" s="1" t="s">
        <v>57</v>
      </c>
      <c r="R17" s="1" t="s">
        <v>300</v>
      </c>
      <c r="S17" s="1" t="s">
        <v>57</v>
      </c>
      <c r="T17" s="1" t="s">
        <v>57</v>
      </c>
      <c r="U17" s="1">
        <v>30</v>
      </c>
      <c r="V17" s="17">
        <v>100</v>
      </c>
      <c r="W17" s="9">
        <f>100/(100)</f>
        <v>1</v>
      </c>
      <c r="X17" s="7">
        <v>0</v>
      </c>
      <c r="Y17" s="15">
        <v>0</v>
      </c>
      <c r="Z17" s="16">
        <v>0</v>
      </c>
      <c r="AA17" s="14">
        <v>100</v>
      </c>
      <c r="AB17" s="1" t="s">
        <v>69</v>
      </c>
      <c r="AC17" s="1" t="b">
        <v>0</v>
      </c>
      <c r="AD17" s="1" t="s">
        <v>1235</v>
      </c>
      <c r="AE17" s="1" t="b">
        <v>0</v>
      </c>
      <c r="AF17" s="1" t="b">
        <v>0</v>
      </c>
      <c r="AG17" s="1" t="b">
        <v>0</v>
      </c>
      <c r="AH17" s="1" t="b">
        <v>0</v>
      </c>
      <c r="AI17" s="1" t="s">
        <v>1236</v>
      </c>
      <c r="AJ17" s="1">
        <v>5</v>
      </c>
      <c r="AK17" s="1" t="s">
        <v>301</v>
      </c>
      <c r="AL17" s="1">
        <v>99</v>
      </c>
      <c r="AM17" s="1" t="s">
        <v>61</v>
      </c>
      <c r="AN17" s="1" t="s">
        <v>302</v>
      </c>
      <c r="AO17" s="12">
        <f>Table18[[#This Row],[Visit Cost]]*(1-Table18[[#This Row],[Insurance Coverage Pct]]/100)+Table18[[#This Row],[Copay Amount]]+Table18[[#This Row],[Deductible Applied]]</f>
        <v>99</v>
      </c>
    </row>
    <row r="18" spans="1:41" ht="15">
      <c r="A18" s="3" t="s">
        <v>303</v>
      </c>
      <c r="B18" s="1" t="s">
        <v>1264</v>
      </c>
      <c r="C18" s="2" t="s">
        <v>306</v>
      </c>
      <c r="D18" s="1" t="s">
        <v>45</v>
      </c>
      <c r="E18" s="1" t="s">
        <v>307</v>
      </c>
      <c r="F18" s="1" t="s">
        <v>47</v>
      </c>
      <c r="G18" s="1" t="s">
        <v>308</v>
      </c>
      <c r="H18" s="28">
        <v>45445</v>
      </c>
      <c r="I18" s="29">
        <v>0.67708333333333337</v>
      </c>
      <c r="J18" s="2" t="s">
        <v>1238</v>
      </c>
      <c r="K18" s="1" t="s">
        <v>309</v>
      </c>
      <c r="L18" s="72" t="s">
        <v>1408</v>
      </c>
      <c r="M18" s="1" t="s">
        <v>310</v>
      </c>
      <c r="N18" s="1" t="s">
        <v>1494</v>
      </c>
      <c r="O18" s="1" t="s">
        <v>312</v>
      </c>
      <c r="P18" s="1">
        <v>99213</v>
      </c>
      <c r="Q18" s="1" t="s">
        <v>313</v>
      </c>
      <c r="R18" s="1" t="s">
        <v>233</v>
      </c>
      <c r="S18" s="1" t="s">
        <v>57</v>
      </c>
      <c r="T18" s="1" t="s">
        <v>57</v>
      </c>
      <c r="U18" s="1">
        <v>25</v>
      </c>
      <c r="V18" s="17">
        <v>190</v>
      </c>
      <c r="W18" s="9">
        <f>75/(100)</f>
        <v>0.75</v>
      </c>
      <c r="X18" s="7">
        <v>47.5</v>
      </c>
      <c r="Y18" s="15">
        <v>30</v>
      </c>
      <c r="Z18" s="16">
        <v>77.5</v>
      </c>
      <c r="AA18" s="14">
        <v>112.5</v>
      </c>
      <c r="AB18" s="1" t="s">
        <v>58</v>
      </c>
      <c r="AC18" s="1" t="b">
        <v>0</v>
      </c>
      <c r="AD18" s="1" t="s">
        <v>1235</v>
      </c>
      <c r="AE18" s="1" t="b">
        <v>0</v>
      </c>
      <c r="AF18" s="1" t="b">
        <v>0</v>
      </c>
      <c r="AG18" s="1" t="b">
        <v>0</v>
      </c>
      <c r="AH18" s="1" t="b">
        <v>0</v>
      </c>
      <c r="AI18" s="1" t="s">
        <v>1236</v>
      </c>
      <c r="AJ18" s="1">
        <v>4</v>
      </c>
      <c r="AK18" s="1" t="s">
        <v>314</v>
      </c>
      <c r="AL18" s="1">
        <v>93</v>
      </c>
      <c r="AM18" s="1" t="s">
        <v>61</v>
      </c>
      <c r="AN18" s="1" t="s">
        <v>315</v>
      </c>
      <c r="AO18" s="12">
        <f>Table18[[#This Row],[Visit Cost]]*(1-Table18[[#This Row],[Insurance Coverage Pct]]/100)+Table18[[#This Row],[Copay Amount]]+Table18[[#This Row],[Deductible Applied]]</f>
        <v>266.07500000000005</v>
      </c>
    </row>
    <row r="19" spans="1:41" ht="15">
      <c r="A19" s="3" t="s">
        <v>316</v>
      </c>
      <c r="B19" s="1" t="s">
        <v>1265</v>
      </c>
      <c r="C19" s="2">
        <v>32695</v>
      </c>
      <c r="D19" s="1" t="s">
        <v>67</v>
      </c>
      <c r="E19" s="1" t="s">
        <v>319</v>
      </c>
      <c r="F19" s="1" t="s">
        <v>127</v>
      </c>
      <c r="G19" s="1" t="s">
        <v>320</v>
      </c>
      <c r="H19" s="28">
        <v>45475</v>
      </c>
      <c r="I19" s="29">
        <v>0.36458333333333331</v>
      </c>
      <c r="J19" s="2" t="s">
        <v>50</v>
      </c>
      <c r="K19" s="1" t="s">
        <v>321</v>
      </c>
      <c r="L19" s="72" t="s">
        <v>1409</v>
      </c>
      <c r="M19" s="1" t="s">
        <v>322</v>
      </c>
      <c r="N19" s="1" t="s">
        <v>323</v>
      </c>
      <c r="O19" s="1" t="s">
        <v>324</v>
      </c>
      <c r="P19" s="1">
        <v>99214</v>
      </c>
      <c r="Q19" s="1" t="s">
        <v>325</v>
      </c>
      <c r="R19" s="1" t="s">
        <v>57</v>
      </c>
      <c r="S19" s="1" t="s">
        <v>57</v>
      </c>
      <c r="T19" s="1" t="s">
        <v>57</v>
      </c>
      <c r="U19" s="1">
        <v>50</v>
      </c>
      <c r="V19" s="17">
        <v>220</v>
      </c>
      <c r="W19" s="9">
        <f>100/(100)</f>
        <v>1</v>
      </c>
      <c r="X19" s="7">
        <v>0</v>
      </c>
      <c r="Y19" s="15">
        <v>0</v>
      </c>
      <c r="Z19" s="16">
        <v>0</v>
      </c>
      <c r="AA19" s="14">
        <v>220</v>
      </c>
      <c r="AB19" s="1" t="s">
        <v>127</v>
      </c>
      <c r="AC19" s="1" t="b">
        <v>1</v>
      </c>
      <c r="AD19" s="1">
        <v>45476</v>
      </c>
      <c r="AE19" s="1" t="b">
        <v>0</v>
      </c>
      <c r="AF19" s="1" t="b">
        <v>0</v>
      </c>
      <c r="AG19" s="1" t="b">
        <v>0</v>
      </c>
      <c r="AH19" s="1" t="b">
        <v>0</v>
      </c>
      <c r="AI19" s="1" t="s">
        <v>1236</v>
      </c>
      <c r="AJ19" s="1">
        <v>4</v>
      </c>
      <c r="AK19" s="1" t="s">
        <v>326</v>
      </c>
      <c r="AL19" s="1">
        <v>96</v>
      </c>
      <c r="AM19" s="1" t="s">
        <v>61</v>
      </c>
      <c r="AN19" s="1" t="s">
        <v>327</v>
      </c>
      <c r="AO19" s="12">
        <f>Table18[[#This Row],[Visit Cost]]*(1-Table18[[#This Row],[Insurance Coverage Pct]]/100)+Table18[[#This Row],[Copay Amount]]+Table18[[#This Row],[Deductible Applied]]</f>
        <v>217.80000000000001</v>
      </c>
    </row>
    <row r="20" spans="1:41" ht="15">
      <c r="A20" s="3" t="s">
        <v>328</v>
      </c>
      <c r="B20" s="1" t="s">
        <v>1266</v>
      </c>
      <c r="C20" s="2" t="s">
        <v>331</v>
      </c>
      <c r="D20" s="1" t="s">
        <v>45</v>
      </c>
      <c r="E20" s="1" t="s">
        <v>332</v>
      </c>
      <c r="F20" s="1" t="s">
        <v>47</v>
      </c>
      <c r="G20" s="1" t="s">
        <v>333</v>
      </c>
      <c r="H20" s="28">
        <v>45506</v>
      </c>
      <c r="I20" s="29">
        <v>0.5</v>
      </c>
      <c r="J20" s="2" t="s">
        <v>111</v>
      </c>
      <c r="K20" s="1" t="s">
        <v>93</v>
      </c>
      <c r="L20" s="72" t="s">
        <v>1410</v>
      </c>
      <c r="M20" s="1" t="s">
        <v>94</v>
      </c>
      <c r="N20" s="1" t="s">
        <v>334</v>
      </c>
      <c r="O20" s="1" t="s">
        <v>335</v>
      </c>
      <c r="P20" s="1">
        <v>99203</v>
      </c>
      <c r="Q20" s="1" t="s">
        <v>336</v>
      </c>
      <c r="R20" s="1" t="s">
        <v>337</v>
      </c>
      <c r="S20" s="1" t="s">
        <v>99</v>
      </c>
      <c r="T20" s="1" t="s">
        <v>57</v>
      </c>
      <c r="U20" s="1">
        <v>40</v>
      </c>
      <c r="V20" s="17">
        <v>275</v>
      </c>
      <c r="W20" s="9">
        <f>70/(100)</f>
        <v>0.69999999999999996</v>
      </c>
      <c r="X20" s="7">
        <v>82.5</v>
      </c>
      <c r="Y20" s="15">
        <v>50</v>
      </c>
      <c r="Z20" s="16">
        <v>132.5</v>
      </c>
      <c r="AA20" s="14">
        <v>142.5</v>
      </c>
      <c r="AB20" s="1" t="s">
        <v>80</v>
      </c>
      <c r="AC20" s="1" t="b">
        <v>1</v>
      </c>
      <c r="AD20" s="1" t="s">
        <v>151</v>
      </c>
      <c r="AE20" s="1" t="b">
        <v>0</v>
      </c>
      <c r="AF20" s="1" t="b">
        <v>1</v>
      </c>
      <c r="AG20" s="1" t="b">
        <v>0</v>
      </c>
      <c r="AH20" s="1" t="b">
        <v>0</v>
      </c>
      <c r="AI20" s="1" t="s">
        <v>1236</v>
      </c>
      <c r="AJ20" s="1">
        <v>3</v>
      </c>
      <c r="AK20" s="1" t="s">
        <v>338</v>
      </c>
      <c r="AL20" s="1">
        <v>88</v>
      </c>
      <c r="AM20" s="1" t="s">
        <v>61</v>
      </c>
      <c r="AN20" s="1" t="s">
        <v>339</v>
      </c>
      <c r="AO20" s="12">
        <f>Table18[[#This Row],[Visit Cost]]*(1-Table18[[#This Row],[Insurance Coverage Pct]]/100)+Table18[[#This Row],[Copay Amount]]+Table18[[#This Row],[Deductible Applied]]</f>
        <v>405.57499999999999</v>
      </c>
    </row>
    <row r="21" spans="1:41" ht="15">
      <c r="A21" s="3" t="s">
        <v>340</v>
      </c>
      <c r="B21" s="1" t="s">
        <v>1267</v>
      </c>
      <c r="C21" s="2" t="s">
        <v>343</v>
      </c>
      <c r="D21" s="1" t="s">
        <v>67</v>
      </c>
      <c r="E21" s="1" t="s">
        <v>344</v>
      </c>
      <c r="F21" s="1" t="s">
        <v>69</v>
      </c>
      <c r="G21" s="1" t="s">
        <v>345</v>
      </c>
      <c r="H21" s="28">
        <v>45537</v>
      </c>
      <c r="I21" s="29">
        <v>0.64583333333333337</v>
      </c>
      <c r="J21" s="2" t="s">
        <v>92</v>
      </c>
      <c r="K21" s="1" t="s">
        <v>346</v>
      </c>
      <c r="L21" s="72" t="s">
        <v>1411</v>
      </c>
      <c r="M21" s="1" t="s">
        <v>347</v>
      </c>
      <c r="N21" s="1" t="s">
        <v>348</v>
      </c>
      <c r="O21" s="1" t="s">
        <v>349</v>
      </c>
      <c r="P21" s="1">
        <v>99202</v>
      </c>
      <c r="Q21" s="1" t="s">
        <v>350</v>
      </c>
      <c r="R21" s="1" t="s">
        <v>351</v>
      </c>
      <c r="S21" s="1" t="s">
        <v>57</v>
      </c>
      <c r="T21" s="1" t="s">
        <v>57</v>
      </c>
      <c r="U21" s="1">
        <v>35</v>
      </c>
      <c r="V21" s="17">
        <v>175</v>
      </c>
      <c r="W21" s="9">
        <f>80/(100)</f>
        <v>0.80000000000000004</v>
      </c>
      <c r="X21" s="7">
        <v>35</v>
      </c>
      <c r="Y21" s="15">
        <v>25</v>
      </c>
      <c r="Z21" s="16">
        <v>60</v>
      </c>
      <c r="AA21" s="14">
        <v>115</v>
      </c>
      <c r="AB21" s="1" t="s">
        <v>58</v>
      </c>
      <c r="AC21" s="1" t="b">
        <v>1</v>
      </c>
      <c r="AD21" s="1">
        <v>45538</v>
      </c>
      <c r="AE21" s="1" t="b">
        <v>0</v>
      </c>
      <c r="AF21" s="1" t="b">
        <v>0</v>
      </c>
      <c r="AG21" s="1" t="b">
        <v>1</v>
      </c>
      <c r="AH21" s="1" t="b">
        <v>0</v>
      </c>
      <c r="AI21" s="1" t="s">
        <v>1236</v>
      </c>
      <c r="AJ21" s="1">
        <v>4</v>
      </c>
      <c r="AK21" s="1" t="s">
        <v>352</v>
      </c>
      <c r="AL21" s="1">
        <v>91</v>
      </c>
      <c r="AM21" s="1" t="s">
        <v>153</v>
      </c>
      <c r="AN21" s="1" t="s">
        <v>353</v>
      </c>
      <c r="AO21" s="12">
        <f>Table18[[#This Row],[Visit Cost]]*(1-Table18[[#This Row],[Insurance Coverage Pct]]/100)+Table18[[#This Row],[Copay Amount]]+Table18[[#This Row],[Deductible Applied]]</f>
        <v>233.59999999999999</v>
      </c>
    </row>
    <row r="22" spans="1:41" ht="15">
      <c r="A22" s="3" t="s">
        <v>354</v>
      </c>
      <c r="B22" s="1" t="s">
        <v>1268</v>
      </c>
      <c r="C22" s="2" t="s">
        <v>357</v>
      </c>
      <c r="D22" s="1" t="s">
        <v>45</v>
      </c>
      <c r="E22" s="1" t="s">
        <v>358</v>
      </c>
      <c r="F22" s="1" t="s">
        <v>47</v>
      </c>
      <c r="G22" s="1" t="s">
        <v>359</v>
      </c>
      <c r="H22" s="28">
        <v>45628</v>
      </c>
      <c r="I22" s="29">
        <v>0.375</v>
      </c>
      <c r="J22" s="2" t="s">
        <v>1238</v>
      </c>
      <c r="K22" s="1" t="s">
        <v>73</v>
      </c>
      <c r="L22" s="72" t="s">
        <v>1412</v>
      </c>
      <c r="M22" s="1" t="s">
        <v>74</v>
      </c>
      <c r="N22" s="1" t="s">
        <v>53</v>
      </c>
      <c r="O22" s="1" t="s">
        <v>54</v>
      </c>
      <c r="P22" s="1">
        <v>99214</v>
      </c>
      <c r="Q22" s="1" t="s">
        <v>360</v>
      </c>
      <c r="R22" s="1" t="s">
        <v>361</v>
      </c>
      <c r="S22" s="1" t="s">
        <v>57</v>
      </c>
      <c r="T22" s="1" t="s">
        <v>57</v>
      </c>
      <c r="U22" s="1">
        <v>30</v>
      </c>
      <c r="V22" s="17">
        <v>185</v>
      </c>
      <c r="W22" s="9">
        <f>80/(100)</f>
        <v>0.80000000000000004</v>
      </c>
      <c r="X22" s="7">
        <v>37</v>
      </c>
      <c r="Y22" s="15">
        <v>25</v>
      </c>
      <c r="Z22" s="16">
        <v>62</v>
      </c>
      <c r="AA22" s="14">
        <v>123</v>
      </c>
      <c r="AB22" s="1" t="s">
        <v>58</v>
      </c>
      <c r="AC22" s="1" t="b">
        <v>0</v>
      </c>
      <c r="AD22" s="1" t="s">
        <v>1235</v>
      </c>
      <c r="AE22" s="1" t="b">
        <v>0</v>
      </c>
      <c r="AF22" s="1" t="b">
        <v>0</v>
      </c>
      <c r="AG22" s="1" t="b">
        <v>0</v>
      </c>
      <c r="AH22" s="1" t="b">
        <v>0</v>
      </c>
      <c r="AI22" s="1" t="s">
        <v>1236</v>
      </c>
      <c r="AJ22" s="1">
        <v>5</v>
      </c>
      <c r="AK22" s="1" t="s">
        <v>362</v>
      </c>
      <c r="AL22" s="1">
        <v>94</v>
      </c>
      <c r="AM22" s="1" t="s">
        <v>61</v>
      </c>
      <c r="AN22" s="1" t="s">
        <v>363</v>
      </c>
      <c r="AO22" s="12">
        <f>Table18[[#This Row],[Visit Cost]]*(1-Table18[[#This Row],[Insurance Coverage Pct]]/100)+Table18[[#This Row],[Copay Amount]]+Table18[[#This Row],[Deductible Applied]]</f>
        <v>245.52000000000001</v>
      </c>
    </row>
    <row r="23" spans="1:41" ht="15">
      <c r="A23" s="3" t="s">
        <v>364</v>
      </c>
      <c r="B23" s="1" t="s">
        <v>1269</v>
      </c>
      <c r="C23" s="2" t="s">
        <v>367</v>
      </c>
      <c r="D23" s="1" t="s">
        <v>67</v>
      </c>
      <c r="E23" s="1" t="s">
        <v>368</v>
      </c>
      <c r="F23" s="1" t="s">
        <v>69</v>
      </c>
      <c r="G23" s="1" t="s">
        <v>369</v>
      </c>
      <c r="H23" s="28" t="s">
        <v>370</v>
      </c>
      <c r="I23" s="29">
        <v>0.61458333333333337</v>
      </c>
      <c r="J23" s="2" t="s">
        <v>144</v>
      </c>
      <c r="K23" s="1" t="s">
        <v>145</v>
      </c>
      <c r="L23" s="72" t="s">
        <v>1413</v>
      </c>
      <c r="M23" s="1" t="s">
        <v>146</v>
      </c>
      <c r="N23" s="1" t="s">
        <v>371</v>
      </c>
      <c r="O23" s="1" t="s">
        <v>372</v>
      </c>
      <c r="P23" s="1">
        <v>99222</v>
      </c>
      <c r="Q23" s="1" t="s">
        <v>373</v>
      </c>
      <c r="R23" s="1" t="s">
        <v>57</v>
      </c>
      <c r="S23" s="1" t="s">
        <v>374</v>
      </c>
      <c r="T23" s="1">
        <v>47600</v>
      </c>
      <c r="U23" s="1">
        <v>95</v>
      </c>
      <c r="V23" s="17">
        <v>9800</v>
      </c>
      <c r="W23" s="9">
        <f>75/(100)</f>
        <v>0.75</v>
      </c>
      <c r="X23" s="7">
        <v>2450</v>
      </c>
      <c r="Y23" s="15">
        <v>600</v>
      </c>
      <c r="Z23" s="16">
        <v>3050</v>
      </c>
      <c r="AA23" s="14">
        <v>6750</v>
      </c>
      <c r="AB23" s="1" t="s">
        <v>80</v>
      </c>
      <c r="AC23" s="1" t="b">
        <v>1</v>
      </c>
      <c r="AD23" s="1" t="s">
        <v>375</v>
      </c>
      <c r="AE23" s="1" t="b">
        <v>0</v>
      </c>
      <c r="AF23" s="1" t="b">
        <v>1</v>
      </c>
      <c r="AG23" s="1" t="b">
        <v>1</v>
      </c>
      <c r="AH23" s="1" t="b">
        <v>0</v>
      </c>
      <c r="AI23" s="1" t="s">
        <v>1236</v>
      </c>
      <c r="AJ23" s="1">
        <v>4</v>
      </c>
      <c r="AK23" s="1" t="s">
        <v>376</v>
      </c>
      <c r="AL23" s="1">
        <v>86</v>
      </c>
      <c r="AM23" s="1" t="s">
        <v>153</v>
      </c>
      <c r="AN23" s="1" t="s">
        <v>377</v>
      </c>
      <c r="AO23" s="12">
        <f>Table18[[#This Row],[Visit Cost]]*(1-Table18[[#This Row],[Insurance Coverage Pct]]/100)+Table18[[#This Row],[Copay Amount]]+Table18[[#This Row],[Deductible Applied]]</f>
        <v>12776.5</v>
      </c>
    </row>
    <row r="24" spans="1:41" ht="15">
      <c r="A24" s="3" t="s">
        <v>378</v>
      </c>
      <c r="B24" s="1" t="s">
        <v>1270</v>
      </c>
      <c r="C24" s="2">
        <v>20219</v>
      </c>
      <c r="D24" s="1" t="s">
        <v>45</v>
      </c>
      <c r="E24" s="1" t="s">
        <v>381</v>
      </c>
      <c r="F24" s="1" t="s">
        <v>89</v>
      </c>
      <c r="G24" s="1" t="s">
        <v>382</v>
      </c>
      <c r="H24" s="28" t="s">
        <v>383</v>
      </c>
      <c r="I24" s="29">
        <v>0.47916666666666669</v>
      </c>
      <c r="J24" s="2" t="s">
        <v>50</v>
      </c>
      <c r="K24" s="1" t="s">
        <v>130</v>
      </c>
      <c r="L24" s="72" t="s">
        <v>1414</v>
      </c>
      <c r="M24" s="1" t="s">
        <v>131</v>
      </c>
      <c r="N24" s="1" t="s">
        <v>384</v>
      </c>
      <c r="O24" s="1" t="s">
        <v>385</v>
      </c>
      <c r="P24" s="1">
        <v>99214</v>
      </c>
      <c r="Q24" s="1" t="s">
        <v>386</v>
      </c>
      <c r="R24" s="1" t="s">
        <v>135</v>
      </c>
      <c r="S24" s="1" t="s">
        <v>57</v>
      </c>
      <c r="T24" s="1" t="s">
        <v>57</v>
      </c>
      <c r="U24" s="1">
        <v>40</v>
      </c>
      <c r="V24" s="17">
        <v>210</v>
      </c>
      <c r="W24" s="9">
        <f>100/(100)</f>
        <v>1</v>
      </c>
      <c r="X24" s="7">
        <v>0</v>
      </c>
      <c r="Y24" s="15">
        <v>0</v>
      </c>
      <c r="Z24" s="16">
        <v>0</v>
      </c>
      <c r="AA24" s="14">
        <v>210</v>
      </c>
      <c r="AB24" s="1" t="s">
        <v>89</v>
      </c>
      <c r="AC24" s="1" t="b">
        <v>1</v>
      </c>
      <c r="AD24" s="1" t="s">
        <v>387</v>
      </c>
      <c r="AE24" s="1" t="b">
        <v>0</v>
      </c>
      <c r="AF24" s="1" t="b">
        <v>0</v>
      </c>
      <c r="AG24" s="1" t="b">
        <v>0</v>
      </c>
      <c r="AH24" s="1" t="b">
        <v>0</v>
      </c>
      <c r="AI24" s="1" t="s">
        <v>1236</v>
      </c>
      <c r="AJ24" s="1">
        <v>4</v>
      </c>
      <c r="AK24" s="1" t="s">
        <v>388</v>
      </c>
      <c r="AL24" s="1">
        <v>95</v>
      </c>
      <c r="AM24" s="1" t="s">
        <v>61</v>
      </c>
      <c r="AN24" s="1" t="s">
        <v>389</v>
      </c>
      <c r="AO24" s="12">
        <f>Table18[[#This Row],[Visit Cost]]*(1-Table18[[#This Row],[Insurance Coverage Pct]]/100)+Table18[[#This Row],[Copay Amount]]+Table18[[#This Row],[Deductible Applied]]</f>
        <v>207.90000000000001</v>
      </c>
    </row>
    <row r="25" spans="1:41" ht="15">
      <c r="A25" s="3" t="s">
        <v>390</v>
      </c>
      <c r="B25" s="1" t="s">
        <v>1271</v>
      </c>
      <c r="C25" s="2" t="s">
        <v>393</v>
      </c>
      <c r="D25" s="1" t="s">
        <v>67</v>
      </c>
      <c r="E25" s="1" t="s">
        <v>394</v>
      </c>
      <c r="F25" s="1" t="s">
        <v>47</v>
      </c>
      <c r="G25" s="1" t="s">
        <v>395</v>
      </c>
      <c r="H25" s="28" t="s">
        <v>59</v>
      </c>
      <c r="I25" s="29">
        <v>0.42708333333333331</v>
      </c>
      <c r="J25" s="2" t="s">
        <v>92</v>
      </c>
      <c r="K25" s="1" t="s">
        <v>245</v>
      </c>
      <c r="L25" s="72" t="s">
        <v>1415</v>
      </c>
      <c r="M25" s="1" t="s">
        <v>246</v>
      </c>
      <c r="N25" s="1" t="s">
        <v>396</v>
      </c>
      <c r="O25" s="1" t="s">
        <v>397</v>
      </c>
      <c r="P25" s="1">
        <v>99203</v>
      </c>
      <c r="Q25" s="1" t="s">
        <v>398</v>
      </c>
      <c r="R25" s="1" t="s">
        <v>57</v>
      </c>
      <c r="S25" s="1" t="s">
        <v>57</v>
      </c>
      <c r="T25" s="1" t="s">
        <v>57</v>
      </c>
      <c r="U25" s="1">
        <v>25</v>
      </c>
      <c r="V25" s="17">
        <v>200</v>
      </c>
      <c r="W25" s="9">
        <f>85/(100)</f>
        <v>0.84999999999999998</v>
      </c>
      <c r="X25" s="7">
        <v>30</v>
      </c>
      <c r="Y25" s="15">
        <v>20</v>
      </c>
      <c r="Z25" s="16">
        <v>50</v>
      </c>
      <c r="AA25" s="14">
        <v>150</v>
      </c>
      <c r="AB25" s="1" t="s">
        <v>118</v>
      </c>
      <c r="AC25" s="1" t="b">
        <v>1</v>
      </c>
      <c r="AD25" s="1" t="s">
        <v>264</v>
      </c>
      <c r="AE25" s="1" t="b">
        <v>0</v>
      </c>
      <c r="AF25" s="1" t="b">
        <v>0</v>
      </c>
      <c r="AG25" s="1" t="b">
        <v>1</v>
      </c>
      <c r="AH25" s="1" t="b">
        <v>0</v>
      </c>
      <c r="AI25" s="1" t="s">
        <v>1236</v>
      </c>
      <c r="AJ25" s="1">
        <v>3</v>
      </c>
      <c r="AK25" s="1" t="s">
        <v>399</v>
      </c>
      <c r="AL25" s="1">
        <v>89</v>
      </c>
      <c r="AM25" s="1" t="s">
        <v>61</v>
      </c>
      <c r="AN25" s="1" t="s">
        <v>400</v>
      </c>
      <c r="AO25" s="12">
        <f>Table18[[#This Row],[Visit Cost]]*(1-Table18[[#This Row],[Insurance Coverage Pct]]/100)+Table18[[#This Row],[Copay Amount]]+Table18[[#This Row],[Deductible Applied]]</f>
        <v>248.30000000000001</v>
      </c>
    </row>
    <row r="26" spans="1:41" ht="15">
      <c r="A26" s="3" t="s">
        <v>401</v>
      </c>
      <c r="B26" s="1" t="s">
        <v>1272</v>
      </c>
      <c r="C26" s="2">
        <v>23082</v>
      </c>
      <c r="D26" s="1" t="s">
        <v>45</v>
      </c>
      <c r="E26" s="1" t="s">
        <v>404</v>
      </c>
      <c r="F26" s="1" t="s">
        <v>127</v>
      </c>
      <c r="G26" s="1" t="s">
        <v>405</v>
      </c>
      <c r="H26" s="28" t="s">
        <v>81</v>
      </c>
      <c r="I26" s="29">
        <v>0.54166666666666663</v>
      </c>
      <c r="J26" s="2" t="s">
        <v>111</v>
      </c>
      <c r="K26" s="1" t="s">
        <v>130</v>
      </c>
      <c r="L26" s="72" t="s">
        <v>1416</v>
      </c>
      <c r="M26" s="1" t="s">
        <v>113</v>
      </c>
      <c r="N26" s="1" t="s">
        <v>406</v>
      </c>
      <c r="O26" s="1" t="s">
        <v>407</v>
      </c>
      <c r="P26" s="1">
        <v>99291</v>
      </c>
      <c r="Q26" s="1" t="s">
        <v>408</v>
      </c>
      <c r="R26" s="1" t="s">
        <v>117</v>
      </c>
      <c r="S26" s="1" t="s">
        <v>117</v>
      </c>
      <c r="T26" s="1" t="s">
        <v>57</v>
      </c>
      <c r="U26" s="1">
        <v>105</v>
      </c>
      <c r="V26" s="17">
        <v>650</v>
      </c>
      <c r="W26" s="9">
        <f>100/(100)</f>
        <v>1</v>
      </c>
      <c r="X26" s="7">
        <v>0</v>
      </c>
      <c r="Y26" s="15">
        <v>0</v>
      </c>
      <c r="Z26" s="16">
        <v>0</v>
      </c>
      <c r="AA26" s="14">
        <v>650</v>
      </c>
      <c r="AB26" s="1" t="s">
        <v>127</v>
      </c>
      <c r="AC26" s="1" t="b">
        <v>1</v>
      </c>
      <c r="AD26" s="1" t="s">
        <v>168</v>
      </c>
      <c r="AE26" s="1" t="b">
        <v>0</v>
      </c>
      <c r="AF26" s="1" t="b">
        <v>1</v>
      </c>
      <c r="AG26" s="1" t="b">
        <v>0</v>
      </c>
      <c r="AH26" s="1" t="b">
        <v>0</v>
      </c>
      <c r="AI26" s="1" t="s">
        <v>1236</v>
      </c>
      <c r="AJ26" s="1">
        <v>4</v>
      </c>
      <c r="AK26" s="1" t="s">
        <v>409</v>
      </c>
      <c r="AL26" s="1">
        <v>92</v>
      </c>
      <c r="AM26" s="1" t="s">
        <v>61</v>
      </c>
      <c r="AN26" s="1" t="s">
        <v>410</v>
      </c>
      <c r="AO26" s="12">
        <f>Table18[[#This Row],[Visit Cost]]*(1-Table18[[#This Row],[Insurance Coverage Pct]]/100)+Table18[[#This Row],[Copay Amount]]+Table18[[#This Row],[Deductible Applied]]</f>
        <v>643.5</v>
      </c>
    </row>
    <row r="27" spans="1:41" ht="15">
      <c r="A27" s="3" t="s">
        <v>411</v>
      </c>
      <c r="B27" s="1" t="s">
        <v>1273</v>
      </c>
      <c r="C27" s="2" t="s">
        <v>414</v>
      </c>
      <c r="D27" s="1" t="s">
        <v>67</v>
      </c>
      <c r="E27" s="1" t="s">
        <v>415</v>
      </c>
      <c r="F27" s="1" t="s">
        <v>47</v>
      </c>
      <c r="G27" s="1" t="s">
        <v>416</v>
      </c>
      <c r="H27" s="28" t="s">
        <v>417</v>
      </c>
      <c r="I27" s="29">
        <v>0.35416666666666669</v>
      </c>
      <c r="J27" s="2" t="s">
        <v>212</v>
      </c>
      <c r="K27" s="1" t="s">
        <v>1240</v>
      </c>
      <c r="L27" s="72" t="s">
        <v>1417</v>
      </c>
      <c r="M27" s="1" t="s">
        <v>214</v>
      </c>
      <c r="N27" s="1" t="s">
        <v>215</v>
      </c>
      <c r="O27" s="1" t="s">
        <v>216</v>
      </c>
      <c r="P27" s="1">
        <v>99213</v>
      </c>
      <c r="Q27" s="1" t="s">
        <v>217</v>
      </c>
      <c r="R27" s="1" t="s">
        <v>218</v>
      </c>
      <c r="S27" s="1" t="s">
        <v>218</v>
      </c>
      <c r="T27" s="1" t="s">
        <v>57</v>
      </c>
      <c r="U27" s="1">
        <v>35</v>
      </c>
      <c r="V27" s="17">
        <v>280</v>
      </c>
      <c r="W27" s="9">
        <f>80/(100)</f>
        <v>0.80000000000000004</v>
      </c>
      <c r="X27" s="7">
        <v>56</v>
      </c>
      <c r="Y27" s="15">
        <v>35</v>
      </c>
      <c r="Z27" s="16">
        <v>91</v>
      </c>
      <c r="AA27" s="14">
        <v>189</v>
      </c>
      <c r="AB27" s="1" t="s">
        <v>80</v>
      </c>
      <c r="AC27" s="1" t="b">
        <v>1</v>
      </c>
      <c r="AD27" s="1" t="s">
        <v>418</v>
      </c>
      <c r="AE27" s="1" t="b">
        <v>0</v>
      </c>
      <c r="AF27" s="1" t="b">
        <v>0</v>
      </c>
      <c r="AG27" s="1" t="b">
        <v>0</v>
      </c>
      <c r="AH27" s="1" t="b">
        <v>0</v>
      </c>
      <c r="AI27" s="1" t="s">
        <v>1236</v>
      </c>
      <c r="AJ27" s="1">
        <v>5</v>
      </c>
      <c r="AK27" s="1" t="s">
        <v>419</v>
      </c>
      <c r="AL27" s="1">
        <v>98</v>
      </c>
      <c r="AM27" s="1" t="s">
        <v>61</v>
      </c>
      <c r="AN27" s="1" t="s">
        <v>420</v>
      </c>
      <c r="AO27" s="12">
        <f>Table18[[#This Row],[Visit Cost]]*(1-Table18[[#This Row],[Insurance Coverage Pct]]/100)+Table18[[#This Row],[Copay Amount]]+Table18[[#This Row],[Deductible Applied]]</f>
        <v>368.75999999999999</v>
      </c>
    </row>
    <row r="28" spans="1:41" ht="15">
      <c r="A28" s="3" t="s">
        <v>421</v>
      </c>
      <c r="B28" s="1" t="s">
        <v>1274</v>
      </c>
      <c r="C28" s="2">
        <v>26246</v>
      </c>
      <c r="D28" s="1" t="s">
        <v>45</v>
      </c>
      <c r="E28" s="1" t="s">
        <v>424</v>
      </c>
      <c r="F28" s="1" t="s">
        <v>69</v>
      </c>
      <c r="G28" s="1" t="s">
        <v>425</v>
      </c>
      <c r="H28" s="28" t="s">
        <v>426</v>
      </c>
      <c r="I28" s="29">
        <v>0.65625</v>
      </c>
      <c r="J28" s="2" t="s">
        <v>1238</v>
      </c>
      <c r="K28" s="1" t="s">
        <v>194</v>
      </c>
      <c r="L28" s="72" t="s">
        <v>1418</v>
      </c>
      <c r="M28" s="1" t="s">
        <v>195</v>
      </c>
      <c r="N28" s="1" t="s">
        <v>427</v>
      </c>
      <c r="O28" s="1" t="s">
        <v>428</v>
      </c>
      <c r="P28" s="1">
        <v>99213</v>
      </c>
      <c r="Q28" s="1" t="s">
        <v>429</v>
      </c>
      <c r="R28" s="1" t="s">
        <v>430</v>
      </c>
      <c r="S28" s="1" t="s">
        <v>57</v>
      </c>
      <c r="T28" s="1" t="s">
        <v>57</v>
      </c>
      <c r="U28" s="1">
        <v>50</v>
      </c>
      <c r="V28" s="17">
        <v>240</v>
      </c>
      <c r="W28" s="9">
        <f>70/(100)</f>
        <v>0.69999999999999996</v>
      </c>
      <c r="X28" s="7">
        <v>72</v>
      </c>
      <c r="Y28" s="15">
        <v>45</v>
      </c>
      <c r="Z28" s="16">
        <v>117</v>
      </c>
      <c r="AA28" s="14">
        <v>123</v>
      </c>
      <c r="AB28" s="1" t="s">
        <v>58</v>
      </c>
      <c r="AC28" s="1" t="b">
        <v>1</v>
      </c>
      <c r="AD28" s="1" t="s">
        <v>431</v>
      </c>
      <c r="AE28" s="1" t="b">
        <v>0</v>
      </c>
      <c r="AF28" s="1" t="b">
        <v>0</v>
      </c>
      <c r="AG28" s="1" t="b">
        <v>0</v>
      </c>
      <c r="AH28" s="1" t="b">
        <v>1</v>
      </c>
      <c r="AI28" s="1" t="s">
        <v>432</v>
      </c>
      <c r="AJ28" s="1">
        <v>3</v>
      </c>
      <c r="AK28" s="1" t="s">
        <v>433</v>
      </c>
      <c r="AL28" s="1">
        <v>91</v>
      </c>
      <c r="AM28" s="1" t="s">
        <v>172</v>
      </c>
      <c r="AN28" s="1" t="s">
        <v>434</v>
      </c>
      <c r="AO28" s="12">
        <f>Table18[[#This Row],[Visit Cost]]*(1-Table18[[#This Row],[Insurance Coverage Pct]]/100)+Table18[[#This Row],[Copay Amount]]+Table18[[#This Row],[Deductible Applied]]</f>
        <v>355.31999999999999</v>
      </c>
    </row>
    <row r="29" spans="1:41" ht="15">
      <c r="A29" s="3" t="s">
        <v>435</v>
      </c>
      <c r="B29" s="1" t="s">
        <v>1275</v>
      </c>
      <c r="C29" s="2">
        <v>35644</v>
      </c>
      <c r="D29" s="1" t="s">
        <v>67</v>
      </c>
      <c r="E29" s="1" t="s">
        <v>438</v>
      </c>
      <c r="F29" s="1" t="s">
        <v>47</v>
      </c>
      <c r="G29" s="1" t="s">
        <v>439</v>
      </c>
      <c r="H29" s="28" t="s">
        <v>440</v>
      </c>
      <c r="I29" s="29">
        <v>0.40972222222222221</v>
      </c>
      <c r="J29" s="2" t="s">
        <v>180</v>
      </c>
      <c r="K29" s="1" t="s">
        <v>181</v>
      </c>
      <c r="L29" s="72" t="s">
        <v>1419</v>
      </c>
      <c r="M29" s="1" t="s">
        <v>182</v>
      </c>
      <c r="N29" s="1" t="s">
        <v>164</v>
      </c>
      <c r="O29" s="1" t="s">
        <v>165</v>
      </c>
      <c r="P29" s="1">
        <v>99212</v>
      </c>
      <c r="Q29" s="1" t="s">
        <v>166</v>
      </c>
      <c r="R29" s="1" t="s">
        <v>57</v>
      </c>
      <c r="S29" s="1" t="s">
        <v>57</v>
      </c>
      <c r="T29" s="1" t="s">
        <v>57</v>
      </c>
      <c r="U29" s="1">
        <v>20</v>
      </c>
      <c r="V29" s="17">
        <v>145</v>
      </c>
      <c r="W29" s="9">
        <f>90/(100)</f>
        <v>0.90000000000000002</v>
      </c>
      <c r="X29" s="7">
        <v>14.5</v>
      </c>
      <c r="Y29" s="15">
        <v>10</v>
      </c>
      <c r="Z29" s="16">
        <v>24.5</v>
      </c>
      <c r="AA29" s="14">
        <v>120.5</v>
      </c>
      <c r="AB29" s="1" t="s">
        <v>80</v>
      </c>
      <c r="AC29" s="1" t="b">
        <v>0</v>
      </c>
      <c r="AD29" s="1" t="s">
        <v>1235</v>
      </c>
      <c r="AE29" s="1" t="b">
        <v>0</v>
      </c>
      <c r="AF29" s="1" t="b">
        <v>0</v>
      </c>
      <c r="AG29" s="1" t="b">
        <v>0</v>
      </c>
      <c r="AH29" s="1" t="b">
        <v>0</v>
      </c>
      <c r="AI29" s="1" t="s">
        <v>1236</v>
      </c>
      <c r="AJ29" s="1">
        <v>4</v>
      </c>
      <c r="AK29" s="1" t="s">
        <v>441</v>
      </c>
      <c r="AL29" s="1">
        <v>93</v>
      </c>
      <c r="AM29" s="1" t="s">
        <v>61</v>
      </c>
      <c r="AN29" s="1" t="s">
        <v>442</v>
      </c>
      <c r="AO29" s="12">
        <f>Table18[[#This Row],[Visit Cost]]*(1-Table18[[#This Row],[Insurance Coverage Pct]]/100)+Table18[[#This Row],[Copay Amount]]+Table18[[#This Row],[Deductible Applied]]</f>
        <v>168.19499999999999</v>
      </c>
    </row>
    <row r="30" spans="1:41" ht="15">
      <c r="A30" s="3" t="s">
        <v>443</v>
      </c>
      <c r="B30" s="1" t="s">
        <v>1276</v>
      </c>
      <c r="C30" s="2" t="s">
        <v>446</v>
      </c>
      <c r="D30" s="1" t="s">
        <v>45</v>
      </c>
      <c r="E30" s="1" t="s">
        <v>447</v>
      </c>
      <c r="F30" s="1" t="s">
        <v>89</v>
      </c>
      <c r="G30" s="1" t="s">
        <v>448</v>
      </c>
      <c r="H30" s="28" t="s">
        <v>151</v>
      </c>
      <c r="I30" s="29">
        <v>0.51041666666666663</v>
      </c>
      <c r="J30" s="2" t="s">
        <v>144</v>
      </c>
      <c r="K30" s="1" t="s">
        <v>286</v>
      </c>
      <c r="L30" s="72" t="s">
        <v>1420</v>
      </c>
      <c r="M30" s="1" t="s">
        <v>287</v>
      </c>
      <c r="N30" s="1" t="s">
        <v>288</v>
      </c>
      <c r="O30" s="1" t="s">
        <v>289</v>
      </c>
      <c r="P30" s="1">
        <v>99221</v>
      </c>
      <c r="Q30" s="1" t="s">
        <v>290</v>
      </c>
      <c r="R30" s="1" t="s">
        <v>57</v>
      </c>
      <c r="S30" s="1" t="s">
        <v>57</v>
      </c>
      <c r="T30" s="1">
        <v>66984</v>
      </c>
      <c r="U30" s="1">
        <v>80</v>
      </c>
      <c r="V30" s="17">
        <v>3600</v>
      </c>
      <c r="W30" s="9">
        <f>80/(100)</f>
        <v>0.80000000000000004</v>
      </c>
      <c r="X30" s="7">
        <v>720</v>
      </c>
      <c r="Y30" s="15">
        <v>200</v>
      </c>
      <c r="Z30" s="16">
        <v>920</v>
      </c>
      <c r="AA30" s="14">
        <v>2680</v>
      </c>
      <c r="AB30" s="1" t="s">
        <v>80</v>
      </c>
      <c r="AC30" s="1" t="b">
        <v>1</v>
      </c>
      <c r="AD30" s="1">
        <v>45507</v>
      </c>
      <c r="AE30" s="1" t="b">
        <v>0</v>
      </c>
      <c r="AF30" s="1" t="b">
        <v>1</v>
      </c>
      <c r="AG30" s="1" t="b">
        <v>1</v>
      </c>
      <c r="AH30" s="1" t="b">
        <v>0</v>
      </c>
      <c r="AI30" s="1" t="s">
        <v>1236</v>
      </c>
      <c r="AJ30" s="1">
        <v>5</v>
      </c>
      <c r="AK30" s="1" t="s">
        <v>449</v>
      </c>
      <c r="AL30" s="1">
        <v>90</v>
      </c>
      <c r="AM30" s="1" t="s">
        <v>172</v>
      </c>
      <c r="AN30" s="1" t="s">
        <v>450</v>
      </c>
      <c r="AO30" s="12">
        <f>Table18[[#This Row],[Visit Cost]]*(1-Table18[[#This Row],[Insurance Coverage Pct]]/100)+Table18[[#This Row],[Copay Amount]]+Table18[[#This Row],[Deductible Applied]]</f>
        <v>4491.1999999999998</v>
      </c>
    </row>
    <row r="31" spans="1:41" ht="15">
      <c r="A31" s="3" t="s">
        <v>451</v>
      </c>
      <c r="B31" s="1" t="s">
        <v>1277</v>
      </c>
      <c r="C31" s="2" t="s">
        <v>454</v>
      </c>
      <c r="D31" s="1" t="s">
        <v>67</v>
      </c>
      <c r="E31" s="1" t="s">
        <v>455</v>
      </c>
      <c r="F31" s="1" t="s">
        <v>69</v>
      </c>
      <c r="G31" s="1" t="s">
        <v>456</v>
      </c>
      <c r="H31" s="28" t="s">
        <v>168</v>
      </c>
      <c r="I31" s="29">
        <v>0.6875</v>
      </c>
      <c r="J31" s="2" t="s">
        <v>92</v>
      </c>
      <c r="K31" s="1" t="s">
        <v>273</v>
      </c>
      <c r="L31" s="72" t="s">
        <v>1421</v>
      </c>
      <c r="M31" s="1" t="s">
        <v>274</v>
      </c>
      <c r="N31" s="1" t="s">
        <v>457</v>
      </c>
      <c r="O31" s="1" t="s">
        <v>458</v>
      </c>
      <c r="P31" s="1">
        <v>99204</v>
      </c>
      <c r="Q31" s="1" t="s">
        <v>459</v>
      </c>
      <c r="R31" s="1" t="s">
        <v>460</v>
      </c>
      <c r="S31" s="1" t="s">
        <v>57</v>
      </c>
      <c r="T31" s="1" t="s">
        <v>57</v>
      </c>
      <c r="U31" s="1">
        <v>55</v>
      </c>
      <c r="V31" s="17">
        <v>420</v>
      </c>
      <c r="W31" s="9">
        <f>75/(100)</f>
        <v>0.75</v>
      </c>
      <c r="X31" s="7">
        <v>105</v>
      </c>
      <c r="Y31" s="15">
        <v>60</v>
      </c>
      <c r="Z31" s="16">
        <v>165</v>
      </c>
      <c r="AA31" s="14">
        <v>255</v>
      </c>
      <c r="AB31" s="1" t="s">
        <v>118</v>
      </c>
      <c r="AC31" s="1" t="b">
        <v>1</v>
      </c>
      <c r="AD31" s="1" t="s">
        <v>461</v>
      </c>
      <c r="AE31" s="1" t="b">
        <v>0</v>
      </c>
      <c r="AF31" s="1" t="b">
        <v>0</v>
      </c>
      <c r="AG31" s="1" t="b">
        <v>1</v>
      </c>
      <c r="AH31" s="1" t="b">
        <v>0</v>
      </c>
      <c r="AI31" s="1" t="s">
        <v>1236</v>
      </c>
      <c r="AJ31" s="1">
        <v>4</v>
      </c>
      <c r="AK31" s="1" t="s">
        <v>462</v>
      </c>
      <c r="AL31" s="1">
        <v>87</v>
      </c>
      <c r="AM31" s="1" t="s">
        <v>61</v>
      </c>
      <c r="AN31" s="1" t="s">
        <v>463</v>
      </c>
      <c r="AO31" s="12">
        <f>Table18[[#This Row],[Visit Cost]]*(1-Table18[[#This Row],[Insurance Coverage Pct]]/100)+Table18[[#This Row],[Copay Amount]]+Table18[[#This Row],[Deductible Applied]]</f>
        <v>581.85000000000002</v>
      </c>
    </row>
    <row r="32" spans="1:41" ht="15">
      <c r="A32" s="3" t="s">
        <v>464</v>
      </c>
      <c r="B32" s="1" t="s">
        <v>1278</v>
      </c>
      <c r="C32" s="2">
        <v>28675</v>
      </c>
      <c r="D32" s="1" t="s">
        <v>45</v>
      </c>
      <c r="E32" s="1" t="s">
        <v>467</v>
      </c>
      <c r="F32" s="1" t="s">
        <v>47</v>
      </c>
      <c r="G32" s="1" t="s">
        <v>468</v>
      </c>
      <c r="H32" s="28" t="s">
        <v>219</v>
      </c>
      <c r="I32" s="29">
        <v>0.41666666666666669</v>
      </c>
      <c r="J32" s="2" t="s">
        <v>50</v>
      </c>
      <c r="K32" s="1" t="s">
        <v>309</v>
      </c>
      <c r="L32" s="72" t="s">
        <v>1422</v>
      </c>
      <c r="M32" s="1" t="s">
        <v>310</v>
      </c>
      <c r="N32" s="1" t="s">
        <v>469</v>
      </c>
      <c r="O32" s="1" t="s">
        <v>470</v>
      </c>
      <c r="P32" s="1">
        <v>99214</v>
      </c>
      <c r="Q32" s="1" t="s">
        <v>313</v>
      </c>
      <c r="R32" s="1" t="s">
        <v>471</v>
      </c>
      <c r="S32" s="1" t="s">
        <v>234</v>
      </c>
      <c r="T32" s="1" t="s">
        <v>57</v>
      </c>
      <c r="U32" s="1">
        <v>40</v>
      </c>
      <c r="V32" s="17">
        <v>550</v>
      </c>
      <c r="W32" s="9">
        <f>80/(100)</f>
        <v>0.80000000000000004</v>
      </c>
      <c r="X32" s="7">
        <v>110</v>
      </c>
      <c r="Y32" s="15">
        <v>50</v>
      </c>
      <c r="Z32" s="16">
        <v>160</v>
      </c>
      <c r="AA32" s="14">
        <v>390</v>
      </c>
      <c r="AB32" s="1" t="s">
        <v>58</v>
      </c>
      <c r="AC32" s="1" t="b">
        <v>1</v>
      </c>
      <c r="AD32" s="1" t="s">
        <v>472</v>
      </c>
      <c r="AE32" s="1" t="b">
        <v>0</v>
      </c>
      <c r="AF32" s="1" t="b">
        <v>0</v>
      </c>
      <c r="AG32" s="1" t="b">
        <v>0</v>
      </c>
      <c r="AH32" s="1" t="b">
        <v>0</v>
      </c>
      <c r="AI32" s="1" t="s">
        <v>1236</v>
      </c>
      <c r="AJ32" s="1">
        <v>3</v>
      </c>
      <c r="AK32" s="1" t="s">
        <v>473</v>
      </c>
      <c r="AL32" s="1">
        <v>88</v>
      </c>
      <c r="AM32" s="1" t="s">
        <v>153</v>
      </c>
      <c r="AN32" s="1" t="s">
        <v>474</v>
      </c>
      <c r="AO32" s="12">
        <f>Table18[[#This Row],[Visit Cost]]*(1-Table18[[#This Row],[Insurance Coverage Pct]]/100)+Table18[[#This Row],[Copay Amount]]+Table18[[#This Row],[Deductible Applied]]</f>
        <v>705.60000000000002</v>
      </c>
    </row>
    <row r="33" spans="1:41" ht="15">
      <c r="A33" s="3" t="s">
        <v>475</v>
      </c>
      <c r="B33" s="1" t="s">
        <v>1279</v>
      </c>
      <c r="C33" s="2" t="s">
        <v>478</v>
      </c>
      <c r="D33" s="1" t="s">
        <v>67</v>
      </c>
      <c r="E33" s="1" t="s">
        <v>479</v>
      </c>
      <c r="F33" s="1" t="s">
        <v>69</v>
      </c>
      <c r="G33" s="1" t="s">
        <v>480</v>
      </c>
      <c r="H33" s="28" t="s">
        <v>481</v>
      </c>
      <c r="I33" s="29">
        <v>0.59375</v>
      </c>
      <c r="J33" s="2" t="s">
        <v>111</v>
      </c>
      <c r="K33" s="1" t="s">
        <v>258</v>
      </c>
      <c r="L33" s="72" t="s">
        <v>1423</v>
      </c>
      <c r="M33" s="1" t="s">
        <v>259</v>
      </c>
      <c r="N33" s="1" t="s">
        <v>482</v>
      </c>
      <c r="O33" s="1" t="s">
        <v>483</v>
      </c>
      <c r="P33" s="1">
        <v>99202</v>
      </c>
      <c r="Q33" s="1" t="s">
        <v>484</v>
      </c>
      <c r="R33" s="1" t="s">
        <v>57</v>
      </c>
      <c r="S33" s="1" t="s">
        <v>57</v>
      </c>
      <c r="T33" s="1" t="s">
        <v>57</v>
      </c>
      <c r="U33" s="1">
        <v>25</v>
      </c>
      <c r="V33" s="17">
        <v>160</v>
      </c>
      <c r="W33" s="9">
        <f>70/(100)</f>
        <v>0.69999999999999996</v>
      </c>
      <c r="X33" s="7">
        <v>48</v>
      </c>
      <c r="Y33" s="15">
        <v>30</v>
      </c>
      <c r="Z33" s="16">
        <v>78</v>
      </c>
      <c r="AA33" s="14">
        <v>82</v>
      </c>
      <c r="AB33" s="1" t="s">
        <v>80</v>
      </c>
      <c r="AC33" s="1" t="b">
        <v>0</v>
      </c>
      <c r="AD33" s="1" t="s">
        <v>1235</v>
      </c>
      <c r="AE33" s="1" t="b">
        <v>0</v>
      </c>
      <c r="AF33" s="1" t="b">
        <v>1</v>
      </c>
      <c r="AG33" s="1" t="b">
        <v>0</v>
      </c>
      <c r="AH33" s="1" t="b">
        <v>0</v>
      </c>
      <c r="AI33" s="1" t="s">
        <v>1236</v>
      </c>
      <c r="AJ33" s="1">
        <v>4</v>
      </c>
      <c r="AK33" s="1" t="s">
        <v>485</v>
      </c>
      <c r="AL33" s="1">
        <v>94</v>
      </c>
      <c r="AM33" s="1" t="s">
        <v>61</v>
      </c>
      <c r="AN33" s="1" t="s">
        <v>486</v>
      </c>
      <c r="AO33" s="12">
        <f>Table18[[#This Row],[Visit Cost]]*(1-Table18[[#This Row],[Insurance Coverage Pct]]/100)+Table18[[#This Row],[Copay Amount]]+Table18[[#This Row],[Deductible Applied]]</f>
        <v>236.88</v>
      </c>
    </row>
    <row r="34" spans="1:41" ht="15">
      <c r="A34" s="3" t="s">
        <v>487</v>
      </c>
      <c r="B34" s="1" t="s">
        <v>1280</v>
      </c>
      <c r="C34" s="2">
        <v>24442</v>
      </c>
      <c r="D34" s="1" t="s">
        <v>45</v>
      </c>
      <c r="E34" s="1" t="s">
        <v>490</v>
      </c>
      <c r="F34" s="1" t="s">
        <v>127</v>
      </c>
      <c r="G34" s="1" t="s">
        <v>491</v>
      </c>
      <c r="H34" s="28" t="s">
        <v>492</v>
      </c>
      <c r="I34" s="29">
        <v>0.36458333333333331</v>
      </c>
      <c r="J34" s="2" t="s">
        <v>1238</v>
      </c>
      <c r="K34" s="1" t="s">
        <v>228</v>
      </c>
      <c r="L34" s="72" t="s">
        <v>1424</v>
      </c>
      <c r="M34" s="1" t="s">
        <v>229</v>
      </c>
      <c r="N34" s="1" t="s">
        <v>493</v>
      </c>
      <c r="O34" s="1" t="s">
        <v>494</v>
      </c>
      <c r="P34" s="1">
        <v>99215</v>
      </c>
      <c r="Q34" s="1" t="s">
        <v>495</v>
      </c>
      <c r="R34" s="1" t="s">
        <v>496</v>
      </c>
      <c r="S34" s="1" t="s">
        <v>150</v>
      </c>
      <c r="T34" s="1" t="s">
        <v>57</v>
      </c>
      <c r="U34" s="1">
        <v>60</v>
      </c>
      <c r="V34" s="17">
        <v>1200</v>
      </c>
      <c r="W34" s="9">
        <f>100/(100)</f>
        <v>1</v>
      </c>
      <c r="X34" s="7">
        <v>0</v>
      </c>
      <c r="Y34" s="15">
        <v>0</v>
      </c>
      <c r="Z34" s="16">
        <v>0</v>
      </c>
      <c r="AA34" s="14">
        <v>1200</v>
      </c>
      <c r="AB34" s="1" t="s">
        <v>127</v>
      </c>
      <c r="AC34" s="1" t="b">
        <v>1</v>
      </c>
      <c r="AD34" s="1" t="s">
        <v>497</v>
      </c>
      <c r="AE34" s="1" t="b">
        <v>0</v>
      </c>
      <c r="AF34" s="1" t="b">
        <v>0</v>
      </c>
      <c r="AG34" s="1" t="b">
        <v>0</v>
      </c>
      <c r="AH34" s="1" t="b">
        <v>0</v>
      </c>
      <c r="AI34" s="1" t="s">
        <v>1236</v>
      </c>
      <c r="AJ34" s="1">
        <v>4</v>
      </c>
      <c r="AK34" s="1" t="s">
        <v>498</v>
      </c>
      <c r="AL34" s="1">
        <v>96</v>
      </c>
      <c r="AM34" s="1" t="s">
        <v>61</v>
      </c>
      <c r="AN34" s="1" t="s">
        <v>499</v>
      </c>
      <c r="AO34" s="12">
        <f>Table18[[#This Row],[Visit Cost]]*(1-Table18[[#This Row],[Insurance Coverage Pct]]/100)+Table18[[#This Row],[Copay Amount]]+Table18[[#This Row],[Deductible Applied]]</f>
        <v>1188</v>
      </c>
    </row>
    <row r="35" spans="1:41" ht="15">
      <c r="A35" s="3" t="s">
        <v>500</v>
      </c>
      <c r="B35" s="1" t="s">
        <v>1281</v>
      </c>
      <c r="C35" s="2">
        <v>34457</v>
      </c>
      <c r="D35" s="1" t="s">
        <v>67</v>
      </c>
      <c r="E35" s="1" t="s">
        <v>503</v>
      </c>
      <c r="F35" s="1" t="s">
        <v>47</v>
      </c>
      <c r="G35" s="1" t="s">
        <v>504</v>
      </c>
      <c r="H35" s="28" t="s">
        <v>235</v>
      </c>
      <c r="I35" s="29">
        <v>0.47916666666666669</v>
      </c>
      <c r="J35" s="2" t="s">
        <v>92</v>
      </c>
      <c r="K35" s="1" t="s">
        <v>346</v>
      </c>
      <c r="L35" s="72" t="s">
        <v>1425</v>
      </c>
      <c r="M35" s="1" t="s">
        <v>347</v>
      </c>
      <c r="N35" s="1" t="s">
        <v>505</v>
      </c>
      <c r="O35" s="1" t="s">
        <v>506</v>
      </c>
      <c r="P35" s="1">
        <v>99203</v>
      </c>
      <c r="Q35" s="1" t="s">
        <v>507</v>
      </c>
      <c r="R35" s="1" t="s">
        <v>351</v>
      </c>
      <c r="S35" s="1" t="s">
        <v>57</v>
      </c>
      <c r="T35" s="1" t="s">
        <v>57</v>
      </c>
      <c r="U35" s="1">
        <v>40</v>
      </c>
      <c r="V35" s="17">
        <v>220</v>
      </c>
      <c r="W35" s="9">
        <f>85/(100)</f>
        <v>0.84999999999999998</v>
      </c>
      <c r="X35" s="7">
        <v>33</v>
      </c>
      <c r="Y35" s="15">
        <v>25</v>
      </c>
      <c r="Z35" s="16">
        <v>58</v>
      </c>
      <c r="AA35" s="14">
        <v>162</v>
      </c>
      <c r="AB35" s="1" t="s">
        <v>58</v>
      </c>
      <c r="AC35" s="1" t="b">
        <v>1</v>
      </c>
      <c r="AD35" s="1" t="s">
        <v>508</v>
      </c>
      <c r="AE35" s="1" t="b">
        <v>0</v>
      </c>
      <c r="AF35" s="1" t="b">
        <v>0</v>
      </c>
      <c r="AG35" s="1" t="b">
        <v>1</v>
      </c>
      <c r="AH35" s="1" t="b">
        <v>0</v>
      </c>
      <c r="AI35" s="1" t="s">
        <v>1236</v>
      </c>
      <c r="AJ35" s="1">
        <v>4</v>
      </c>
      <c r="AK35" s="1" t="s">
        <v>509</v>
      </c>
      <c r="AL35" s="1">
        <v>90</v>
      </c>
      <c r="AM35" s="1" t="s">
        <v>61</v>
      </c>
      <c r="AN35" s="1" t="s">
        <v>510</v>
      </c>
      <c r="AO35" s="12">
        <f>Table18[[#This Row],[Visit Cost]]*(1-Table18[[#This Row],[Insurance Coverage Pct]]/100)+Table18[[#This Row],[Copay Amount]]+Table18[[#This Row],[Deductible Applied]]</f>
        <v>276.13</v>
      </c>
    </row>
    <row r="36" spans="1:41" ht="15">
      <c r="A36" s="3" t="s">
        <v>511</v>
      </c>
      <c r="B36" s="1" t="s">
        <v>1282</v>
      </c>
      <c r="C36" s="2">
        <v>21769</v>
      </c>
      <c r="D36" s="1" t="s">
        <v>45</v>
      </c>
      <c r="E36" s="1" t="s">
        <v>514</v>
      </c>
      <c r="F36" s="1" t="s">
        <v>89</v>
      </c>
      <c r="G36" s="1" t="s">
        <v>515</v>
      </c>
      <c r="H36" s="28">
        <v>45294</v>
      </c>
      <c r="I36" s="29">
        <v>0.54166666666666663</v>
      </c>
      <c r="J36" s="2" t="s">
        <v>144</v>
      </c>
      <c r="K36" s="1" t="s">
        <v>93</v>
      </c>
      <c r="L36" s="72" t="s">
        <v>1426</v>
      </c>
      <c r="M36" s="1" t="s">
        <v>94</v>
      </c>
      <c r="N36" s="1" t="s">
        <v>516</v>
      </c>
      <c r="O36" s="1" t="s">
        <v>517</v>
      </c>
      <c r="P36" s="1">
        <v>99223</v>
      </c>
      <c r="Q36" s="1" t="s">
        <v>518</v>
      </c>
      <c r="R36" s="1" t="s">
        <v>57</v>
      </c>
      <c r="S36" s="1" t="s">
        <v>519</v>
      </c>
      <c r="T36" s="1">
        <v>27130</v>
      </c>
      <c r="U36" s="1">
        <v>120</v>
      </c>
      <c r="V36" s="17">
        <v>18500</v>
      </c>
      <c r="W36" s="9">
        <f>80/(100)</f>
        <v>0.80000000000000004</v>
      </c>
      <c r="X36" s="7">
        <v>3700</v>
      </c>
      <c r="Y36" s="15">
        <v>800</v>
      </c>
      <c r="Z36" s="16">
        <v>4500</v>
      </c>
      <c r="AA36" s="14">
        <v>14000</v>
      </c>
      <c r="AB36" s="1" t="s">
        <v>80</v>
      </c>
      <c r="AC36" s="1" t="b">
        <v>1</v>
      </c>
      <c r="AD36" s="1" t="s">
        <v>264</v>
      </c>
      <c r="AE36" s="1" t="b">
        <v>0</v>
      </c>
      <c r="AF36" s="1" t="b">
        <v>1</v>
      </c>
      <c r="AG36" s="1" t="b">
        <v>1</v>
      </c>
      <c r="AH36" s="1" t="b">
        <v>0</v>
      </c>
      <c r="AI36" s="1" t="s">
        <v>1236</v>
      </c>
      <c r="AJ36" s="1">
        <v>5</v>
      </c>
      <c r="AK36" s="1" t="s">
        <v>520</v>
      </c>
      <c r="AL36" s="1">
        <v>85</v>
      </c>
      <c r="AM36" s="1" t="s">
        <v>172</v>
      </c>
      <c r="AN36" s="1" t="s">
        <v>521</v>
      </c>
      <c r="AO36" s="12">
        <f>Table18[[#This Row],[Visit Cost]]*(1-Table18[[#This Row],[Insurance Coverage Pct]]/100)+Table18[[#This Row],[Copay Amount]]+Table18[[#This Row],[Deductible Applied]]</f>
        <v>22852</v>
      </c>
    </row>
    <row r="37" spans="1:41" ht="15">
      <c r="A37" s="3" t="s">
        <v>522</v>
      </c>
      <c r="B37" s="1" t="s">
        <v>1283</v>
      </c>
      <c r="C37" s="2" t="s">
        <v>525</v>
      </c>
      <c r="D37" s="1" t="s">
        <v>67</v>
      </c>
      <c r="E37" s="1" t="s">
        <v>526</v>
      </c>
      <c r="F37" s="1" t="s">
        <v>69</v>
      </c>
      <c r="G37" s="1" t="s">
        <v>527</v>
      </c>
      <c r="H37" s="28">
        <v>45385</v>
      </c>
      <c r="I37" s="29">
        <v>0.38541666666666669</v>
      </c>
      <c r="J37" s="2" t="s">
        <v>180</v>
      </c>
      <c r="K37" s="1" t="s">
        <v>181</v>
      </c>
      <c r="L37" s="72" t="s">
        <v>1427</v>
      </c>
      <c r="M37" s="1" t="s">
        <v>182</v>
      </c>
      <c r="N37" s="1" t="s">
        <v>528</v>
      </c>
      <c r="O37" s="1" t="s">
        <v>184</v>
      </c>
      <c r="P37" s="1">
        <v>99212</v>
      </c>
      <c r="Q37" s="1" t="s">
        <v>185</v>
      </c>
      <c r="R37" s="1" t="s">
        <v>57</v>
      </c>
      <c r="S37" s="1" t="s">
        <v>57</v>
      </c>
      <c r="T37" s="1" t="s">
        <v>57</v>
      </c>
      <c r="U37" s="1">
        <v>20</v>
      </c>
      <c r="V37" s="17">
        <v>135</v>
      </c>
      <c r="W37" s="9">
        <f>100/(100)</f>
        <v>1</v>
      </c>
      <c r="X37" s="7">
        <v>0</v>
      </c>
      <c r="Y37" s="15">
        <v>0</v>
      </c>
      <c r="Z37" s="16">
        <v>0</v>
      </c>
      <c r="AA37" s="14">
        <v>135</v>
      </c>
      <c r="AB37" s="1" t="s">
        <v>69</v>
      </c>
      <c r="AC37" s="1" t="b">
        <v>0</v>
      </c>
      <c r="AD37" s="1" t="s">
        <v>1235</v>
      </c>
      <c r="AE37" s="1" t="b">
        <v>0</v>
      </c>
      <c r="AF37" s="1" t="b">
        <v>0</v>
      </c>
      <c r="AG37" s="1" t="b">
        <v>0</v>
      </c>
      <c r="AH37" s="1" t="b">
        <v>0</v>
      </c>
      <c r="AI37" s="1" t="s">
        <v>1236</v>
      </c>
      <c r="AJ37" s="1">
        <v>5</v>
      </c>
      <c r="AK37" s="1" t="s">
        <v>529</v>
      </c>
      <c r="AL37" s="1">
        <v>97</v>
      </c>
      <c r="AM37" s="1" t="s">
        <v>61</v>
      </c>
      <c r="AN37" s="1" t="s">
        <v>530</v>
      </c>
      <c r="AO37" s="12">
        <f>Table18[[#This Row],[Visit Cost]]*(1-Table18[[#This Row],[Insurance Coverage Pct]]/100)+Table18[[#This Row],[Copay Amount]]+Table18[[#This Row],[Deductible Applied]]</f>
        <v>133.65000000000001</v>
      </c>
    </row>
    <row r="38" spans="1:41" ht="15">
      <c r="A38" s="3" t="s">
        <v>531</v>
      </c>
      <c r="B38" s="1" t="s">
        <v>1284</v>
      </c>
      <c r="C38" s="2">
        <v>26394</v>
      </c>
      <c r="D38" s="1" t="s">
        <v>45</v>
      </c>
      <c r="E38" s="1" t="s">
        <v>534</v>
      </c>
      <c r="F38" s="1" t="s">
        <v>47</v>
      </c>
      <c r="G38" s="1" t="s">
        <v>535</v>
      </c>
      <c r="H38" s="28">
        <v>45415</v>
      </c>
      <c r="I38" s="29">
        <v>0.64583333333333337</v>
      </c>
      <c r="J38" s="2" t="s">
        <v>50</v>
      </c>
      <c r="K38" s="1" t="s">
        <v>321</v>
      </c>
      <c r="L38" s="72" t="s">
        <v>1428</v>
      </c>
      <c r="M38" s="1" t="s">
        <v>322</v>
      </c>
      <c r="N38" s="1" t="s">
        <v>536</v>
      </c>
      <c r="O38" s="1" t="s">
        <v>537</v>
      </c>
      <c r="P38" s="1">
        <v>99214</v>
      </c>
      <c r="Q38" s="1" t="s">
        <v>538</v>
      </c>
      <c r="R38" s="1" t="s">
        <v>57</v>
      </c>
      <c r="S38" s="1" t="s">
        <v>57</v>
      </c>
      <c r="T38" s="1" t="s">
        <v>57</v>
      </c>
      <c r="U38" s="1">
        <v>45</v>
      </c>
      <c r="V38" s="17">
        <v>205</v>
      </c>
      <c r="W38" s="9">
        <f>75/(100)</f>
        <v>0.75</v>
      </c>
      <c r="X38" s="7">
        <v>51.25</v>
      </c>
      <c r="Y38" s="15">
        <v>35</v>
      </c>
      <c r="Z38" s="16">
        <v>86.25</v>
      </c>
      <c r="AA38" s="14">
        <v>118.75</v>
      </c>
      <c r="AB38" s="1" t="s">
        <v>118</v>
      </c>
      <c r="AC38" s="1" t="b">
        <v>1</v>
      </c>
      <c r="AD38" s="1">
        <v>45416</v>
      </c>
      <c r="AE38" s="1" t="b">
        <v>0</v>
      </c>
      <c r="AF38" s="1" t="b">
        <v>0</v>
      </c>
      <c r="AG38" s="1" t="b">
        <v>0</v>
      </c>
      <c r="AH38" s="1" t="b">
        <v>0</v>
      </c>
      <c r="AI38" s="1" t="s">
        <v>1236</v>
      </c>
      <c r="AJ38" s="1">
        <v>4</v>
      </c>
      <c r="AK38" s="1" t="s">
        <v>539</v>
      </c>
      <c r="AL38" s="1">
        <v>93</v>
      </c>
      <c r="AM38" s="1" t="s">
        <v>61</v>
      </c>
      <c r="AN38" s="1" t="s">
        <v>540</v>
      </c>
      <c r="AO38" s="12">
        <f>Table18[[#This Row],[Visit Cost]]*(1-Table18[[#This Row],[Insurance Coverage Pct]]/100)+Table18[[#This Row],[Copay Amount]]+Table18[[#This Row],[Deductible Applied]]</f>
        <v>289.71249999999998</v>
      </c>
    </row>
    <row r="39" spans="1:41" ht="15">
      <c r="A39" s="3" t="s">
        <v>541</v>
      </c>
      <c r="B39" s="1" t="s">
        <v>1285</v>
      </c>
      <c r="C39" s="2" t="s">
        <v>544</v>
      </c>
      <c r="D39" s="1" t="s">
        <v>67</v>
      </c>
      <c r="E39" s="1" t="s">
        <v>545</v>
      </c>
      <c r="F39" s="1" t="s">
        <v>127</v>
      </c>
      <c r="G39" s="1" t="s">
        <v>546</v>
      </c>
      <c r="H39" s="28">
        <v>45446</v>
      </c>
      <c r="I39" s="29">
        <v>0.33333333333333331</v>
      </c>
      <c r="J39" s="2" t="s">
        <v>1238</v>
      </c>
      <c r="K39" s="1" t="s">
        <v>162</v>
      </c>
      <c r="L39" s="72" t="s">
        <v>1429</v>
      </c>
      <c r="M39" s="1" t="s">
        <v>163</v>
      </c>
      <c r="N39" s="1" t="s">
        <v>1495</v>
      </c>
      <c r="O39" s="1" t="s">
        <v>548</v>
      </c>
      <c r="P39" s="1">
        <v>99213</v>
      </c>
      <c r="Q39" s="1" t="s">
        <v>549</v>
      </c>
      <c r="R39" s="1" t="s">
        <v>167</v>
      </c>
      <c r="S39" s="1" t="s">
        <v>57</v>
      </c>
      <c r="T39" s="1" t="s">
        <v>57</v>
      </c>
      <c r="U39" s="1">
        <v>35</v>
      </c>
      <c r="V39" s="17">
        <v>195</v>
      </c>
      <c r="W39" s="9">
        <f>100/(100)</f>
        <v>1</v>
      </c>
      <c r="X39" s="7">
        <v>0</v>
      </c>
      <c r="Y39" s="15">
        <v>0</v>
      </c>
      <c r="Z39" s="16">
        <v>0</v>
      </c>
      <c r="AA39" s="14">
        <v>195</v>
      </c>
      <c r="AB39" s="1" t="s">
        <v>127</v>
      </c>
      <c r="AC39" s="1" t="b">
        <v>0</v>
      </c>
      <c r="AD39" s="1" t="s">
        <v>1235</v>
      </c>
      <c r="AE39" s="1" t="b">
        <v>0</v>
      </c>
      <c r="AF39" s="1" t="b">
        <v>0</v>
      </c>
      <c r="AG39" s="1" t="b">
        <v>0</v>
      </c>
      <c r="AH39" s="1" t="b">
        <v>1</v>
      </c>
      <c r="AI39" s="1" t="s">
        <v>550</v>
      </c>
      <c r="AJ39" s="1">
        <v>3</v>
      </c>
      <c r="AK39" s="1" t="s">
        <v>551</v>
      </c>
      <c r="AL39" s="1">
        <v>92</v>
      </c>
      <c r="AM39" s="1" t="s">
        <v>172</v>
      </c>
      <c r="AN39" s="1" t="s">
        <v>552</v>
      </c>
      <c r="AO39" s="12">
        <f>Table18[[#This Row],[Visit Cost]]*(1-Table18[[#This Row],[Insurance Coverage Pct]]/100)+Table18[[#This Row],[Copay Amount]]+Table18[[#This Row],[Deductible Applied]]</f>
        <v>193.05000000000001</v>
      </c>
    </row>
    <row r="40" spans="1:41" ht="15">
      <c r="A40" s="3" t="s">
        <v>553</v>
      </c>
      <c r="B40" s="1" t="s">
        <v>1286</v>
      </c>
      <c r="C40" s="2" t="s">
        <v>556</v>
      </c>
      <c r="D40" s="1" t="s">
        <v>45</v>
      </c>
      <c r="E40" s="1" t="s">
        <v>557</v>
      </c>
      <c r="F40" s="1" t="s">
        <v>47</v>
      </c>
      <c r="G40" s="1" t="s">
        <v>558</v>
      </c>
      <c r="H40" s="28">
        <v>45476</v>
      </c>
      <c r="I40" s="29">
        <v>0.53125</v>
      </c>
      <c r="J40" s="2" t="s">
        <v>111</v>
      </c>
      <c r="K40" s="1" t="s">
        <v>245</v>
      </c>
      <c r="L40" s="72" t="s">
        <v>1430</v>
      </c>
      <c r="M40" s="1" t="s">
        <v>246</v>
      </c>
      <c r="N40" s="1" t="s">
        <v>559</v>
      </c>
      <c r="O40" s="1" t="s">
        <v>560</v>
      </c>
      <c r="P40" s="1">
        <v>99203</v>
      </c>
      <c r="Q40" s="1" t="s">
        <v>561</v>
      </c>
      <c r="R40" s="1" t="s">
        <v>57</v>
      </c>
      <c r="S40" s="1" t="s">
        <v>57</v>
      </c>
      <c r="T40" s="1" t="s">
        <v>57</v>
      </c>
      <c r="U40" s="1">
        <v>30</v>
      </c>
      <c r="V40" s="17">
        <v>225</v>
      </c>
      <c r="W40" s="9">
        <f>80/(100)</f>
        <v>0.80000000000000004</v>
      </c>
      <c r="X40" s="7">
        <v>45</v>
      </c>
      <c r="Y40" s="15">
        <v>30</v>
      </c>
      <c r="Z40" s="16">
        <v>75</v>
      </c>
      <c r="AA40" s="14">
        <v>150</v>
      </c>
      <c r="AB40" s="1" t="s">
        <v>80</v>
      </c>
      <c r="AC40" s="1" t="b">
        <v>1</v>
      </c>
      <c r="AD40" s="1" t="s">
        <v>387</v>
      </c>
      <c r="AE40" s="1" t="b">
        <v>0</v>
      </c>
      <c r="AF40" s="1" t="b">
        <v>1</v>
      </c>
      <c r="AG40" s="1" t="b">
        <v>0</v>
      </c>
      <c r="AH40" s="1" t="b">
        <v>0</v>
      </c>
      <c r="AI40" s="1" t="s">
        <v>1236</v>
      </c>
      <c r="AJ40" s="1">
        <v>3</v>
      </c>
      <c r="AK40" s="1" t="s">
        <v>562</v>
      </c>
      <c r="AL40" s="1">
        <v>89</v>
      </c>
      <c r="AM40" s="1" t="s">
        <v>61</v>
      </c>
      <c r="AN40" s="1" t="s">
        <v>563</v>
      </c>
      <c r="AO40" s="12">
        <f>Table18[[#This Row],[Visit Cost]]*(1-Table18[[#This Row],[Insurance Coverage Pct]]/100)+Table18[[#This Row],[Copay Amount]]+Table18[[#This Row],[Deductible Applied]]</f>
        <v>298.19999999999999</v>
      </c>
    </row>
    <row r="41" spans="1:41" ht="15">
      <c r="A41" s="3" t="s">
        <v>564</v>
      </c>
      <c r="B41" s="1" t="s">
        <v>1287</v>
      </c>
      <c r="C41" s="2">
        <v>34948</v>
      </c>
      <c r="D41" s="1" t="s">
        <v>67</v>
      </c>
      <c r="E41" s="1" t="s">
        <v>567</v>
      </c>
      <c r="F41" s="1" t="s">
        <v>69</v>
      </c>
      <c r="G41" s="1" t="s">
        <v>568</v>
      </c>
      <c r="H41" s="28">
        <v>45507</v>
      </c>
      <c r="I41" s="29">
        <v>0.70833333333333337</v>
      </c>
      <c r="J41" s="2" t="s">
        <v>92</v>
      </c>
      <c r="K41" s="1" t="s">
        <v>130</v>
      </c>
      <c r="L41" s="72" t="s">
        <v>1431</v>
      </c>
      <c r="M41" s="1" t="s">
        <v>131</v>
      </c>
      <c r="N41" s="1" t="s">
        <v>569</v>
      </c>
      <c r="O41" s="1" t="s">
        <v>570</v>
      </c>
      <c r="P41" s="1">
        <v>99204</v>
      </c>
      <c r="Q41" s="1" t="s">
        <v>571</v>
      </c>
      <c r="R41" s="1" t="s">
        <v>572</v>
      </c>
      <c r="S41" s="1" t="s">
        <v>57</v>
      </c>
      <c r="T41" s="1" t="s">
        <v>57</v>
      </c>
      <c r="U41" s="1">
        <v>50</v>
      </c>
      <c r="V41" s="17">
        <v>380</v>
      </c>
      <c r="W41" s="9">
        <f>70/(100)</f>
        <v>0.69999999999999996</v>
      </c>
      <c r="X41" s="7">
        <v>114</v>
      </c>
      <c r="Y41" s="15">
        <v>60</v>
      </c>
      <c r="Z41" s="16">
        <v>174</v>
      </c>
      <c r="AA41" s="14">
        <v>206</v>
      </c>
      <c r="AB41" s="1" t="s">
        <v>58</v>
      </c>
      <c r="AC41" s="1" t="b">
        <v>1</v>
      </c>
      <c r="AD41" s="1">
        <v>45508</v>
      </c>
      <c r="AE41" s="1" t="b">
        <v>0</v>
      </c>
      <c r="AF41" s="1" t="b">
        <v>0</v>
      </c>
      <c r="AG41" s="1" t="b">
        <v>1</v>
      </c>
      <c r="AH41" s="1" t="b">
        <v>0</v>
      </c>
      <c r="AI41" s="1" t="s">
        <v>1236</v>
      </c>
      <c r="AJ41" s="1">
        <v>4</v>
      </c>
      <c r="AK41" s="1" t="s">
        <v>573</v>
      </c>
      <c r="AL41" s="1">
        <v>91</v>
      </c>
      <c r="AM41" s="1" t="s">
        <v>153</v>
      </c>
      <c r="AN41" s="1" t="s">
        <v>574</v>
      </c>
      <c r="AO41" s="12">
        <f>Table18[[#This Row],[Visit Cost]]*(1-Table18[[#This Row],[Insurance Coverage Pct]]/100)+Table18[[#This Row],[Copay Amount]]+Table18[[#This Row],[Deductible Applied]]</f>
        <v>551.33999999999992</v>
      </c>
    </row>
    <row r="42" spans="1:41" ht="15">
      <c r="A42" s="3" t="s">
        <v>575</v>
      </c>
      <c r="B42" s="1" t="s">
        <v>1288</v>
      </c>
      <c r="C42" s="2" t="s">
        <v>578</v>
      </c>
      <c r="D42" s="1" t="s">
        <v>45</v>
      </c>
      <c r="E42" s="1" t="s">
        <v>579</v>
      </c>
      <c r="F42" s="1" t="s">
        <v>47</v>
      </c>
      <c r="G42" s="1" t="s">
        <v>580</v>
      </c>
      <c r="H42" s="28">
        <v>45599</v>
      </c>
      <c r="I42" s="29">
        <v>0.39583333333333331</v>
      </c>
      <c r="J42" s="2" t="s">
        <v>1238</v>
      </c>
      <c r="K42" s="1" t="s">
        <v>73</v>
      </c>
      <c r="L42" s="72" t="s">
        <v>1432</v>
      </c>
      <c r="M42" s="1" t="s">
        <v>74</v>
      </c>
      <c r="N42" s="1" t="s">
        <v>581</v>
      </c>
      <c r="O42" s="1" t="s">
        <v>582</v>
      </c>
      <c r="P42" s="1">
        <v>99215</v>
      </c>
      <c r="Q42" s="1" t="s">
        <v>583</v>
      </c>
      <c r="R42" s="1" t="s">
        <v>584</v>
      </c>
      <c r="S42" s="1" t="s">
        <v>585</v>
      </c>
      <c r="T42" s="1" t="s">
        <v>57</v>
      </c>
      <c r="U42" s="1">
        <v>55</v>
      </c>
      <c r="V42" s="17">
        <v>320</v>
      </c>
      <c r="W42" s="9">
        <f>80/(100)</f>
        <v>0.80000000000000004</v>
      </c>
      <c r="X42" s="7">
        <v>64</v>
      </c>
      <c r="Y42" s="15">
        <v>40</v>
      </c>
      <c r="Z42" s="16">
        <v>104</v>
      </c>
      <c r="AA42" s="14">
        <v>216</v>
      </c>
      <c r="AB42" s="1" t="s">
        <v>80</v>
      </c>
      <c r="AC42" s="1" t="b">
        <v>1</v>
      </c>
      <c r="AD42" s="1">
        <v>45600</v>
      </c>
      <c r="AE42" s="1" t="b">
        <v>0</v>
      </c>
      <c r="AF42" s="1" t="b">
        <v>0</v>
      </c>
      <c r="AG42" s="1" t="b">
        <v>0</v>
      </c>
      <c r="AH42" s="1" t="b">
        <v>0</v>
      </c>
      <c r="AI42" s="1" t="s">
        <v>1236</v>
      </c>
      <c r="AJ42" s="1">
        <v>4</v>
      </c>
      <c r="AK42" s="1" t="s">
        <v>586</v>
      </c>
      <c r="AL42" s="1">
        <v>90</v>
      </c>
      <c r="AM42" s="1" t="s">
        <v>61</v>
      </c>
      <c r="AN42" s="1" t="s">
        <v>587</v>
      </c>
      <c r="AO42" s="12">
        <f>Table18[[#This Row],[Visit Cost]]*(1-Table18[[#This Row],[Insurance Coverage Pct]]/100)+Table18[[#This Row],[Copay Amount]]+Table18[[#This Row],[Deductible Applied]]</f>
        <v>421.44</v>
      </c>
    </row>
    <row r="43" spans="1:41" ht="15">
      <c r="A43" s="3" t="s">
        <v>588</v>
      </c>
      <c r="B43" s="1" t="s">
        <v>1289</v>
      </c>
      <c r="C43" s="2">
        <v>28348</v>
      </c>
      <c r="D43" s="1" t="s">
        <v>67</v>
      </c>
      <c r="E43" s="1" t="s">
        <v>591</v>
      </c>
      <c r="F43" s="1" t="s">
        <v>69</v>
      </c>
      <c r="G43" s="1" t="s">
        <v>592</v>
      </c>
      <c r="H43" s="28">
        <v>45629</v>
      </c>
      <c r="I43" s="29">
        <v>0.59375</v>
      </c>
      <c r="J43" s="2" t="s">
        <v>144</v>
      </c>
      <c r="K43" s="1" t="s">
        <v>145</v>
      </c>
      <c r="L43" s="72" t="s">
        <v>1433</v>
      </c>
      <c r="M43" s="1" t="s">
        <v>146</v>
      </c>
      <c r="N43" s="1" t="s">
        <v>593</v>
      </c>
      <c r="O43" s="1" t="s">
        <v>594</v>
      </c>
      <c r="P43" s="1">
        <v>99221</v>
      </c>
      <c r="Q43" s="1" t="s">
        <v>595</v>
      </c>
      <c r="R43" s="1" t="s">
        <v>57</v>
      </c>
      <c r="S43" s="1" t="s">
        <v>57</v>
      </c>
      <c r="T43" s="1">
        <v>49560</v>
      </c>
      <c r="U43" s="1">
        <v>85</v>
      </c>
      <c r="V43" s="17">
        <v>7500</v>
      </c>
      <c r="W43" s="9">
        <f>75/(100)</f>
        <v>0.75</v>
      </c>
      <c r="X43" s="7">
        <v>1875</v>
      </c>
      <c r="Y43" s="15">
        <v>450</v>
      </c>
      <c r="Z43" s="16">
        <v>2325</v>
      </c>
      <c r="AA43" s="14">
        <v>5175</v>
      </c>
      <c r="AB43" s="1" t="s">
        <v>80</v>
      </c>
      <c r="AC43" s="1" t="b">
        <v>1</v>
      </c>
      <c r="AD43" s="1" t="s">
        <v>472</v>
      </c>
      <c r="AE43" s="1" t="b">
        <v>0</v>
      </c>
      <c r="AF43" s="1" t="b">
        <v>1</v>
      </c>
      <c r="AG43" s="1" t="b">
        <v>1</v>
      </c>
      <c r="AH43" s="1" t="b">
        <v>0</v>
      </c>
      <c r="AI43" s="1" t="s">
        <v>1236</v>
      </c>
      <c r="AJ43" s="1">
        <v>5</v>
      </c>
      <c r="AK43" s="1" t="s">
        <v>596</v>
      </c>
      <c r="AL43" s="1">
        <v>87</v>
      </c>
      <c r="AM43" s="1" t="s">
        <v>153</v>
      </c>
      <c r="AN43" s="1" t="s">
        <v>597</v>
      </c>
      <c r="AO43" s="12">
        <f>Table18[[#This Row],[Visit Cost]]*(1-Table18[[#This Row],[Insurance Coverage Pct]]/100)+Table18[[#This Row],[Copay Amount]]+Table18[[#This Row],[Deductible Applied]]</f>
        <v>9768.75</v>
      </c>
    </row>
    <row r="44" spans="1:41" ht="15">
      <c r="A44" s="3" t="s">
        <v>598</v>
      </c>
      <c r="B44" s="1" t="s">
        <v>1290</v>
      </c>
      <c r="C44" s="2" t="s">
        <v>601</v>
      </c>
      <c r="D44" s="1" t="s">
        <v>45</v>
      </c>
      <c r="E44" s="1" t="s">
        <v>602</v>
      </c>
      <c r="F44" s="1" t="s">
        <v>89</v>
      </c>
      <c r="G44" s="1" t="s">
        <v>603</v>
      </c>
      <c r="H44" s="28" t="s">
        <v>375</v>
      </c>
      <c r="I44" s="29">
        <v>0.44791666666666669</v>
      </c>
      <c r="J44" s="2" t="s">
        <v>50</v>
      </c>
      <c r="K44" s="1" t="s">
        <v>194</v>
      </c>
      <c r="L44" s="72" t="s">
        <v>1434</v>
      </c>
      <c r="M44" s="1" t="s">
        <v>195</v>
      </c>
      <c r="N44" s="1" t="s">
        <v>1496</v>
      </c>
      <c r="O44" s="1" t="s">
        <v>605</v>
      </c>
      <c r="P44" s="1">
        <v>99214</v>
      </c>
      <c r="Q44" s="1" t="s">
        <v>606</v>
      </c>
      <c r="R44" s="1" t="s">
        <v>57</v>
      </c>
      <c r="S44" s="1" t="s">
        <v>57</v>
      </c>
      <c r="T44" s="1" t="s">
        <v>57</v>
      </c>
      <c r="U44" s="1">
        <v>50</v>
      </c>
      <c r="V44" s="17">
        <v>280</v>
      </c>
      <c r="W44" s="9">
        <f>100/(100)</f>
        <v>1</v>
      </c>
      <c r="X44" s="7">
        <v>0</v>
      </c>
      <c r="Y44" s="15">
        <v>0</v>
      </c>
      <c r="Z44" s="16">
        <v>0</v>
      </c>
      <c r="AA44" s="14">
        <v>280</v>
      </c>
      <c r="AB44" s="1" t="s">
        <v>89</v>
      </c>
      <c r="AC44" s="1" t="b">
        <v>1</v>
      </c>
      <c r="AD44" s="1" t="s">
        <v>607</v>
      </c>
      <c r="AE44" s="1" t="b">
        <v>0</v>
      </c>
      <c r="AF44" s="1" t="b">
        <v>0</v>
      </c>
      <c r="AG44" s="1" t="b">
        <v>0</v>
      </c>
      <c r="AH44" s="1" t="b">
        <v>0</v>
      </c>
      <c r="AI44" s="1" t="s">
        <v>1236</v>
      </c>
      <c r="AJ44" s="1">
        <v>4</v>
      </c>
      <c r="AK44" s="1" t="s">
        <v>608</v>
      </c>
      <c r="AL44" s="1">
        <v>94</v>
      </c>
      <c r="AM44" s="1" t="s">
        <v>61</v>
      </c>
      <c r="AN44" s="1" t="s">
        <v>609</v>
      </c>
      <c r="AO44" s="12">
        <f>Table18[[#This Row],[Visit Cost]]*(1-Table18[[#This Row],[Insurance Coverage Pct]]/100)+Table18[[#This Row],[Copay Amount]]+Table18[[#This Row],[Deductible Applied]]</f>
        <v>277.19999999999999</v>
      </c>
    </row>
    <row r="45" spans="1:41" ht="15">
      <c r="A45" s="3" t="s">
        <v>610</v>
      </c>
      <c r="B45" s="1" t="s">
        <v>1291</v>
      </c>
      <c r="C45" s="2" t="s">
        <v>613</v>
      </c>
      <c r="D45" s="1" t="s">
        <v>67</v>
      </c>
      <c r="E45" s="1" t="s">
        <v>614</v>
      </c>
      <c r="F45" s="1" t="s">
        <v>47</v>
      </c>
      <c r="G45" s="1" t="s">
        <v>615</v>
      </c>
      <c r="H45" s="28" t="s">
        <v>387</v>
      </c>
      <c r="I45" s="29">
        <v>0.5</v>
      </c>
      <c r="J45" s="2" t="s">
        <v>92</v>
      </c>
      <c r="K45" s="1" t="s">
        <v>245</v>
      </c>
      <c r="L45" s="72" t="s">
        <v>1435</v>
      </c>
      <c r="M45" s="1" t="s">
        <v>246</v>
      </c>
      <c r="N45" s="1" t="s">
        <v>616</v>
      </c>
      <c r="O45" s="1" t="s">
        <v>617</v>
      </c>
      <c r="P45" s="1">
        <v>99204</v>
      </c>
      <c r="Q45" s="1" t="s">
        <v>618</v>
      </c>
      <c r="R45" s="1" t="s">
        <v>57</v>
      </c>
      <c r="S45" s="1" t="s">
        <v>57</v>
      </c>
      <c r="T45" s="1" t="s">
        <v>57</v>
      </c>
      <c r="U45" s="1">
        <v>40</v>
      </c>
      <c r="V45" s="17">
        <v>310</v>
      </c>
      <c r="W45" s="9">
        <f>85/(100)</f>
        <v>0.84999999999999998</v>
      </c>
      <c r="X45" s="7">
        <v>46.5</v>
      </c>
      <c r="Y45" s="15">
        <v>30</v>
      </c>
      <c r="Z45" s="16">
        <v>76.5</v>
      </c>
      <c r="AA45" s="14">
        <v>233.5</v>
      </c>
      <c r="AB45" s="1" t="s">
        <v>118</v>
      </c>
      <c r="AC45" s="1" t="b">
        <v>1</v>
      </c>
      <c r="AD45" s="1" t="s">
        <v>619</v>
      </c>
      <c r="AE45" s="1" t="b">
        <v>0</v>
      </c>
      <c r="AF45" s="1" t="b">
        <v>0</v>
      </c>
      <c r="AG45" s="1" t="b">
        <v>1</v>
      </c>
      <c r="AH45" s="1" t="b">
        <v>0</v>
      </c>
      <c r="AI45" s="1" t="s">
        <v>1236</v>
      </c>
      <c r="AJ45" s="1">
        <v>3</v>
      </c>
      <c r="AK45" s="1" t="s">
        <v>620</v>
      </c>
      <c r="AL45" s="1">
        <v>88</v>
      </c>
      <c r="AM45" s="1" t="s">
        <v>61</v>
      </c>
      <c r="AN45" s="1" t="s">
        <v>621</v>
      </c>
      <c r="AO45" s="12">
        <f>Table18[[#This Row],[Visit Cost]]*(1-Table18[[#This Row],[Insurance Coverage Pct]]/100)+Table18[[#This Row],[Copay Amount]]+Table18[[#This Row],[Deductible Applied]]</f>
        <v>383.86500000000001</v>
      </c>
    </row>
    <row r="46" spans="1:41" ht="15">
      <c r="A46" s="3" t="s">
        <v>622</v>
      </c>
      <c r="B46" s="1" t="s">
        <v>1292</v>
      </c>
      <c r="C46" s="2" t="s">
        <v>625</v>
      </c>
      <c r="D46" s="1" t="s">
        <v>45</v>
      </c>
      <c r="E46" s="1" t="s">
        <v>626</v>
      </c>
      <c r="F46" s="1" t="s">
        <v>127</v>
      </c>
      <c r="G46" s="1" t="s">
        <v>627</v>
      </c>
      <c r="H46" s="28" t="s">
        <v>264</v>
      </c>
      <c r="I46" s="29">
        <v>0.34375</v>
      </c>
      <c r="J46" s="2" t="s">
        <v>111</v>
      </c>
      <c r="K46" s="1" t="s">
        <v>130</v>
      </c>
      <c r="L46" s="72" t="s">
        <v>1436</v>
      </c>
      <c r="M46" s="1" t="s">
        <v>113</v>
      </c>
      <c r="N46" s="1" t="s">
        <v>147</v>
      </c>
      <c r="O46" s="1" t="s">
        <v>148</v>
      </c>
      <c r="P46" s="1">
        <v>99291</v>
      </c>
      <c r="Q46" s="1" t="s">
        <v>628</v>
      </c>
      <c r="R46" s="1" t="s">
        <v>57</v>
      </c>
      <c r="S46" s="1" t="s">
        <v>150</v>
      </c>
      <c r="T46" s="1">
        <v>44970</v>
      </c>
      <c r="U46" s="1">
        <v>110</v>
      </c>
      <c r="V46" s="17">
        <v>6200</v>
      </c>
      <c r="W46" s="9">
        <f>100/(100)</f>
        <v>1</v>
      </c>
      <c r="X46" s="7">
        <v>0</v>
      </c>
      <c r="Y46" s="15">
        <v>0</v>
      </c>
      <c r="Z46" s="16">
        <v>0</v>
      </c>
      <c r="AA46" s="14">
        <v>6200</v>
      </c>
      <c r="AB46" s="1" t="s">
        <v>127</v>
      </c>
      <c r="AC46" s="1" t="b">
        <v>1</v>
      </c>
      <c r="AD46" s="1" t="s">
        <v>629</v>
      </c>
      <c r="AE46" s="1" t="b">
        <v>0</v>
      </c>
      <c r="AF46" s="1" t="b">
        <v>1</v>
      </c>
      <c r="AG46" s="1" t="b">
        <v>0</v>
      </c>
      <c r="AH46" s="1" t="b">
        <v>0</v>
      </c>
      <c r="AI46" s="1" t="s">
        <v>1236</v>
      </c>
      <c r="AJ46" s="1">
        <v>4</v>
      </c>
      <c r="AK46" s="1" t="s">
        <v>630</v>
      </c>
      <c r="AL46" s="1">
        <v>93</v>
      </c>
      <c r="AM46" s="1" t="s">
        <v>61</v>
      </c>
      <c r="AN46" s="1" t="s">
        <v>631</v>
      </c>
      <c r="AO46" s="12">
        <f>Table18[[#This Row],[Visit Cost]]*(1-Table18[[#This Row],[Insurance Coverage Pct]]/100)+Table18[[#This Row],[Copay Amount]]+Table18[[#This Row],[Deductible Applied]]</f>
        <v>6138</v>
      </c>
    </row>
    <row r="47" spans="1:41" ht="15">
      <c r="A47" s="3" t="s">
        <v>632</v>
      </c>
      <c r="B47" s="1" t="s">
        <v>1293</v>
      </c>
      <c r="C47" s="2" t="s">
        <v>635</v>
      </c>
      <c r="D47" s="1" t="s">
        <v>67</v>
      </c>
      <c r="E47" s="1" t="s">
        <v>636</v>
      </c>
      <c r="F47" s="1" t="s">
        <v>47</v>
      </c>
      <c r="G47" s="1" t="s">
        <v>637</v>
      </c>
      <c r="H47" s="28" t="s">
        <v>638</v>
      </c>
      <c r="I47" s="29">
        <v>0.47916666666666669</v>
      </c>
      <c r="J47" s="2" t="s">
        <v>212</v>
      </c>
      <c r="K47" s="1" t="s">
        <v>1240</v>
      </c>
      <c r="L47" s="72" t="s">
        <v>1437</v>
      </c>
      <c r="M47" s="1" t="s">
        <v>214</v>
      </c>
      <c r="N47" s="1" t="s">
        <v>215</v>
      </c>
      <c r="O47" s="1" t="s">
        <v>216</v>
      </c>
      <c r="P47" s="1">
        <v>99213</v>
      </c>
      <c r="Q47" s="1" t="s">
        <v>217</v>
      </c>
      <c r="R47" s="1" t="s">
        <v>218</v>
      </c>
      <c r="S47" s="1" t="s">
        <v>218</v>
      </c>
      <c r="T47" s="1" t="s">
        <v>57</v>
      </c>
      <c r="U47" s="1">
        <v>35</v>
      </c>
      <c r="V47" s="17">
        <v>290</v>
      </c>
      <c r="W47" s="9">
        <f>80/(100)</f>
        <v>0.80000000000000004</v>
      </c>
      <c r="X47" s="7">
        <v>58</v>
      </c>
      <c r="Y47" s="15">
        <v>35</v>
      </c>
      <c r="Z47" s="16">
        <v>93</v>
      </c>
      <c r="AA47" s="14">
        <v>197</v>
      </c>
      <c r="AB47" s="1" t="s">
        <v>80</v>
      </c>
      <c r="AC47" s="1" t="b">
        <v>1</v>
      </c>
      <c r="AD47" s="1" t="s">
        <v>639</v>
      </c>
      <c r="AE47" s="1" t="b">
        <v>0</v>
      </c>
      <c r="AF47" s="1" t="b">
        <v>0</v>
      </c>
      <c r="AG47" s="1" t="b">
        <v>0</v>
      </c>
      <c r="AH47" s="1" t="b">
        <v>0</v>
      </c>
      <c r="AI47" s="1" t="s">
        <v>1236</v>
      </c>
      <c r="AJ47" s="1">
        <v>5</v>
      </c>
      <c r="AK47" s="1" t="s">
        <v>640</v>
      </c>
      <c r="AL47" s="1">
        <v>97</v>
      </c>
      <c r="AM47" s="1" t="s">
        <v>61</v>
      </c>
      <c r="AN47" s="1" t="s">
        <v>641</v>
      </c>
      <c r="AO47" s="12">
        <f>Table18[[#This Row],[Visit Cost]]*(1-Table18[[#This Row],[Insurance Coverage Pct]]/100)+Table18[[#This Row],[Copay Amount]]+Table18[[#This Row],[Deductible Applied]]</f>
        <v>380.68000000000001</v>
      </c>
    </row>
    <row r="48" spans="1:41" ht="15">
      <c r="A48" s="3" t="s">
        <v>642</v>
      </c>
      <c r="B48" s="1" t="s">
        <v>1294</v>
      </c>
      <c r="C48" s="2">
        <v>25146</v>
      </c>
      <c r="D48" s="1" t="s">
        <v>45</v>
      </c>
      <c r="E48" s="1" t="s">
        <v>644</v>
      </c>
      <c r="F48" s="1" t="s">
        <v>69</v>
      </c>
      <c r="G48" s="1" t="s">
        <v>645</v>
      </c>
      <c r="H48" s="28" t="s">
        <v>418</v>
      </c>
      <c r="I48" s="29">
        <v>0.69791666666666663</v>
      </c>
      <c r="J48" s="2" t="s">
        <v>1238</v>
      </c>
      <c r="K48" s="1" t="s">
        <v>258</v>
      </c>
      <c r="L48" s="72" t="s">
        <v>1438</v>
      </c>
      <c r="M48" s="1" t="s">
        <v>259</v>
      </c>
      <c r="N48" s="1" t="s">
        <v>1232</v>
      </c>
      <c r="O48" s="1" t="s">
        <v>647</v>
      </c>
      <c r="P48" s="1">
        <v>99213</v>
      </c>
      <c r="Q48" s="1" t="s">
        <v>648</v>
      </c>
      <c r="R48" s="1" t="s">
        <v>649</v>
      </c>
      <c r="S48" s="1" t="s">
        <v>650</v>
      </c>
      <c r="T48" s="1" t="s">
        <v>57</v>
      </c>
      <c r="U48" s="1">
        <v>60</v>
      </c>
      <c r="V48" s="17">
        <v>850</v>
      </c>
      <c r="W48" s="9">
        <f>70/(100)</f>
        <v>0.69999999999999996</v>
      </c>
      <c r="X48" s="7">
        <v>255</v>
      </c>
      <c r="Y48" s="15">
        <v>90</v>
      </c>
      <c r="Z48" s="16">
        <v>345</v>
      </c>
      <c r="AA48" s="14">
        <v>505</v>
      </c>
      <c r="AB48" s="1" t="s">
        <v>58</v>
      </c>
      <c r="AC48" s="1" t="b">
        <v>1</v>
      </c>
      <c r="AD48" s="1" t="s">
        <v>651</v>
      </c>
      <c r="AE48" s="1" t="b">
        <v>0</v>
      </c>
      <c r="AF48" s="1" t="b">
        <v>0</v>
      </c>
      <c r="AG48" s="1" t="b">
        <v>1</v>
      </c>
      <c r="AH48" s="1" t="b">
        <v>1</v>
      </c>
      <c r="AI48" s="1" t="s">
        <v>652</v>
      </c>
      <c r="AJ48" s="1">
        <v>3</v>
      </c>
      <c r="AK48" s="1" t="s">
        <v>653</v>
      </c>
      <c r="AL48" s="1">
        <v>86</v>
      </c>
      <c r="AM48" s="1" t="s">
        <v>172</v>
      </c>
      <c r="AN48" s="1" t="s">
        <v>654</v>
      </c>
      <c r="AO48" s="12">
        <f>Table18[[#This Row],[Visit Cost]]*(1-Table18[[#This Row],[Insurance Coverage Pct]]/100)+Table18[[#This Row],[Copay Amount]]+Table18[[#This Row],[Deductible Applied]]</f>
        <v>1189.05</v>
      </c>
    </row>
    <row r="49" spans="1:41" ht="15">
      <c r="A49" s="3" t="s">
        <v>655</v>
      </c>
      <c r="B49" s="1" t="s">
        <v>1295</v>
      </c>
      <c r="C49" s="2">
        <v>35922</v>
      </c>
      <c r="D49" s="1" t="s">
        <v>67</v>
      </c>
      <c r="E49" s="1" t="s">
        <v>658</v>
      </c>
      <c r="F49" s="1" t="s">
        <v>47</v>
      </c>
      <c r="G49" s="1" t="s">
        <v>659</v>
      </c>
      <c r="H49" s="28" t="s">
        <v>431</v>
      </c>
      <c r="I49" s="29">
        <v>0.375</v>
      </c>
      <c r="J49" s="2" t="s">
        <v>180</v>
      </c>
      <c r="K49" s="1" t="s">
        <v>181</v>
      </c>
      <c r="L49" s="72" t="s">
        <v>1439</v>
      </c>
      <c r="M49" s="1" t="s">
        <v>182</v>
      </c>
      <c r="N49" s="1" t="s">
        <v>1497</v>
      </c>
      <c r="O49" s="1" t="s">
        <v>661</v>
      </c>
      <c r="P49" s="1">
        <v>99212</v>
      </c>
      <c r="Q49" s="1" t="s">
        <v>662</v>
      </c>
      <c r="R49" s="1" t="s">
        <v>57</v>
      </c>
      <c r="S49" s="1" t="s">
        <v>57</v>
      </c>
      <c r="T49" s="1" t="s">
        <v>57</v>
      </c>
      <c r="U49" s="1">
        <v>30</v>
      </c>
      <c r="V49" s="17">
        <v>175</v>
      </c>
      <c r="W49" s="9">
        <f>90/(100)</f>
        <v>0.90000000000000002</v>
      </c>
      <c r="X49" s="7">
        <v>17.5</v>
      </c>
      <c r="Y49" s="15">
        <v>10</v>
      </c>
      <c r="Z49" s="16">
        <v>27.5</v>
      </c>
      <c r="AA49" s="14">
        <v>147.5</v>
      </c>
      <c r="AB49" s="1" t="s">
        <v>80</v>
      </c>
      <c r="AC49" s="1" t="b">
        <v>0</v>
      </c>
      <c r="AD49" s="1" t="s">
        <v>1235</v>
      </c>
      <c r="AE49" s="1" t="b">
        <v>0</v>
      </c>
      <c r="AF49" s="1" t="b">
        <v>0</v>
      </c>
      <c r="AG49" s="1" t="b">
        <v>0</v>
      </c>
      <c r="AH49" s="1" t="b">
        <v>0</v>
      </c>
      <c r="AI49" s="1" t="s">
        <v>1236</v>
      </c>
      <c r="AJ49" s="1">
        <v>4</v>
      </c>
      <c r="AK49" s="1" t="s">
        <v>663</v>
      </c>
      <c r="AL49" s="1">
        <v>92</v>
      </c>
      <c r="AM49" s="1" t="s">
        <v>61</v>
      </c>
      <c r="AN49" s="1" t="s">
        <v>664</v>
      </c>
      <c r="AO49" s="12">
        <f>Table18[[#This Row],[Visit Cost]]*(1-Table18[[#This Row],[Insurance Coverage Pct]]/100)+Table18[[#This Row],[Copay Amount]]+Table18[[#This Row],[Deductible Applied]]</f>
        <v>200.92500000000001</v>
      </c>
    </row>
    <row r="50" spans="1:41" ht="15">
      <c r="A50" s="3" t="s">
        <v>665</v>
      </c>
      <c r="B50" s="1" t="s">
        <v>1296</v>
      </c>
      <c r="C50" s="2" t="s">
        <v>668</v>
      </c>
      <c r="D50" s="1" t="s">
        <v>45</v>
      </c>
      <c r="E50" s="1" t="s">
        <v>669</v>
      </c>
      <c r="F50" s="1" t="s">
        <v>89</v>
      </c>
      <c r="G50" s="1" t="s">
        <v>670</v>
      </c>
      <c r="H50" s="28" t="s">
        <v>671</v>
      </c>
      <c r="I50" s="29">
        <v>0.60416666666666663</v>
      </c>
      <c r="J50" s="2" t="s">
        <v>144</v>
      </c>
      <c r="K50" s="1" t="s">
        <v>286</v>
      </c>
      <c r="L50" s="72" t="s">
        <v>1440</v>
      </c>
      <c r="M50" s="1" t="s">
        <v>287</v>
      </c>
      <c r="N50" s="1" t="s">
        <v>672</v>
      </c>
      <c r="O50" s="1" t="s">
        <v>673</v>
      </c>
      <c r="P50" s="1">
        <v>99222</v>
      </c>
      <c r="Q50" s="1" t="s">
        <v>674</v>
      </c>
      <c r="R50" s="1" t="s">
        <v>57</v>
      </c>
      <c r="S50" s="1" t="s">
        <v>57</v>
      </c>
      <c r="T50" s="1">
        <v>66170</v>
      </c>
      <c r="U50" s="1">
        <v>95</v>
      </c>
      <c r="V50" s="17">
        <v>4200</v>
      </c>
      <c r="W50" s="9">
        <f>80/(100)</f>
        <v>0.80000000000000004</v>
      </c>
      <c r="X50" s="7">
        <v>840</v>
      </c>
      <c r="Y50" s="15">
        <v>200</v>
      </c>
      <c r="Z50" s="16">
        <v>1040</v>
      </c>
      <c r="AA50" s="14">
        <v>3160</v>
      </c>
      <c r="AB50" s="1" t="s">
        <v>80</v>
      </c>
      <c r="AC50" s="1" t="b">
        <v>1</v>
      </c>
      <c r="AD50" s="1">
        <v>45386</v>
      </c>
      <c r="AE50" s="1" t="b">
        <v>0</v>
      </c>
      <c r="AF50" s="1" t="b">
        <v>1</v>
      </c>
      <c r="AG50" s="1" t="b">
        <v>1</v>
      </c>
      <c r="AH50" s="1" t="b">
        <v>0</v>
      </c>
      <c r="AI50" s="1" t="s">
        <v>1236</v>
      </c>
      <c r="AJ50" s="1">
        <v>5</v>
      </c>
      <c r="AK50" s="1" t="s">
        <v>675</v>
      </c>
      <c r="AL50" s="1">
        <v>89</v>
      </c>
      <c r="AM50" s="1" t="s">
        <v>172</v>
      </c>
      <c r="AN50" s="1" t="s">
        <v>676</v>
      </c>
      <c r="AO50" s="12">
        <f>Table18[[#This Row],[Visit Cost]]*(1-Table18[[#This Row],[Insurance Coverage Pct]]/100)+Table18[[#This Row],[Copay Amount]]+Table18[[#This Row],[Deductible Applied]]</f>
        <v>5206.3999999999996</v>
      </c>
    </row>
    <row r="51" spans="1:41" ht="15">
      <c r="A51" s="3" t="s">
        <v>677</v>
      </c>
      <c r="B51" s="1" t="s">
        <v>1297</v>
      </c>
      <c r="C51" s="2" t="s">
        <v>680</v>
      </c>
      <c r="D51" s="1" t="s">
        <v>67</v>
      </c>
      <c r="E51" s="1" t="s">
        <v>681</v>
      </c>
      <c r="F51" s="1" t="s">
        <v>69</v>
      </c>
      <c r="G51" s="1" t="s">
        <v>682</v>
      </c>
      <c r="H51" s="28" t="s">
        <v>629</v>
      </c>
      <c r="I51" s="29">
        <v>0.42708333333333331</v>
      </c>
      <c r="J51" s="2" t="s">
        <v>92</v>
      </c>
      <c r="K51" s="1" t="s">
        <v>273</v>
      </c>
      <c r="L51" s="72" t="s">
        <v>1441</v>
      </c>
      <c r="M51" s="1" t="s">
        <v>274</v>
      </c>
      <c r="N51" s="1" t="s">
        <v>683</v>
      </c>
      <c r="O51" s="1" t="s">
        <v>684</v>
      </c>
      <c r="P51" s="1">
        <v>99204</v>
      </c>
      <c r="Q51" s="1" t="s">
        <v>685</v>
      </c>
      <c r="R51" s="1" t="s">
        <v>686</v>
      </c>
      <c r="S51" s="1" t="s">
        <v>57</v>
      </c>
      <c r="T51" s="1" t="s">
        <v>57</v>
      </c>
      <c r="U51" s="1">
        <v>45</v>
      </c>
      <c r="V51" s="17">
        <v>340</v>
      </c>
      <c r="W51" s="9">
        <f>75/(100)</f>
        <v>0.75</v>
      </c>
      <c r="X51" s="7">
        <v>85</v>
      </c>
      <c r="Y51" s="15">
        <v>50</v>
      </c>
      <c r="Z51" s="16">
        <v>135</v>
      </c>
      <c r="AA51" s="14">
        <v>205</v>
      </c>
      <c r="AB51" s="1" t="s">
        <v>118</v>
      </c>
      <c r="AC51" s="1" t="b">
        <v>1</v>
      </c>
      <c r="AD51" s="1" t="s">
        <v>687</v>
      </c>
      <c r="AE51" s="1" t="b">
        <v>0</v>
      </c>
      <c r="AF51" s="1" t="b">
        <v>0</v>
      </c>
      <c r="AG51" s="1" t="b">
        <v>1</v>
      </c>
      <c r="AH51" s="1" t="b">
        <v>0</v>
      </c>
      <c r="AI51" s="1" t="s">
        <v>1236</v>
      </c>
      <c r="AJ51" s="1">
        <v>4</v>
      </c>
      <c r="AK51" s="1" t="s">
        <v>688</v>
      </c>
      <c r="AL51" s="1">
        <v>90</v>
      </c>
      <c r="AM51" s="1" t="s">
        <v>61</v>
      </c>
      <c r="AN51" s="1" t="s">
        <v>689</v>
      </c>
      <c r="AO51" s="12">
        <f>Table18[[#This Row],[Visit Cost]]*(1-Table18[[#This Row],[Insurance Coverage Pct]]/100)+Table18[[#This Row],[Copay Amount]]+Table18[[#This Row],[Deductible Applied]]</f>
        <v>472.44999999999999</v>
      </c>
    </row>
    <row r="52" spans="1:41" ht="15">
      <c r="A52" s="3" t="s">
        <v>690</v>
      </c>
      <c r="B52" s="1" t="s">
        <v>1298</v>
      </c>
      <c r="C52" s="2" t="s">
        <v>693</v>
      </c>
      <c r="D52" s="1" t="s">
        <v>45</v>
      </c>
      <c r="E52" s="1" t="s">
        <v>694</v>
      </c>
      <c r="F52" s="1" t="s">
        <v>47</v>
      </c>
      <c r="G52" s="1" t="s">
        <v>695</v>
      </c>
      <c r="H52" s="28" t="s">
        <v>696</v>
      </c>
      <c r="I52" s="29">
        <v>0.33333333333333331</v>
      </c>
      <c r="J52" s="2" t="s">
        <v>50</v>
      </c>
      <c r="K52" s="1" t="s">
        <v>309</v>
      </c>
      <c r="L52" s="72" t="s">
        <v>1442</v>
      </c>
      <c r="M52" s="1" t="s">
        <v>310</v>
      </c>
      <c r="N52" s="1" t="s">
        <v>1498</v>
      </c>
      <c r="O52" s="1" t="s">
        <v>698</v>
      </c>
      <c r="P52" s="1">
        <v>99214</v>
      </c>
      <c r="Q52" s="1" t="s">
        <v>699</v>
      </c>
      <c r="R52" s="1" t="s">
        <v>700</v>
      </c>
      <c r="S52" s="1" t="s">
        <v>57</v>
      </c>
      <c r="T52" s="1" t="s">
        <v>57</v>
      </c>
      <c r="U52" s="1">
        <v>25</v>
      </c>
      <c r="V52" s="17">
        <v>195</v>
      </c>
      <c r="W52" s="9">
        <f>80/(100)</f>
        <v>0.80000000000000004</v>
      </c>
      <c r="X52" s="7">
        <v>39</v>
      </c>
      <c r="Y52" s="15">
        <v>25</v>
      </c>
      <c r="Z52" s="16">
        <v>64</v>
      </c>
      <c r="AA52" s="14">
        <v>131</v>
      </c>
      <c r="AB52" s="1" t="s">
        <v>58</v>
      </c>
      <c r="AC52" s="1" t="b">
        <v>1</v>
      </c>
      <c r="AD52" s="1">
        <v>45508</v>
      </c>
      <c r="AE52" s="1" t="b">
        <v>0</v>
      </c>
      <c r="AF52" s="1" t="b">
        <v>0</v>
      </c>
      <c r="AG52" s="1" t="b">
        <v>0</v>
      </c>
      <c r="AH52" s="1" t="b">
        <v>0</v>
      </c>
      <c r="AI52" s="1" t="s">
        <v>1236</v>
      </c>
      <c r="AJ52" s="1">
        <v>3</v>
      </c>
      <c r="AK52" s="1" t="s">
        <v>701</v>
      </c>
      <c r="AL52" s="1">
        <v>94</v>
      </c>
      <c r="AM52" s="1" t="s">
        <v>61</v>
      </c>
      <c r="AN52" s="1" t="s">
        <v>702</v>
      </c>
      <c r="AO52" s="12">
        <f>Table18[[#This Row],[Visit Cost]]*(1-Table18[[#This Row],[Insurance Coverage Pct]]/100)+Table18[[#This Row],[Copay Amount]]+Table18[[#This Row],[Deductible Applied]]</f>
        <v>257.44</v>
      </c>
    </row>
    <row r="53" spans="1:41" ht="15">
      <c r="A53" s="3" t="s">
        <v>703</v>
      </c>
      <c r="B53" s="1" t="s">
        <v>1299</v>
      </c>
      <c r="C53" s="2">
        <v>31026</v>
      </c>
      <c r="D53" s="1" t="s">
        <v>67</v>
      </c>
      <c r="E53" s="1" t="s">
        <v>706</v>
      </c>
      <c r="F53" s="1" t="s">
        <v>69</v>
      </c>
      <c r="G53" s="1" t="s">
        <v>707</v>
      </c>
      <c r="H53" s="28" t="s">
        <v>472</v>
      </c>
      <c r="I53" s="29">
        <v>0.57291666666666663</v>
      </c>
      <c r="J53" s="2" t="s">
        <v>111</v>
      </c>
      <c r="K53" s="1" t="s">
        <v>346</v>
      </c>
      <c r="L53" s="72" t="s">
        <v>1443</v>
      </c>
      <c r="M53" s="1" t="s">
        <v>347</v>
      </c>
      <c r="N53" s="1" t="s">
        <v>708</v>
      </c>
      <c r="O53" s="1" t="s">
        <v>506</v>
      </c>
      <c r="P53" s="1">
        <v>99292</v>
      </c>
      <c r="Q53" s="1" t="s">
        <v>709</v>
      </c>
      <c r="R53" s="1" t="s">
        <v>57</v>
      </c>
      <c r="S53" s="1" t="s">
        <v>57</v>
      </c>
      <c r="T53" s="1" t="s">
        <v>57</v>
      </c>
      <c r="U53" s="1">
        <v>40</v>
      </c>
      <c r="V53" s="17">
        <v>450</v>
      </c>
      <c r="W53" s="9">
        <f>70/(100)</f>
        <v>0.69999999999999996</v>
      </c>
      <c r="X53" s="7">
        <v>135</v>
      </c>
      <c r="Y53" s="15">
        <v>60</v>
      </c>
      <c r="Z53" s="16">
        <v>195</v>
      </c>
      <c r="AA53" s="14">
        <v>255</v>
      </c>
      <c r="AB53" s="1" t="s">
        <v>80</v>
      </c>
      <c r="AC53" s="1" t="b">
        <v>0</v>
      </c>
      <c r="AD53" s="1" t="s">
        <v>1235</v>
      </c>
      <c r="AE53" s="1" t="b">
        <v>0</v>
      </c>
      <c r="AF53" s="1" t="b">
        <v>1</v>
      </c>
      <c r="AG53" s="1" t="b">
        <v>0</v>
      </c>
      <c r="AH53" s="1" t="b">
        <v>0</v>
      </c>
      <c r="AI53" s="1" t="s">
        <v>1236</v>
      </c>
      <c r="AJ53" s="1">
        <v>4</v>
      </c>
      <c r="AK53" s="1" t="s">
        <v>710</v>
      </c>
      <c r="AL53" s="1">
        <v>91</v>
      </c>
      <c r="AM53" s="1" t="s">
        <v>61</v>
      </c>
      <c r="AN53" s="1" t="s">
        <v>711</v>
      </c>
      <c r="AO53" s="12">
        <f>Table18[[#This Row],[Visit Cost]]*(1-Table18[[#This Row],[Insurance Coverage Pct]]/100)+Table18[[#This Row],[Copay Amount]]+Table18[[#This Row],[Deductible Applied]]</f>
        <v>641.85000000000002</v>
      </c>
    </row>
    <row r="54" spans="1:41" ht="15">
      <c r="A54" s="3" t="s">
        <v>712</v>
      </c>
      <c r="B54" s="1" t="s">
        <v>1300</v>
      </c>
      <c r="C54" s="2" t="s">
        <v>715</v>
      </c>
      <c r="D54" s="1" t="s">
        <v>45</v>
      </c>
      <c r="E54" s="1" t="s">
        <v>716</v>
      </c>
      <c r="F54" s="1" t="s">
        <v>127</v>
      </c>
      <c r="G54" s="1" t="s">
        <v>717</v>
      </c>
      <c r="H54" s="28" t="s">
        <v>718</v>
      </c>
      <c r="I54" s="29">
        <v>0.39583333333333331</v>
      </c>
      <c r="J54" s="2" t="s">
        <v>1238</v>
      </c>
      <c r="K54" s="1" t="s">
        <v>228</v>
      </c>
      <c r="L54" s="72" t="s">
        <v>1444</v>
      </c>
      <c r="M54" s="1" t="s">
        <v>229</v>
      </c>
      <c r="N54" s="1" t="s">
        <v>719</v>
      </c>
      <c r="O54" s="1" t="s">
        <v>720</v>
      </c>
      <c r="P54" s="1">
        <v>99215</v>
      </c>
      <c r="Q54" s="1" t="s">
        <v>721</v>
      </c>
      <c r="R54" s="1" t="s">
        <v>722</v>
      </c>
      <c r="S54" s="1" t="s">
        <v>234</v>
      </c>
      <c r="T54" s="1" t="s">
        <v>57</v>
      </c>
      <c r="U54" s="1">
        <v>65</v>
      </c>
      <c r="V54" s="17">
        <v>1800</v>
      </c>
      <c r="W54" s="9">
        <f>100/(100)</f>
        <v>1</v>
      </c>
      <c r="X54" s="7">
        <v>0</v>
      </c>
      <c r="Y54" s="15">
        <v>0</v>
      </c>
      <c r="Z54" s="16">
        <v>0</v>
      </c>
      <c r="AA54" s="14">
        <v>1800</v>
      </c>
      <c r="AB54" s="1" t="s">
        <v>127</v>
      </c>
      <c r="AC54" s="1" t="b">
        <v>1</v>
      </c>
      <c r="AD54" s="1" t="s">
        <v>723</v>
      </c>
      <c r="AE54" s="1" t="b">
        <v>0</v>
      </c>
      <c r="AF54" s="1" t="b">
        <v>0</v>
      </c>
      <c r="AG54" s="1" t="b">
        <v>0</v>
      </c>
      <c r="AH54" s="1" t="b">
        <v>0</v>
      </c>
      <c r="AI54" s="1" t="s">
        <v>1236</v>
      </c>
      <c r="AJ54" s="1">
        <v>4</v>
      </c>
      <c r="AK54" s="1" t="s">
        <v>724</v>
      </c>
      <c r="AL54" s="1">
        <v>95</v>
      </c>
      <c r="AM54" s="1" t="s">
        <v>61</v>
      </c>
      <c r="AN54" s="1" t="s">
        <v>725</v>
      </c>
      <c r="AO54" s="12">
        <f>Table18[[#This Row],[Visit Cost]]*(1-Table18[[#This Row],[Insurance Coverage Pct]]/100)+Table18[[#This Row],[Copay Amount]]+Table18[[#This Row],[Deductible Applied]]</f>
        <v>1782</v>
      </c>
    </row>
    <row r="55" spans="1:41" ht="15">
      <c r="A55" s="3" t="s">
        <v>726</v>
      </c>
      <c r="B55" s="1" t="s">
        <v>1301</v>
      </c>
      <c r="C55" s="2">
        <v>34158</v>
      </c>
      <c r="D55" s="1" t="s">
        <v>67</v>
      </c>
      <c r="E55" s="1" t="s">
        <v>729</v>
      </c>
      <c r="F55" s="1" t="s">
        <v>47</v>
      </c>
      <c r="G55" s="1" t="s">
        <v>730</v>
      </c>
      <c r="H55" s="28" t="s">
        <v>497</v>
      </c>
      <c r="I55" s="29">
        <v>0.5</v>
      </c>
      <c r="J55" s="2" t="s">
        <v>92</v>
      </c>
      <c r="K55" s="1" t="s">
        <v>162</v>
      </c>
      <c r="L55" s="72" t="s">
        <v>1445</v>
      </c>
      <c r="M55" s="1" t="s">
        <v>163</v>
      </c>
      <c r="N55" s="1" t="s">
        <v>164</v>
      </c>
      <c r="O55" s="1" t="s">
        <v>165</v>
      </c>
      <c r="P55" s="1">
        <v>99203</v>
      </c>
      <c r="Q55" s="1" t="s">
        <v>731</v>
      </c>
      <c r="R55" s="1" t="s">
        <v>167</v>
      </c>
      <c r="S55" s="1" t="s">
        <v>57</v>
      </c>
      <c r="T55" s="1" t="s">
        <v>57</v>
      </c>
      <c r="U55" s="1">
        <v>35</v>
      </c>
      <c r="V55" s="17">
        <v>230</v>
      </c>
      <c r="W55" s="9">
        <f>85/(100)</f>
        <v>0.84999999999999998</v>
      </c>
      <c r="X55" s="7">
        <v>34.5</v>
      </c>
      <c r="Y55" s="15">
        <v>25</v>
      </c>
      <c r="Z55" s="16">
        <v>59.5</v>
      </c>
      <c r="AA55" s="14">
        <v>170.5</v>
      </c>
      <c r="AB55" s="1" t="s">
        <v>58</v>
      </c>
      <c r="AC55" s="1" t="b">
        <v>1</v>
      </c>
      <c r="AD55" s="1" t="s">
        <v>732</v>
      </c>
      <c r="AE55" s="1" t="b">
        <v>0</v>
      </c>
      <c r="AF55" s="1" t="b">
        <v>0</v>
      </c>
      <c r="AG55" s="1" t="b">
        <v>1</v>
      </c>
      <c r="AH55" s="1" t="b">
        <v>0</v>
      </c>
      <c r="AI55" s="1" t="s">
        <v>1236</v>
      </c>
      <c r="AJ55" s="1">
        <v>4</v>
      </c>
      <c r="AK55" s="1" t="s">
        <v>733</v>
      </c>
      <c r="AL55" s="1">
        <v>89</v>
      </c>
      <c r="AM55" s="1" t="s">
        <v>61</v>
      </c>
      <c r="AN55" s="1" t="s">
        <v>734</v>
      </c>
      <c r="AO55" s="12">
        <f>Table18[[#This Row],[Visit Cost]]*(1-Table18[[#This Row],[Insurance Coverage Pct]]/100)+Table18[[#This Row],[Copay Amount]]+Table18[[#This Row],[Deductible Applied]]</f>
        <v>287.54500000000002</v>
      </c>
    </row>
    <row r="56" spans="1:41" ht="15">
      <c r="A56" s="3" t="s">
        <v>735</v>
      </c>
      <c r="B56" s="1" t="s">
        <v>1302</v>
      </c>
      <c r="C56" s="2" t="s">
        <v>738</v>
      </c>
      <c r="D56" s="1" t="s">
        <v>45</v>
      </c>
      <c r="E56" s="1" t="s">
        <v>739</v>
      </c>
      <c r="F56" s="1" t="s">
        <v>89</v>
      </c>
      <c r="G56" s="1" t="s">
        <v>740</v>
      </c>
      <c r="H56" s="28" t="s">
        <v>508</v>
      </c>
      <c r="I56" s="29">
        <v>0.63541666666666663</v>
      </c>
      <c r="J56" s="2" t="s">
        <v>144</v>
      </c>
      <c r="K56" s="1" t="s">
        <v>93</v>
      </c>
      <c r="L56" s="72" t="s">
        <v>1446</v>
      </c>
      <c r="M56" s="1" t="s">
        <v>94</v>
      </c>
      <c r="N56" s="1" t="s">
        <v>741</v>
      </c>
      <c r="O56" s="1" t="s">
        <v>742</v>
      </c>
      <c r="P56" s="1">
        <v>99223</v>
      </c>
      <c r="Q56" s="1" t="s">
        <v>743</v>
      </c>
      <c r="R56" s="1" t="s">
        <v>57</v>
      </c>
      <c r="S56" s="1" t="s">
        <v>98</v>
      </c>
      <c r="T56" s="1">
        <v>27447</v>
      </c>
      <c r="U56" s="1">
        <v>115</v>
      </c>
      <c r="V56" s="17">
        <v>16500</v>
      </c>
      <c r="W56" s="9">
        <f>80/(100)</f>
        <v>0.80000000000000004</v>
      </c>
      <c r="X56" s="7">
        <v>3300</v>
      </c>
      <c r="Y56" s="15">
        <v>800</v>
      </c>
      <c r="Z56" s="16">
        <v>4100</v>
      </c>
      <c r="AA56" s="14">
        <v>12400</v>
      </c>
      <c r="AB56" s="1" t="s">
        <v>80</v>
      </c>
      <c r="AC56" s="1" t="b">
        <v>1</v>
      </c>
      <c r="AD56" s="1">
        <v>45630</v>
      </c>
      <c r="AE56" s="1" t="b">
        <v>0</v>
      </c>
      <c r="AF56" s="1" t="b">
        <v>1</v>
      </c>
      <c r="AG56" s="1" t="b">
        <v>1</v>
      </c>
      <c r="AH56" s="1" t="b">
        <v>0</v>
      </c>
      <c r="AI56" s="1" t="s">
        <v>1236</v>
      </c>
      <c r="AJ56" s="1">
        <v>5</v>
      </c>
      <c r="AK56" s="1" t="s">
        <v>744</v>
      </c>
      <c r="AL56" s="1">
        <v>84</v>
      </c>
      <c r="AM56" s="1" t="s">
        <v>172</v>
      </c>
      <c r="AN56" s="1" t="s">
        <v>745</v>
      </c>
      <c r="AO56" s="12">
        <f>Table18[[#This Row],[Visit Cost]]*(1-Table18[[#This Row],[Insurance Coverage Pct]]/100)+Table18[[#This Row],[Copay Amount]]+Table18[[#This Row],[Deductible Applied]]</f>
        <v>20468</v>
      </c>
    </row>
    <row r="57" spans="1:41" ht="15">
      <c r="A57" s="3" t="s">
        <v>746</v>
      </c>
      <c r="B57" s="1" t="s">
        <v>1303</v>
      </c>
      <c r="C57" s="2" t="s">
        <v>749</v>
      </c>
      <c r="D57" s="1" t="s">
        <v>67</v>
      </c>
      <c r="E57" s="1" t="s">
        <v>750</v>
      </c>
      <c r="F57" s="1" t="s">
        <v>69</v>
      </c>
      <c r="G57" s="1" t="s">
        <v>751</v>
      </c>
      <c r="H57" s="28">
        <v>45295</v>
      </c>
      <c r="I57" s="29">
        <v>0.4375</v>
      </c>
      <c r="J57" s="2" t="s">
        <v>180</v>
      </c>
      <c r="K57" s="1" t="s">
        <v>181</v>
      </c>
      <c r="L57" s="72" t="s">
        <v>1447</v>
      </c>
      <c r="M57" s="1" t="s">
        <v>182</v>
      </c>
      <c r="N57" s="1" t="s">
        <v>752</v>
      </c>
      <c r="O57" s="1" t="s">
        <v>753</v>
      </c>
      <c r="P57" s="1">
        <v>99211</v>
      </c>
      <c r="Q57" s="1" t="s">
        <v>754</v>
      </c>
      <c r="R57" s="1" t="s">
        <v>57</v>
      </c>
      <c r="S57" s="1" t="s">
        <v>57</v>
      </c>
      <c r="T57" s="1" t="s">
        <v>57</v>
      </c>
      <c r="U57" s="1">
        <v>15</v>
      </c>
      <c r="V57" s="17">
        <v>120</v>
      </c>
      <c r="W57" s="9">
        <f>100/(100)</f>
        <v>1</v>
      </c>
      <c r="X57" s="7">
        <v>0</v>
      </c>
      <c r="Y57" s="15">
        <v>0</v>
      </c>
      <c r="Z57" s="16">
        <v>0</v>
      </c>
      <c r="AA57" s="14">
        <v>120</v>
      </c>
      <c r="AB57" s="1" t="s">
        <v>69</v>
      </c>
      <c r="AC57" s="1" t="b">
        <v>0</v>
      </c>
      <c r="AD57" s="1" t="s">
        <v>1235</v>
      </c>
      <c r="AE57" s="1" t="b">
        <v>0</v>
      </c>
      <c r="AF57" s="1" t="b">
        <v>0</v>
      </c>
      <c r="AG57" s="1" t="b">
        <v>0</v>
      </c>
      <c r="AH57" s="1" t="b">
        <v>0</v>
      </c>
      <c r="AI57" s="1" t="s">
        <v>1236</v>
      </c>
      <c r="AJ57" s="1">
        <v>5</v>
      </c>
      <c r="AK57" s="1" t="s">
        <v>755</v>
      </c>
      <c r="AL57" s="1">
        <v>96</v>
      </c>
      <c r="AM57" s="1" t="s">
        <v>61</v>
      </c>
      <c r="AN57" s="1" t="s">
        <v>756</v>
      </c>
      <c r="AO57" s="12">
        <f>Table18[[#This Row],[Visit Cost]]*(1-Table18[[#This Row],[Insurance Coverage Pct]]/100)+Table18[[#This Row],[Copay Amount]]+Table18[[#This Row],[Deductible Applied]]</f>
        <v>118.8</v>
      </c>
    </row>
    <row r="58" spans="1:41" ht="15">
      <c r="A58" s="3" t="s">
        <v>757</v>
      </c>
      <c r="B58" s="1" t="s">
        <v>1304</v>
      </c>
      <c r="C58" s="2">
        <v>27099</v>
      </c>
      <c r="D58" s="1" t="s">
        <v>45</v>
      </c>
      <c r="E58" s="1" t="s">
        <v>760</v>
      </c>
      <c r="F58" s="1" t="s">
        <v>47</v>
      </c>
      <c r="G58" s="1" t="s">
        <v>761</v>
      </c>
      <c r="H58" s="28">
        <v>45326</v>
      </c>
      <c r="I58" s="29">
        <v>0.70833333333333337</v>
      </c>
      <c r="J58" s="2" t="s">
        <v>50</v>
      </c>
      <c r="K58" s="1" t="s">
        <v>321</v>
      </c>
      <c r="L58" s="72" t="s">
        <v>1448</v>
      </c>
      <c r="M58" s="1" t="s">
        <v>322</v>
      </c>
      <c r="N58" s="1" t="s">
        <v>762</v>
      </c>
      <c r="O58" s="1" t="s">
        <v>763</v>
      </c>
      <c r="P58" s="1">
        <v>99214</v>
      </c>
      <c r="Q58" s="1" t="s">
        <v>764</v>
      </c>
      <c r="R58" s="1" t="s">
        <v>765</v>
      </c>
      <c r="S58" s="1" t="s">
        <v>57</v>
      </c>
      <c r="T58" s="1" t="s">
        <v>57</v>
      </c>
      <c r="U58" s="1">
        <v>50</v>
      </c>
      <c r="V58" s="17">
        <v>240</v>
      </c>
      <c r="W58" s="9">
        <f>75/(100)</f>
        <v>0.75</v>
      </c>
      <c r="X58" s="7">
        <v>60</v>
      </c>
      <c r="Y58" s="15">
        <v>35</v>
      </c>
      <c r="Z58" s="16">
        <v>95</v>
      </c>
      <c r="AA58" s="14">
        <v>145</v>
      </c>
      <c r="AB58" s="1" t="s">
        <v>118</v>
      </c>
      <c r="AC58" s="1" t="b">
        <v>1</v>
      </c>
      <c r="AD58" s="1">
        <v>45327</v>
      </c>
      <c r="AE58" s="1" t="b">
        <v>0</v>
      </c>
      <c r="AF58" s="1" t="b">
        <v>0</v>
      </c>
      <c r="AG58" s="1" t="b">
        <v>0</v>
      </c>
      <c r="AH58" s="1" t="b">
        <v>0</v>
      </c>
      <c r="AI58" s="1" t="s">
        <v>1236</v>
      </c>
      <c r="AJ58" s="1">
        <v>4</v>
      </c>
      <c r="AK58" s="1" t="s">
        <v>766</v>
      </c>
      <c r="AL58" s="1">
        <v>93</v>
      </c>
      <c r="AM58" s="1" t="s">
        <v>61</v>
      </c>
      <c r="AN58" s="1" t="s">
        <v>767</v>
      </c>
      <c r="AO58" s="12">
        <f>Table18[[#This Row],[Visit Cost]]*(1-Table18[[#This Row],[Insurance Coverage Pct]]/100)+Table18[[#This Row],[Copay Amount]]+Table18[[#This Row],[Deductible Applied]]</f>
        <v>333.20000000000005</v>
      </c>
    </row>
    <row r="59" spans="1:41" ht="15">
      <c r="A59" s="3" t="s">
        <v>768</v>
      </c>
      <c r="B59" s="1" t="s">
        <v>1305</v>
      </c>
      <c r="C59" s="2">
        <v>32022</v>
      </c>
      <c r="D59" s="1" t="s">
        <v>67</v>
      </c>
      <c r="E59" s="1" t="s">
        <v>771</v>
      </c>
      <c r="F59" s="1" t="s">
        <v>127</v>
      </c>
      <c r="G59" s="1" t="s">
        <v>772</v>
      </c>
      <c r="H59" s="28">
        <v>45355</v>
      </c>
      <c r="I59" s="29">
        <v>0.36458333333333331</v>
      </c>
      <c r="J59" s="2" t="s">
        <v>1238</v>
      </c>
      <c r="K59" s="1" t="s">
        <v>130</v>
      </c>
      <c r="L59" s="72" t="s">
        <v>1449</v>
      </c>
      <c r="M59" s="1" t="s">
        <v>131</v>
      </c>
      <c r="N59" s="1" t="s">
        <v>132</v>
      </c>
      <c r="O59" s="1" t="s">
        <v>133</v>
      </c>
      <c r="P59" s="1">
        <v>99213</v>
      </c>
      <c r="Q59" s="1" t="s">
        <v>773</v>
      </c>
      <c r="R59" s="1" t="s">
        <v>135</v>
      </c>
      <c r="S59" s="1" t="s">
        <v>57</v>
      </c>
      <c r="T59" s="1" t="s">
        <v>57</v>
      </c>
      <c r="U59" s="1">
        <v>30</v>
      </c>
      <c r="V59" s="17">
        <v>185</v>
      </c>
      <c r="W59" s="9">
        <f>100/(100)</f>
        <v>1</v>
      </c>
      <c r="X59" s="7">
        <v>0</v>
      </c>
      <c r="Y59" s="15">
        <v>0</v>
      </c>
      <c r="Z59" s="16">
        <v>0</v>
      </c>
      <c r="AA59" s="14">
        <v>185</v>
      </c>
      <c r="AB59" s="1" t="s">
        <v>127</v>
      </c>
      <c r="AC59" s="1" t="b">
        <v>0</v>
      </c>
      <c r="AD59" s="1" t="s">
        <v>1235</v>
      </c>
      <c r="AE59" s="1" t="b">
        <v>0</v>
      </c>
      <c r="AF59" s="1" t="b">
        <v>0</v>
      </c>
      <c r="AG59" s="1" t="b">
        <v>0</v>
      </c>
      <c r="AH59" s="1" t="b">
        <v>1</v>
      </c>
      <c r="AI59" s="1" t="s">
        <v>774</v>
      </c>
      <c r="AJ59" s="1">
        <v>3</v>
      </c>
      <c r="AK59" s="1" t="s">
        <v>775</v>
      </c>
      <c r="AL59" s="1">
        <v>94</v>
      </c>
      <c r="AM59" s="1" t="s">
        <v>172</v>
      </c>
      <c r="AN59" s="1" t="s">
        <v>776</v>
      </c>
      <c r="AO59" s="12">
        <f>Table18[[#This Row],[Visit Cost]]*(1-Table18[[#This Row],[Insurance Coverage Pct]]/100)+Table18[[#This Row],[Copay Amount]]+Table18[[#This Row],[Deductible Applied]]</f>
        <v>183.15000000000001</v>
      </c>
    </row>
    <row r="60" spans="1:41" ht="15">
      <c r="A60" s="3" t="s">
        <v>777</v>
      </c>
      <c r="B60" s="1" t="s">
        <v>1306</v>
      </c>
      <c r="C60" s="2" t="s">
        <v>780</v>
      </c>
      <c r="D60" s="1" t="s">
        <v>45</v>
      </c>
      <c r="E60" s="1" t="s">
        <v>781</v>
      </c>
      <c r="F60" s="1" t="s">
        <v>47</v>
      </c>
      <c r="G60" s="1" t="s">
        <v>782</v>
      </c>
      <c r="H60" s="28">
        <v>45386</v>
      </c>
      <c r="I60" s="29">
        <v>0.46875</v>
      </c>
      <c r="J60" s="2" t="s">
        <v>111</v>
      </c>
      <c r="K60" s="1" t="s">
        <v>245</v>
      </c>
      <c r="L60" s="72" t="s">
        <v>1450</v>
      </c>
      <c r="M60" s="1" t="s">
        <v>246</v>
      </c>
      <c r="N60" s="1" t="s">
        <v>783</v>
      </c>
      <c r="O60" s="1" t="s">
        <v>784</v>
      </c>
      <c r="P60" s="1">
        <v>99203</v>
      </c>
      <c r="Q60" s="1" t="s">
        <v>785</v>
      </c>
      <c r="R60" s="1" t="s">
        <v>57</v>
      </c>
      <c r="S60" s="1" t="s">
        <v>57</v>
      </c>
      <c r="T60" s="1" t="s">
        <v>57</v>
      </c>
      <c r="U60" s="1">
        <v>35</v>
      </c>
      <c r="V60" s="17">
        <v>260</v>
      </c>
      <c r="W60" s="9">
        <f>80/(100)</f>
        <v>0.80000000000000004</v>
      </c>
      <c r="X60" s="7">
        <v>52</v>
      </c>
      <c r="Y60" s="15">
        <v>35</v>
      </c>
      <c r="Z60" s="16">
        <v>87</v>
      </c>
      <c r="AA60" s="14">
        <v>173</v>
      </c>
      <c r="AB60" s="1" t="s">
        <v>80</v>
      </c>
      <c r="AC60" s="1" t="b">
        <v>1</v>
      </c>
      <c r="AD60" s="1">
        <v>45600</v>
      </c>
      <c r="AE60" s="1" t="b">
        <v>0</v>
      </c>
      <c r="AF60" s="1" t="b">
        <v>1</v>
      </c>
      <c r="AG60" s="1" t="b">
        <v>0</v>
      </c>
      <c r="AH60" s="1" t="b">
        <v>0</v>
      </c>
      <c r="AI60" s="1" t="s">
        <v>1236</v>
      </c>
      <c r="AJ60" s="1">
        <v>3</v>
      </c>
      <c r="AK60" s="1" t="s">
        <v>786</v>
      </c>
      <c r="AL60" s="1">
        <v>88</v>
      </c>
      <c r="AM60" s="1" t="s">
        <v>61</v>
      </c>
      <c r="AN60" s="1" t="s">
        <v>787</v>
      </c>
      <c r="AO60" s="12">
        <f>Table18[[#This Row],[Visit Cost]]*(1-Table18[[#This Row],[Insurance Coverage Pct]]/100)+Table18[[#This Row],[Copay Amount]]+Table18[[#This Row],[Deductible Applied]]</f>
        <v>344.92000000000002</v>
      </c>
    </row>
    <row r="61" spans="1:41" ht="15">
      <c r="A61" s="3" t="s">
        <v>788</v>
      </c>
      <c r="B61" s="1" t="s">
        <v>1307</v>
      </c>
      <c r="C61" s="2">
        <v>35381</v>
      </c>
      <c r="D61" s="1" t="s">
        <v>67</v>
      </c>
      <c r="E61" s="1" t="s">
        <v>791</v>
      </c>
      <c r="F61" s="1" t="s">
        <v>69</v>
      </c>
      <c r="G61" s="1" t="s">
        <v>792</v>
      </c>
      <c r="H61" s="28">
        <v>45416</v>
      </c>
      <c r="I61" s="29">
        <v>0.58333333333333337</v>
      </c>
      <c r="J61" s="2" t="s">
        <v>92</v>
      </c>
      <c r="K61" s="1" t="s">
        <v>73</v>
      </c>
      <c r="L61" s="72" t="s">
        <v>1451</v>
      </c>
      <c r="M61" s="1" t="s">
        <v>74</v>
      </c>
      <c r="N61" s="1" t="s">
        <v>1239</v>
      </c>
      <c r="O61" s="1" t="s">
        <v>794</v>
      </c>
      <c r="P61" s="1">
        <v>99204</v>
      </c>
      <c r="Q61" s="1" t="s">
        <v>795</v>
      </c>
      <c r="R61" s="1" t="s">
        <v>796</v>
      </c>
      <c r="S61" s="1" t="s">
        <v>57</v>
      </c>
      <c r="T61" s="1" t="s">
        <v>57</v>
      </c>
      <c r="U61" s="1">
        <v>50</v>
      </c>
      <c r="V61" s="17">
        <v>420</v>
      </c>
      <c r="W61" s="9">
        <f>70/(100)</f>
        <v>0.69999999999999996</v>
      </c>
      <c r="X61" s="7">
        <v>126</v>
      </c>
      <c r="Y61" s="15">
        <v>65</v>
      </c>
      <c r="Z61" s="16">
        <v>191</v>
      </c>
      <c r="AA61" s="14">
        <v>229</v>
      </c>
      <c r="AB61" s="1" t="s">
        <v>58</v>
      </c>
      <c r="AC61" s="1" t="b">
        <v>1</v>
      </c>
      <c r="AD61" s="1">
        <v>45417</v>
      </c>
      <c r="AE61" s="1" t="b">
        <v>0</v>
      </c>
      <c r="AF61" s="1" t="b">
        <v>0</v>
      </c>
      <c r="AG61" s="1" t="b">
        <v>1</v>
      </c>
      <c r="AH61" s="1" t="b">
        <v>0</v>
      </c>
      <c r="AI61" s="1" t="s">
        <v>1236</v>
      </c>
      <c r="AJ61" s="1">
        <v>4</v>
      </c>
      <c r="AK61" s="1" t="s">
        <v>797</v>
      </c>
      <c r="AL61" s="1">
        <v>90</v>
      </c>
      <c r="AM61" s="1" t="s">
        <v>153</v>
      </c>
      <c r="AN61" s="1" t="s">
        <v>798</v>
      </c>
      <c r="AO61" s="12">
        <f>Table18[[#This Row],[Visit Cost]]*(1-Table18[[#This Row],[Insurance Coverage Pct]]/100)+Table18[[#This Row],[Copay Amount]]+Table18[[#This Row],[Deductible Applied]]</f>
        <v>608.05999999999995</v>
      </c>
    </row>
    <row r="62" spans="1:41" ht="15">
      <c r="A62" s="3" t="s">
        <v>799</v>
      </c>
      <c r="B62" s="1" t="s">
        <v>1308</v>
      </c>
      <c r="C62" s="2" t="s">
        <v>802</v>
      </c>
      <c r="D62" s="1" t="s">
        <v>45</v>
      </c>
      <c r="E62" s="1" t="s">
        <v>803</v>
      </c>
      <c r="F62" s="1" t="s">
        <v>47</v>
      </c>
      <c r="G62" s="1" t="s">
        <v>804</v>
      </c>
      <c r="H62" s="28">
        <v>45508</v>
      </c>
      <c r="I62" s="29">
        <v>0.40625</v>
      </c>
      <c r="J62" s="2" t="s">
        <v>1238</v>
      </c>
      <c r="K62" s="1" t="s">
        <v>194</v>
      </c>
      <c r="L62" s="72" t="s">
        <v>1452</v>
      </c>
      <c r="M62" s="1" t="s">
        <v>195</v>
      </c>
      <c r="N62" s="1" t="s">
        <v>196</v>
      </c>
      <c r="O62" s="1" t="s">
        <v>197</v>
      </c>
      <c r="P62" s="1">
        <v>99213</v>
      </c>
      <c r="Q62" s="1" t="s">
        <v>805</v>
      </c>
      <c r="R62" s="1" t="s">
        <v>57</v>
      </c>
      <c r="S62" s="1" t="s">
        <v>57</v>
      </c>
      <c r="T62" s="1" t="s">
        <v>57</v>
      </c>
      <c r="U62" s="1">
        <v>25</v>
      </c>
      <c r="V62" s="17">
        <v>190</v>
      </c>
      <c r="W62" s="9">
        <f>80/(100)</f>
        <v>0.80000000000000004</v>
      </c>
      <c r="X62" s="7">
        <v>38</v>
      </c>
      <c r="Y62" s="15">
        <v>25</v>
      </c>
      <c r="Z62" s="16">
        <v>63</v>
      </c>
      <c r="AA62" s="14">
        <v>127</v>
      </c>
      <c r="AB62" s="1" t="s">
        <v>80</v>
      </c>
      <c r="AC62" s="1" t="b">
        <v>0</v>
      </c>
      <c r="AD62" s="1" t="s">
        <v>1235</v>
      </c>
      <c r="AE62" s="1" t="b">
        <v>0</v>
      </c>
      <c r="AF62" s="1" t="b">
        <v>0</v>
      </c>
      <c r="AG62" s="1" t="b">
        <v>0</v>
      </c>
      <c r="AH62" s="1" t="b">
        <v>0</v>
      </c>
      <c r="AI62" s="1" t="s">
        <v>1236</v>
      </c>
      <c r="AJ62" s="1">
        <v>4</v>
      </c>
      <c r="AK62" s="1" t="s">
        <v>806</v>
      </c>
      <c r="AL62" s="1">
        <v>92</v>
      </c>
      <c r="AM62" s="1" t="s">
        <v>61</v>
      </c>
      <c r="AN62" s="1" t="s">
        <v>807</v>
      </c>
      <c r="AO62" s="12">
        <f>Table18[[#This Row],[Visit Cost]]*(1-Table18[[#This Row],[Insurance Coverage Pct]]/100)+Table18[[#This Row],[Copay Amount]]+Table18[[#This Row],[Deductible Applied]]</f>
        <v>251.47999999999999</v>
      </c>
    </row>
    <row r="63" spans="1:41" ht="15">
      <c r="A63" s="3" t="s">
        <v>808</v>
      </c>
      <c r="B63" s="1" t="s">
        <v>1309</v>
      </c>
      <c r="C63" s="2">
        <v>28620</v>
      </c>
      <c r="D63" s="1" t="s">
        <v>67</v>
      </c>
      <c r="E63" s="1" t="s">
        <v>811</v>
      </c>
      <c r="F63" s="1" t="s">
        <v>69</v>
      </c>
      <c r="G63" s="1" t="s">
        <v>812</v>
      </c>
      <c r="H63" s="28">
        <v>45539</v>
      </c>
      <c r="I63" s="29">
        <v>0.64583333333333337</v>
      </c>
      <c r="J63" s="2" t="s">
        <v>144</v>
      </c>
      <c r="K63" s="1" t="s">
        <v>145</v>
      </c>
      <c r="L63" s="72" t="s">
        <v>1453</v>
      </c>
      <c r="M63" s="1" t="s">
        <v>146</v>
      </c>
      <c r="N63" s="1" t="s">
        <v>147</v>
      </c>
      <c r="O63" s="1" t="s">
        <v>148</v>
      </c>
      <c r="P63" s="1">
        <v>99222</v>
      </c>
      <c r="Q63" s="1" t="s">
        <v>628</v>
      </c>
      <c r="R63" s="1" t="s">
        <v>57</v>
      </c>
      <c r="S63" s="1" t="s">
        <v>150</v>
      </c>
      <c r="T63" s="1">
        <v>44970</v>
      </c>
      <c r="U63" s="1">
        <v>100</v>
      </c>
      <c r="V63" s="17">
        <v>6100</v>
      </c>
      <c r="W63" s="9">
        <f>75/(100)</f>
        <v>0.75</v>
      </c>
      <c r="X63" s="7">
        <v>1525</v>
      </c>
      <c r="Y63" s="15">
        <v>400</v>
      </c>
      <c r="Z63" s="16">
        <v>1925</v>
      </c>
      <c r="AA63" s="14">
        <v>4175</v>
      </c>
      <c r="AB63" s="1" t="s">
        <v>80</v>
      </c>
      <c r="AC63" s="1" t="b">
        <v>1</v>
      </c>
      <c r="AD63" s="1" t="s">
        <v>813</v>
      </c>
      <c r="AE63" s="1" t="b">
        <v>0</v>
      </c>
      <c r="AF63" s="1" t="b">
        <v>1</v>
      </c>
      <c r="AG63" s="1" t="b">
        <v>1</v>
      </c>
      <c r="AH63" s="1" t="b">
        <v>0</v>
      </c>
      <c r="AI63" s="1" t="s">
        <v>1236</v>
      </c>
      <c r="AJ63" s="1">
        <v>4</v>
      </c>
      <c r="AK63" s="1" t="s">
        <v>814</v>
      </c>
      <c r="AL63" s="1">
        <v>87</v>
      </c>
      <c r="AM63" s="1" t="s">
        <v>153</v>
      </c>
      <c r="AN63" s="1" t="s">
        <v>815</v>
      </c>
      <c r="AO63" s="12">
        <f>Table18[[#This Row],[Visit Cost]]*(1-Table18[[#This Row],[Insurance Coverage Pct]]/100)+Table18[[#This Row],[Copay Amount]]+Table18[[#This Row],[Deductible Applied]]</f>
        <v>7979.25</v>
      </c>
    </row>
    <row r="64" spans="1:41" ht="15">
      <c r="A64" s="3" t="s">
        <v>816</v>
      </c>
      <c r="B64" s="1" t="s">
        <v>1310</v>
      </c>
      <c r="C64" s="2" t="s">
        <v>819</v>
      </c>
      <c r="D64" s="1" t="s">
        <v>67</v>
      </c>
      <c r="E64" s="1" t="s">
        <v>820</v>
      </c>
      <c r="F64" s="1" t="s">
        <v>89</v>
      </c>
      <c r="G64" s="1" t="s">
        <v>821</v>
      </c>
      <c r="H64" s="28">
        <v>45569</v>
      </c>
      <c r="I64" s="29">
        <v>0.45833333333333331</v>
      </c>
      <c r="J64" s="2" t="s">
        <v>50</v>
      </c>
      <c r="K64" s="1" t="s">
        <v>273</v>
      </c>
      <c r="L64" s="72" t="s">
        <v>1454</v>
      </c>
      <c r="M64" s="1" t="s">
        <v>274</v>
      </c>
      <c r="N64" s="1" t="s">
        <v>822</v>
      </c>
      <c r="O64" s="1" t="s">
        <v>823</v>
      </c>
      <c r="P64" s="1">
        <v>99214</v>
      </c>
      <c r="Q64" s="1" t="s">
        <v>824</v>
      </c>
      <c r="R64" s="1" t="s">
        <v>825</v>
      </c>
      <c r="S64" s="1" t="s">
        <v>57</v>
      </c>
      <c r="T64" s="1" t="s">
        <v>57</v>
      </c>
      <c r="U64" s="1">
        <v>40</v>
      </c>
      <c r="V64" s="17">
        <v>310</v>
      </c>
      <c r="W64" s="9">
        <f>100/(100)</f>
        <v>1</v>
      </c>
      <c r="X64" s="7">
        <v>0</v>
      </c>
      <c r="Y64" s="15">
        <v>0</v>
      </c>
      <c r="Z64" s="16">
        <v>0</v>
      </c>
      <c r="AA64" s="14">
        <v>310</v>
      </c>
      <c r="AB64" s="1" t="s">
        <v>89</v>
      </c>
      <c r="AC64" s="1" t="b">
        <v>1</v>
      </c>
      <c r="AD64" s="1">
        <v>45570</v>
      </c>
      <c r="AE64" s="1" t="b">
        <v>0</v>
      </c>
      <c r="AF64" s="1" t="b">
        <v>0</v>
      </c>
      <c r="AG64" s="1" t="b">
        <v>0</v>
      </c>
      <c r="AH64" s="1" t="b">
        <v>0</v>
      </c>
      <c r="AI64" s="1" t="s">
        <v>1236</v>
      </c>
      <c r="AJ64" s="1">
        <v>5</v>
      </c>
      <c r="AK64" s="1" t="s">
        <v>826</v>
      </c>
      <c r="AL64" s="1">
        <v>94</v>
      </c>
      <c r="AM64" s="1" t="s">
        <v>61</v>
      </c>
      <c r="AN64" s="1" t="s">
        <v>827</v>
      </c>
      <c r="AO64" s="12">
        <f>Table18[[#This Row],[Visit Cost]]*(1-Table18[[#This Row],[Insurance Coverage Pct]]/100)+Table18[[#This Row],[Copay Amount]]+Table18[[#This Row],[Deductible Applied]]</f>
        <v>306.89999999999998</v>
      </c>
    </row>
    <row r="65" spans="1:41" ht="15">
      <c r="A65" s="3" t="s">
        <v>828</v>
      </c>
      <c r="B65" s="1" t="s">
        <v>1311</v>
      </c>
      <c r="C65" s="2" t="s">
        <v>831</v>
      </c>
      <c r="D65" s="1" t="s">
        <v>45</v>
      </c>
      <c r="E65" s="1" t="s">
        <v>832</v>
      </c>
      <c r="F65" s="1" t="s">
        <v>47</v>
      </c>
      <c r="G65" s="1" t="s">
        <v>833</v>
      </c>
      <c r="H65" s="28">
        <v>45600</v>
      </c>
      <c r="I65" s="29">
        <v>0.57291666666666663</v>
      </c>
      <c r="J65" s="2" t="s">
        <v>92</v>
      </c>
      <c r="K65" s="1" t="s">
        <v>258</v>
      </c>
      <c r="L65" s="72" t="s">
        <v>1455</v>
      </c>
      <c r="M65" s="1" t="s">
        <v>259</v>
      </c>
      <c r="N65" s="1" t="s">
        <v>834</v>
      </c>
      <c r="O65" s="1" t="s">
        <v>261</v>
      </c>
      <c r="P65" s="1">
        <v>99204</v>
      </c>
      <c r="Q65" s="1" t="s">
        <v>835</v>
      </c>
      <c r="R65" s="1" t="s">
        <v>263</v>
      </c>
      <c r="S65" s="1" t="s">
        <v>57</v>
      </c>
      <c r="T65" s="1">
        <v>43235</v>
      </c>
      <c r="U65" s="1">
        <v>60</v>
      </c>
      <c r="V65" s="17">
        <v>950</v>
      </c>
      <c r="W65" s="9">
        <f>80/(100)</f>
        <v>0.80000000000000004</v>
      </c>
      <c r="X65" s="7">
        <v>190</v>
      </c>
      <c r="Y65" s="15">
        <v>60</v>
      </c>
      <c r="Z65" s="16">
        <v>250</v>
      </c>
      <c r="AA65" s="14">
        <v>700</v>
      </c>
      <c r="AB65" s="1" t="s">
        <v>118</v>
      </c>
      <c r="AC65" s="1" t="b">
        <v>1</v>
      </c>
      <c r="AD65" s="1">
        <v>45601</v>
      </c>
      <c r="AE65" s="1" t="b">
        <v>0</v>
      </c>
      <c r="AF65" s="1" t="b">
        <v>0</v>
      </c>
      <c r="AG65" s="1" t="b">
        <v>1</v>
      </c>
      <c r="AH65" s="1" t="b">
        <v>0</v>
      </c>
      <c r="AI65" s="1" t="s">
        <v>1236</v>
      </c>
      <c r="AJ65" s="1">
        <v>3</v>
      </c>
      <c r="AK65" s="1" t="s">
        <v>836</v>
      </c>
      <c r="AL65" s="1">
        <v>86</v>
      </c>
      <c r="AM65" s="1" t="s">
        <v>61</v>
      </c>
      <c r="AN65" s="1" t="s">
        <v>837</v>
      </c>
      <c r="AO65" s="12">
        <f>Table18[[#This Row],[Visit Cost]]*(1-Table18[[#This Row],[Insurance Coverage Pct]]/100)+Table18[[#This Row],[Copay Amount]]+Table18[[#This Row],[Deductible Applied]]</f>
        <v>1192.4000000000001</v>
      </c>
    </row>
    <row r="66" spans="1:41" ht="15">
      <c r="A66" s="3" t="s">
        <v>838</v>
      </c>
      <c r="B66" s="1" t="s">
        <v>1312</v>
      </c>
      <c r="C66" s="2">
        <v>33055</v>
      </c>
      <c r="D66" s="1" t="s">
        <v>67</v>
      </c>
      <c r="E66" s="1" t="s">
        <v>840</v>
      </c>
      <c r="F66" s="1" t="s">
        <v>69</v>
      </c>
      <c r="G66" s="1" t="s">
        <v>841</v>
      </c>
      <c r="H66" s="28">
        <v>45630</v>
      </c>
      <c r="I66" s="29">
        <v>0.35416666666666669</v>
      </c>
      <c r="J66" s="2" t="s">
        <v>111</v>
      </c>
      <c r="K66" s="1" t="s">
        <v>1240</v>
      </c>
      <c r="L66" s="72" t="s">
        <v>1456</v>
      </c>
      <c r="M66" s="1" t="s">
        <v>214</v>
      </c>
      <c r="N66" s="1" t="s">
        <v>1233</v>
      </c>
      <c r="O66" s="1" t="s">
        <v>843</v>
      </c>
      <c r="P66" s="1">
        <v>99203</v>
      </c>
      <c r="Q66" s="1" t="s">
        <v>398</v>
      </c>
      <c r="R66" s="1" t="s">
        <v>844</v>
      </c>
      <c r="S66" s="1" t="s">
        <v>218</v>
      </c>
      <c r="T66" s="1" t="s">
        <v>57</v>
      </c>
      <c r="U66" s="1">
        <v>50</v>
      </c>
      <c r="V66" s="17">
        <v>380</v>
      </c>
      <c r="W66" s="9">
        <f>70/(100)</f>
        <v>0.69999999999999996</v>
      </c>
      <c r="X66" s="7">
        <v>114</v>
      </c>
      <c r="Y66" s="15">
        <v>55</v>
      </c>
      <c r="Z66" s="16">
        <v>169</v>
      </c>
      <c r="AA66" s="14">
        <v>211</v>
      </c>
      <c r="AB66" s="1" t="s">
        <v>80</v>
      </c>
      <c r="AC66" s="1" t="b">
        <v>1</v>
      </c>
      <c r="AD66" s="1" t="s">
        <v>651</v>
      </c>
      <c r="AE66" s="1" t="b">
        <v>0</v>
      </c>
      <c r="AF66" s="1" t="b">
        <v>1</v>
      </c>
      <c r="AG66" s="1" t="b">
        <v>0</v>
      </c>
      <c r="AH66" s="1" t="b">
        <v>0</v>
      </c>
      <c r="AI66" s="1" t="s">
        <v>1236</v>
      </c>
      <c r="AJ66" s="1">
        <v>4</v>
      </c>
      <c r="AK66" s="1" t="s">
        <v>845</v>
      </c>
      <c r="AL66" s="1">
        <v>90</v>
      </c>
      <c r="AM66" s="1" t="s">
        <v>61</v>
      </c>
      <c r="AN66" s="1" t="s">
        <v>846</v>
      </c>
      <c r="AO66" s="12">
        <f>Table18[[#This Row],[Visit Cost]]*(1-Table18[[#This Row],[Insurance Coverage Pct]]/100)+Table18[[#This Row],[Copay Amount]]+Table18[[#This Row],[Deductible Applied]]</f>
        <v>546.33999999999992</v>
      </c>
    </row>
    <row r="67" spans="1:41" ht="15">
      <c r="A67" s="3" t="s">
        <v>847</v>
      </c>
      <c r="B67" s="1" t="s">
        <v>1313</v>
      </c>
      <c r="C67" s="2" t="s">
        <v>850</v>
      </c>
      <c r="D67" s="1" t="s">
        <v>45</v>
      </c>
      <c r="E67" s="1" t="s">
        <v>851</v>
      </c>
      <c r="F67" s="1" t="s">
        <v>47</v>
      </c>
      <c r="G67" s="1" t="s">
        <v>852</v>
      </c>
      <c r="H67" s="28" t="s">
        <v>853</v>
      </c>
      <c r="I67" s="29">
        <v>0.51041666666666663</v>
      </c>
      <c r="J67" s="2" t="s">
        <v>180</v>
      </c>
      <c r="K67" s="1" t="s">
        <v>181</v>
      </c>
      <c r="L67" s="72" t="s">
        <v>1457</v>
      </c>
      <c r="M67" s="1" t="s">
        <v>182</v>
      </c>
      <c r="N67" s="1" t="s">
        <v>854</v>
      </c>
      <c r="O67" s="1" t="s">
        <v>855</v>
      </c>
      <c r="P67" s="1">
        <v>99212</v>
      </c>
      <c r="Q67" s="1" t="s">
        <v>116</v>
      </c>
      <c r="R67" s="1" t="s">
        <v>856</v>
      </c>
      <c r="S67" s="1" t="s">
        <v>57</v>
      </c>
      <c r="T67" s="1" t="s">
        <v>57</v>
      </c>
      <c r="U67" s="1">
        <v>20</v>
      </c>
      <c r="V67" s="17">
        <v>140</v>
      </c>
      <c r="W67" s="9">
        <f>90/(100)</f>
        <v>0.90000000000000002</v>
      </c>
      <c r="X67" s="7">
        <v>14</v>
      </c>
      <c r="Y67" s="15">
        <v>10</v>
      </c>
      <c r="Z67" s="16">
        <v>24</v>
      </c>
      <c r="AA67" s="14">
        <v>116</v>
      </c>
      <c r="AB67" s="1" t="s">
        <v>80</v>
      </c>
      <c r="AC67" s="1" t="b">
        <v>0</v>
      </c>
      <c r="AD67" s="1" t="s">
        <v>1235</v>
      </c>
      <c r="AE67" s="1" t="b">
        <v>0</v>
      </c>
      <c r="AF67" s="1" t="b">
        <v>0</v>
      </c>
      <c r="AG67" s="1" t="b">
        <v>0</v>
      </c>
      <c r="AH67" s="1" t="b">
        <v>0</v>
      </c>
      <c r="AI67" s="1" t="s">
        <v>1236</v>
      </c>
      <c r="AJ67" s="1">
        <v>5</v>
      </c>
      <c r="AK67" s="1" t="s">
        <v>857</v>
      </c>
      <c r="AL67" s="1">
        <v>95</v>
      </c>
      <c r="AM67" s="1" t="s">
        <v>61</v>
      </c>
      <c r="AN67" s="1" t="s">
        <v>858</v>
      </c>
      <c r="AO67" s="12">
        <f>Table18[[#This Row],[Visit Cost]]*(1-Table18[[#This Row],[Insurance Coverage Pct]]/100)+Table18[[#This Row],[Copay Amount]]+Table18[[#This Row],[Deductible Applied]]</f>
        <v>162.74000000000001</v>
      </c>
    </row>
    <row r="68" spans="1:41" ht="15">
      <c r="A68" s="3" t="s">
        <v>859</v>
      </c>
      <c r="B68" s="1" t="s">
        <v>1314</v>
      </c>
      <c r="C68" s="2" t="s">
        <v>860</v>
      </c>
      <c r="D68" s="1" t="s">
        <v>67</v>
      </c>
      <c r="E68" s="1" t="s">
        <v>861</v>
      </c>
      <c r="F68" s="1" t="s">
        <v>127</v>
      </c>
      <c r="G68" s="1" t="s">
        <v>862</v>
      </c>
      <c r="H68" s="28" t="s">
        <v>863</v>
      </c>
      <c r="I68" s="29">
        <v>0.70833333333333337</v>
      </c>
      <c r="J68" s="2" t="s">
        <v>1238</v>
      </c>
      <c r="K68" s="1" t="s">
        <v>228</v>
      </c>
      <c r="L68" s="72" t="s">
        <v>1458</v>
      </c>
      <c r="M68" s="1" t="s">
        <v>229</v>
      </c>
      <c r="N68" s="1" t="s">
        <v>230</v>
      </c>
      <c r="O68" s="1" t="s">
        <v>231</v>
      </c>
      <c r="P68" s="1">
        <v>99215</v>
      </c>
      <c r="Q68" s="1" t="s">
        <v>864</v>
      </c>
      <c r="R68" s="1" t="s">
        <v>233</v>
      </c>
      <c r="S68" s="1" t="s">
        <v>57</v>
      </c>
      <c r="T68" s="1" t="s">
        <v>57</v>
      </c>
      <c r="U68" s="1">
        <v>60</v>
      </c>
      <c r="V68" s="17">
        <v>520</v>
      </c>
      <c r="W68" s="9">
        <f>100/(100)</f>
        <v>1</v>
      </c>
      <c r="X68" s="7">
        <v>0</v>
      </c>
      <c r="Y68" s="15">
        <v>0</v>
      </c>
      <c r="Z68" s="16">
        <v>0</v>
      </c>
      <c r="AA68" s="14">
        <v>520</v>
      </c>
      <c r="AB68" s="1" t="s">
        <v>127</v>
      </c>
      <c r="AC68" s="1" t="b">
        <v>1</v>
      </c>
      <c r="AD68" s="1" t="s">
        <v>865</v>
      </c>
      <c r="AE68" s="1" t="b">
        <v>0</v>
      </c>
      <c r="AF68" s="1" t="b">
        <v>0</v>
      </c>
      <c r="AG68" s="1" t="b">
        <v>0</v>
      </c>
      <c r="AH68" s="1" t="b">
        <v>0</v>
      </c>
      <c r="AI68" s="1" t="s">
        <v>1236</v>
      </c>
      <c r="AJ68" s="1">
        <v>4</v>
      </c>
      <c r="AK68" s="1" t="s">
        <v>866</v>
      </c>
      <c r="AL68" s="1">
        <v>96</v>
      </c>
      <c r="AM68" s="1" t="s">
        <v>61</v>
      </c>
      <c r="AN68" s="1" t="s">
        <v>867</v>
      </c>
      <c r="AO68" s="12">
        <f>Table18[[#This Row],[Visit Cost]]*(1-Table18[[#This Row],[Insurance Coverage Pct]]/100)+Table18[[#This Row],[Copay Amount]]+Table18[[#This Row],[Deductible Applied]]</f>
        <v>514.79999999999995</v>
      </c>
    </row>
    <row r="69" spans="1:41" ht="15">
      <c r="A69" s="3" t="s">
        <v>868</v>
      </c>
      <c r="B69" s="1" t="s">
        <v>1315</v>
      </c>
      <c r="C69" s="2">
        <v>23047</v>
      </c>
      <c r="D69" s="1" t="s">
        <v>45</v>
      </c>
      <c r="E69" s="1" t="s">
        <v>871</v>
      </c>
      <c r="F69" s="1" t="s">
        <v>89</v>
      </c>
      <c r="G69" s="1" t="s">
        <v>872</v>
      </c>
      <c r="H69" s="28" t="s">
        <v>873</v>
      </c>
      <c r="I69" s="29">
        <v>0.39583333333333331</v>
      </c>
      <c r="J69" s="2" t="s">
        <v>144</v>
      </c>
      <c r="K69" s="1" t="s">
        <v>286</v>
      </c>
      <c r="L69" s="72" t="s">
        <v>1459</v>
      </c>
      <c r="M69" s="1" t="s">
        <v>287</v>
      </c>
      <c r="N69" s="1" t="s">
        <v>288</v>
      </c>
      <c r="O69" s="1" t="s">
        <v>289</v>
      </c>
      <c r="P69" s="1">
        <v>99221</v>
      </c>
      <c r="Q69" s="1" t="s">
        <v>290</v>
      </c>
      <c r="R69" s="1" t="s">
        <v>57</v>
      </c>
      <c r="S69" s="1" t="s">
        <v>57</v>
      </c>
      <c r="T69" s="1">
        <v>66984</v>
      </c>
      <c r="U69" s="1">
        <v>80</v>
      </c>
      <c r="V69" s="17">
        <v>3550</v>
      </c>
      <c r="W69" s="9">
        <f>80/(100)</f>
        <v>0.80000000000000004</v>
      </c>
      <c r="X69" s="7">
        <v>710</v>
      </c>
      <c r="Y69" s="15">
        <v>200</v>
      </c>
      <c r="Z69" s="16">
        <v>910</v>
      </c>
      <c r="AA69" s="14">
        <v>2640</v>
      </c>
      <c r="AB69" s="1" t="s">
        <v>80</v>
      </c>
      <c r="AC69" s="1" t="b">
        <v>1</v>
      </c>
      <c r="AD69" s="1">
        <v>45296</v>
      </c>
      <c r="AE69" s="1" t="b">
        <v>0</v>
      </c>
      <c r="AF69" s="1" t="b">
        <v>1</v>
      </c>
      <c r="AG69" s="1" t="b">
        <v>1</v>
      </c>
      <c r="AH69" s="1" t="b">
        <v>0</v>
      </c>
      <c r="AI69" s="1" t="s">
        <v>1236</v>
      </c>
      <c r="AJ69" s="1">
        <v>5</v>
      </c>
      <c r="AK69" s="1" t="s">
        <v>874</v>
      </c>
      <c r="AL69" s="1">
        <v>91</v>
      </c>
      <c r="AM69" s="1" t="s">
        <v>172</v>
      </c>
      <c r="AN69" s="1" t="s">
        <v>875</v>
      </c>
      <c r="AO69" s="12">
        <f>Table18[[#This Row],[Visit Cost]]*(1-Table18[[#This Row],[Insurance Coverage Pct]]/100)+Table18[[#This Row],[Copay Amount]]+Table18[[#This Row],[Deductible Applied]]</f>
        <v>4431.6000000000004</v>
      </c>
    </row>
    <row r="70" spans="1:41" ht="15">
      <c r="A70" s="3" t="s">
        <v>876</v>
      </c>
      <c r="B70" s="1" t="s">
        <v>1316</v>
      </c>
      <c r="C70" s="2" t="s">
        <v>879</v>
      </c>
      <c r="D70" s="1" t="s">
        <v>67</v>
      </c>
      <c r="E70" s="1" t="s">
        <v>880</v>
      </c>
      <c r="F70" s="1" t="s">
        <v>69</v>
      </c>
      <c r="G70" s="1" t="s">
        <v>881</v>
      </c>
      <c r="H70" s="28" t="s">
        <v>639</v>
      </c>
      <c r="I70" s="29">
        <v>0.61458333333333337</v>
      </c>
      <c r="J70" s="2" t="s">
        <v>92</v>
      </c>
      <c r="K70" s="1" t="s">
        <v>346</v>
      </c>
      <c r="L70" s="72" t="s">
        <v>1460</v>
      </c>
      <c r="M70" s="1" t="s">
        <v>347</v>
      </c>
      <c r="N70" s="1" t="s">
        <v>348</v>
      </c>
      <c r="O70" s="1" t="s">
        <v>349</v>
      </c>
      <c r="P70" s="1">
        <v>99203</v>
      </c>
      <c r="Q70" s="1" t="s">
        <v>882</v>
      </c>
      <c r="R70" s="1" t="s">
        <v>351</v>
      </c>
      <c r="S70" s="1" t="s">
        <v>57</v>
      </c>
      <c r="T70" s="1" t="s">
        <v>57</v>
      </c>
      <c r="U70" s="1">
        <v>35</v>
      </c>
      <c r="V70" s="17">
        <v>210</v>
      </c>
      <c r="W70" s="9">
        <f>75/(100)</f>
        <v>0.75</v>
      </c>
      <c r="X70" s="7">
        <v>52.5</v>
      </c>
      <c r="Y70" s="15">
        <v>35</v>
      </c>
      <c r="Z70" s="16">
        <v>87.5</v>
      </c>
      <c r="AA70" s="14">
        <v>122.5</v>
      </c>
      <c r="AB70" s="1" t="s">
        <v>58</v>
      </c>
      <c r="AC70" s="1" t="b">
        <v>1</v>
      </c>
      <c r="AD70" s="1" t="s">
        <v>883</v>
      </c>
      <c r="AE70" s="1" t="b">
        <v>0</v>
      </c>
      <c r="AF70" s="1" t="b">
        <v>0</v>
      </c>
      <c r="AG70" s="1" t="b">
        <v>1</v>
      </c>
      <c r="AH70" s="1" t="b">
        <v>0</v>
      </c>
      <c r="AI70" s="1" t="s">
        <v>1236</v>
      </c>
      <c r="AJ70" s="1">
        <v>4</v>
      </c>
      <c r="AK70" s="1" t="s">
        <v>884</v>
      </c>
      <c r="AL70" s="1">
        <v>89</v>
      </c>
      <c r="AM70" s="1" t="s">
        <v>61</v>
      </c>
      <c r="AN70" s="1" t="s">
        <v>885</v>
      </c>
      <c r="AO70" s="12">
        <f>Table18[[#This Row],[Visit Cost]]*(1-Table18[[#This Row],[Insurance Coverage Pct]]/100)+Table18[[#This Row],[Copay Amount]]+Table18[[#This Row],[Deductible Applied]]</f>
        <v>295.92500000000001</v>
      </c>
    </row>
    <row r="71" spans="1:41" ht="15">
      <c r="A71" s="3" t="s">
        <v>886</v>
      </c>
      <c r="B71" s="1" t="s">
        <v>1317</v>
      </c>
      <c r="C71" s="2">
        <v>29107</v>
      </c>
      <c r="D71" s="1" t="s">
        <v>45</v>
      </c>
      <c r="E71" s="1" t="s">
        <v>888</v>
      </c>
      <c r="F71" s="1" t="s">
        <v>47</v>
      </c>
      <c r="G71" s="1" t="s">
        <v>889</v>
      </c>
      <c r="H71" s="28" t="s">
        <v>651</v>
      </c>
      <c r="I71" s="29">
        <v>0.45833333333333331</v>
      </c>
      <c r="J71" s="2" t="s">
        <v>50</v>
      </c>
      <c r="K71" s="1" t="s">
        <v>309</v>
      </c>
      <c r="L71" s="72" t="s">
        <v>1461</v>
      </c>
      <c r="M71" s="1" t="s">
        <v>310</v>
      </c>
      <c r="N71" s="1" t="s">
        <v>1494</v>
      </c>
      <c r="O71" s="1" t="s">
        <v>312</v>
      </c>
      <c r="P71" s="1">
        <v>99214</v>
      </c>
      <c r="Q71" s="1" t="s">
        <v>313</v>
      </c>
      <c r="R71" s="1" t="s">
        <v>233</v>
      </c>
      <c r="S71" s="1" t="s">
        <v>57</v>
      </c>
      <c r="T71" s="1" t="s">
        <v>57</v>
      </c>
      <c r="U71" s="1">
        <v>30</v>
      </c>
      <c r="V71" s="17">
        <v>200</v>
      </c>
      <c r="W71" s="9">
        <f>80/(100)</f>
        <v>0.80000000000000004</v>
      </c>
      <c r="X71" s="7">
        <v>40</v>
      </c>
      <c r="Y71" s="15">
        <v>25</v>
      </c>
      <c r="Z71" s="16">
        <v>65</v>
      </c>
      <c r="AA71" s="14">
        <v>135</v>
      </c>
      <c r="AB71" s="1" t="s">
        <v>118</v>
      </c>
      <c r="AC71" s="1" t="b">
        <v>0</v>
      </c>
      <c r="AD71" s="1" t="s">
        <v>1235</v>
      </c>
      <c r="AE71" s="1" t="b">
        <v>0</v>
      </c>
      <c r="AF71" s="1" t="b">
        <v>0</v>
      </c>
      <c r="AG71" s="1" t="b">
        <v>0</v>
      </c>
      <c r="AH71" s="1" t="b">
        <v>0</v>
      </c>
      <c r="AI71" s="1" t="s">
        <v>1236</v>
      </c>
      <c r="AJ71" s="1">
        <v>4</v>
      </c>
      <c r="AK71" s="1" t="s">
        <v>890</v>
      </c>
      <c r="AL71" s="1">
        <v>93</v>
      </c>
      <c r="AM71" s="1" t="s">
        <v>61</v>
      </c>
      <c r="AN71" s="1" t="s">
        <v>891</v>
      </c>
      <c r="AO71" s="12">
        <f>Table18[[#This Row],[Visit Cost]]*(1-Table18[[#This Row],[Insurance Coverage Pct]]/100)+Table18[[#This Row],[Copay Amount]]+Table18[[#This Row],[Deductible Applied]]</f>
        <v>263.39999999999998</v>
      </c>
    </row>
    <row r="72" spans="1:41" ht="15">
      <c r="A72" s="3" t="s">
        <v>892</v>
      </c>
      <c r="B72" s="1" t="s">
        <v>1318</v>
      </c>
      <c r="C72" s="2" t="s">
        <v>895</v>
      </c>
      <c r="D72" s="1" t="s">
        <v>67</v>
      </c>
      <c r="E72" s="1" t="s">
        <v>896</v>
      </c>
      <c r="F72" s="1" t="s">
        <v>69</v>
      </c>
      <c r="G72" s="1" t="s">
        <v>897</v>
      </c>
      <c r="H72" s="28" t="s">
        <v>687</v>
      </c>
      <c r="I72" s="29">
        <v>0.6875</v>
      </c>
      <c r="J72" s="2" t="s">
        <v>111</v>
      </c>
      <c r="K72" s="1" t="s">
        <v>73</v>
      </c>
      <c r="L72" s="72" t="s">
        <v>1462</v>
      </c>
      <c r="M72" s="1" t="s">
        <v>74</v>
      </c>
      <c r="N72" s="1" t="s">
        <v>898</v>
      </c>
      <c r="O72" s="1" t="s">
        <v>899</v>
      </c>
      <c r="P72" s="1">
        <v>99203</v>
      </c>
      <c r="Q72" s="1" t="s">
        <v>900</v>
      </c>
      <c r="R72" s="1" t="s">
        <v>361</v>
      </c>
      <c r="S72" s="1" t="s">
        <v>57</v>
      </c>
      <c r="T72" s="1" t="s">
        <v>57</v>
      </c>
      <c r="U72" s="1">
        <v>45</v>
      </c>
      <c r="V72" s="17">
        <v>340</v>
      </c>
      <c r="W72" s="9">
        <f>70/(100)</f>
        <v>0.69999999999999996</v>
      </c>
      <c r="X72" s="7">
        <v>102</v>
      </c>
      <c r="Y72" s="15">
        <v>50</v>
      </c>
      <c r="Z72" s="16">
        <v>152</v>
      </c>
      <c r="AA72" s="14">
        <v>188</v>
      </c>
      <c r="AB72" s="1" t="s">
        <v>80</v>
      </c>
      <c r="AC72" s="1" t="b">
        <v>1</v>
      </c>
      <c r="AD72" s="1" t="s">
        <v>901</v>
      </c>
      <c r="AE72" s="1" t="b">
        <v>0</v>
      </c>
      <c r="AF72" s="1" t="b">
        <v>1</v>
      </c>
      <c r="AG72" s="1" t="b">
        <v>0</v>
      </c>
      <c r="AH72" s="1" t="b">
        <v>0</v>
      </c>
      <c r="AI72" s="1" t="s">
        <v>1236</v>
      </c>
      <c r="AJ72" s="1">
        <v>3</v>
      </c>
      <c r="AK72" s="1" t="s">
        <v>902</v>
      </c>
      <c r="AL72" s="1">
        <v>87</v>
      </c>
      <c r="AM72" s="1" t="s">
        <v>61</v>
      </c>
      <c r="AN72" s="1" t="s">
        <v>903</v>
      </c>
      <c r="AO72" s="12">
        <f>Table18[[#This Row],[Visit Cost]]*(1-Table18[[#This Row],[Insurance Coverage Pct]]/100)+Table18[[#This Row],[Copay Amount]]+Table18[[#This Row],[Deductible Applied]]</f>
        <v>489.62</v>
      </c>
    </row>
    <row r="73" spans="1:41" ht="15">
      <c r="A73" s="3" t="s">
        <v>904</v>
      </c>
      <c r="B73" s="1" t="s">
        <v>1319</v>
      </c>
      <c r="C73" s="2">
        <v>21894</v>
      </c>
      <c r="D73" s="1" t="s">
        <v>45</v>
      </c>
      <c r="E73" s="1" t="s">
        <v>907</v>
      </c>
      <c r="F73" s="1" t="s">
        <v>127</v>
      </c>
      <c r="G73" s="1" t="s">
        <v>908</v>
      </c>
      <c r="H73" s="28" t="s">
        <v>813</v>
      </c>
      <c r="I73" s="29">
        <v>0.34375</v>
      </c>
      <c r="J73" s="2" t="s">
        <v>1238</v>
      </c>
      <c r="K73" s="1" t="s">
        <v>321</v>
      </c>
      <c r="L73" s="72" t="s">
        <v>1463</v>
      </c>
      <c r="M73" s="1" t="s">
        <v>322</v>
      </c>
      <c r="N73" s="1" t="s">
        <v>909</v>
      </c>
      <c r="O73" s="1" t="s">
        <v>910</v>
      </c>
      <c r="P73" s="1">
        <v>99214</v>
      </c>
      <c r="Q73" s="1" t="s">
        <v>911</v>
      </c>
      <c r="R73" s="1" t="s">
        <v>57</v>
      </c>
      <c r="S73" s="1" t="s">
        <v>57</v>
      </c>
      <c r="T73" s="1" t="s">
        <v>57</v>
      </c>
      <c r="U73" s="1">
        <v>50</v>
      </c>
      <c r="V73" s="17">
        <v>255</v>
      </c>
      <c r="W73" s="9">
        <f>100/(100)</f>
        <v>1</v>
      </c>
      <c r="X73" s="7">
        <v>0</v>
      </c>
      <c r="Y73" s="15">
        <v>0</v>
      </c>
      <c r="Z73" s="16">
        <v>0</v>
      </c>
      <c r="AA73" s="14">
        <v>255</v>
      </c>
      <c r="AB73" s="1" t="s">
        <v>127</v>
      </c>
      <c r="AC73" s="1" t="b">
        <v>0</v>
      </c>
      <c r="AD73" s="1" t="s">
        <v>1235</v>
      </c>
      <c r="AE73" s="1" t="b">
        <v>0</v>
      </c>
      <c r="AF73" s="1" t="b">
        <v>0</v>
      </c>
      <c r="AG73" s="1" t="b">
        <v>0</v>
      </c>
      <c r="AH73" s="1" t="b">
        <v>1</v>
      </c>
      <c r="AI73" s="1" t="s">
        <v>912</v>
      </c>
      <c r="AJ73" s="1">
        <v>3</v>
      </c>
      <c r="AK73" s="1" t="s">
        <v>913</v>
      </c>
      <c r="AL73" s="1">
        <v>92</v>
      </c>
      <c r="AM73" s="1" t="s">
        <v>172</v>
      </c>
      <c r="AN73" s="1" t="s">
        <v>914</v>
      </c>
      <c r="AO73" s="12">
        <f>Table18[[#This Row],[Visit Cost]]*(1-Table18[[#This Row],[Insurance Coverage Pct]]/100)+Table18[[#This Row],[Copay Amount]]+Table18[[#This Row],[Deductible Applied]]</f>
        <v>252.44999999999999</v>
      </c>
    </row>
    <row r="74" spans="1:41" ht="15">
      <c r="A74" s="3" t="s">
        <v>915</v>
      </c>
      <c r="B74" s="1" t="s">
        <v>1320</v>
      </c>
      <c r="C74" s="2" t="s">
        <v>918</v>
      </c>
      <c r="D74" s="1" t="s">
        <v>67</v>
      </c>
      <c r="E74" s="1" t="s">
        <v>919</v>
      </c>
      <c r="F74" s="1" t="s">
        <v>47</v>
      </c>
      <c r="G74" s="1" t="s">
        <v>920</v>
      </c>
      <c r="H74" s="28" t="s">
        <v>921</v>
      </c>
      <c r="I74" s="29">
        <v>0.53125</v>
      </c>
      <c r="J74" s="2" t="s">
        <v>92</v>
      </c>
      <c r="K74" s="1" t="s">
        <v>245</v>
      </c>
      <c r="L74" s="72" t="s">
        <v>1464</v>
      </c>
      <c r="M74" s="1" t="s">
        <v>246</v>
      </c>
      <c r="N74" s="1" t="s">
        <v>922</v>
      </c>
      <c r="O74" s="1" t="s">
        <v>923</v>
      </c>
      <c r="P74" s="1">
        <v>99204</v>
      </c>
      <c r="Q74" s="1" t="s">
        <v>924</v>
      </c>
      <c r="R74" s="1" t="s">
        <v>57</v>
      </c>
      <c r="S74" s="1" t="s">
        <v>57</v>
      </c>
      <c r="T74" s="1" t="s">
        <v>57</v>
      </c>
      <c r="U74" s="1">
        <v>40</v>
      </c>
      <c r="V74" s="17">
        <v>290</v>
      </c>
      <c r="W74" s="9">
        <f>85/(100)</f>
        <v>0.84999999999999998</v>
      </c>
      <c r="X74" s="7">
        <v>43.5</v>
      </c>
      <c r="Y74" s="15">
        <v>30</v>
      </c>
      <c r="Z74" s="16">
        <v>73.5</v>
      </c>
      <c r="AA74" s="14">
        <v>216.5</v>
      </c>
      <c r="AB74" s="1" t="s">
        <v>58</v>
      </c>
      <c r="AC74" s="1" t="b">
        <v>1</v>
      </c>
      <c r="AD74" s="1" t="s">
        <v>925</v>
      </c>
      <c r="AE74" s="1" t="b">
        <v>0</v>
      </c>
      <c r="AF74" s="1" t="b">
        <v>0</v>
      </c>
      <c r="AG74" s="1" t="b">
        <v>1</v>
      </c>
      <c r="AH74" s="1" t="b">
        <v>0</v>
      </c>
      <c r="AI74" s="1" t="s">
        <v>1236</v>
      </c>
      <c r="AJ74" s="1">
        <v>4</v>
      </c>
      <c r="AK74" s="1" t="s">
        <v>926</v>
      </c>
      <c r="AL74" s="1">
        <v>90</v>
      </c>
      <c r="AM74" s="1" t="s">
        <v>61</v>
      </c>
      <c r="AN74" s="1" t="s">
        <v>927</v>
      </c>
      <c r="AO74" s="12">
        <f>Table18[[#This Row],[Visit Cost]]*(1-Table18[[#This Row],[Insurance Coverage Pct]]/100)+Table18[[#This Row],[Copay Amount]]+Table18[[#This Row],[Deductible Applied]]</f>
        <v>361.03500000000003</v>
      </c>
    </row>
    <row r="75" spans="1:41" ht="15">
      <c r="A75" s="3" t="s">
        <v>928</v>
      </c>
      <c r="B75" s="1" t="s">
        <v>1321</v>
      </c>
      <c r="C75" s="2">
        <v>24691</v>
      </c>
      <c r="D75" s="1" t="s">
        <v>45</v>
      </c>
      <c r="E75" s="1" t="s">
        <v>931</v>
      </c>
      <c r="F75" s="1" t="s">
        <v>89</v>
      </c>
      <c r="G75" s="1" t="s">
        <v>932</v>
      </c>
      <c r="H75" s="28" t="s">
        <v>933</v>
      </c>
      <c r="I75" s="29">
        <v>0.625</v>
      </c>
      <c r="J75" s="2" t="s">
        <v>144</v>
      </c>
      <c r="K75" s="1" t="s">
        <v>93</v>
      </c>
      <c r="L75" s="72" t="s">
        <v>1465</v>
      </c>
      <c r="M75" s="1" t="s">
        <v>94</v>
      </c>
      <c r="N75" s="1" t="s">
        <v>934</v>
      </c>
      <c r="O75" s="1" t="s">
        <v>935</v>
      </c>
      <c r="P75" s="1">
        <v>99222</v>
      </c>
      <c r="Q75" s="1" t="s">
        <v>936</v>
      </c>
      <c r="R75" s="1" t="s">
        <v>57</v>
      </c>
      <c r="S75" s="1" t="s">
        <v>937</v>
      </c>
      <c r="T75" s="1">
        <v>29827</v>
      </c>
      <c r="U75" s="1">
        <v>90</v>
      </c>
      <c r="V75" s="17">
        <v>8200</v>
      </c>
      <c r="W75" s="9">
        <f>80/(100)</f>
        <v>0.80000000000000004</v>
      </c>
      <c r="X75" s="7">
        <v>1640</v>
      </c>
      <c r="Y75" s="15">
        <v>400</v>
      </c>
      <c r="Z75" s="16">
        <v>2040</v>
      </c>
      <c r="AA75" s="14">
        <v>6160</v>
      </c>
      <c r="AB75" s="1" t="s">
        <v>80</v>
      </c>
      <c r="AC75" s="1" t="b">
        <v>1</v>
      </c>
      <c r="AD75" s="1">
        <v>45540</v>
      </c>
      <c r="AE75" s="1" t="b">
        <v>0</v>
      </c>
      <c r="AF75" s="1" t="b">
        <v>1</v>
      </c>
      <c r="AG75" s="1" t="b">
        <v>1</v>
      </c>
      <c r="AH75" s="1" t="b">
        <v>0</v>
      </c>
      <c r="AI75" s="1" t="s">
        <v>1236</v>
      </c>
      <c r="AJ75" s="1">
        <v>5</v>
      </c>
      <c r="AK75" s="1" t="s">
        <v>938</v>
      </c>
      <c r="AL75" s="1">
        <v>85</v>
      </c>
      <c r="AM75" s="1" t="s">
        <v>172</v>
      </c>
      <c r="AN75" s="1" t="s">
        <v>939</v>
      </c>
      <c r="AO75" s="12">
        <f>Table18[[#This Row],[Visit Cost]]*(1-Table18[[#This Row],[Insurance Coverage Pct]]/100)+Table18[[#This Row],[Copay Amount]]+Table18[[#This Row],[Deductible Applied]]</f>
        <v>10174.4</v>
      </c>
    </row>
    <row r="76" spans="1:41" ht="15">
      <c r="A76" s="3" t="s">
        <v>940</v>
      </c>
      <c r="B76" s="1" t="s">
        <v>1322</v>
      </c>
      <c r="C76" s="2">
        <v>30387</v>
      </c>
      <c r="D76" s="1" t="s">
        <v>67</v>
      </c>
      <c r="E76" s="1" t="s">
        <v>943</v>
      </c>
      <c r="F76" s="1" t="s">
        <v>69</v>
      </c>
      <c r="G76" s="1" t="s">
        <v>944</v>
      </c>
      <c r="H76" s="28" t="s">
        <v>945</v>
      </c>
      <c r="I76" s="29">
        <v>0.39583333333333331</v>
      </c>
      <c r="J76" s="2" t="s">
        <v>180</v>
      </c>
      <c r="K76" s="1" t="s">
        <v>181</v>
      </c>
      <c r="L76" s="72" t="s">
        <v>1466</v>
      </c>
      <c r="M76" s="1" t="s">
        <v>182</v>
      </c>
      <c r="N76" s="1" t="s">
        <v>946</v>
      </c>
      <c r="O76" s="1" t="s">
        <v>947</v>
      </c>
      <c r="P76" s="1">
        <v>99211</v>
      </c>
      <c r="Q76" s="1" t="s">
        <v>948</v>
      </c>
      <c r="R76" s="1" t="s">
        <v>57</v>
      </c>
      <c r="S76" s="1" t="s">
        <v>57</v>
      </c>
      <c r="T76" s="1" t="s">
        <v>57</v>
      </c>
      <c r="U76" s="1">
        <v>20</v>
      </c>
      <c r="V76" s="17">
        <v>125</v>
      </c>
      <c r="W76" s="9">
        <f>100/(100)</f>
        <v>1</v>
      </c>
      <c r="X76" s="7">
        <v>0</v>
      </c>
      <c r="Y76" s="15">
        <v>0</v>
      </c>
      <c r="Z76" s="16">
        <v>0</v>
      </c>
      <c r="AA76" s="14">
        <v>125</v>
      </c>
      <c r="AB76" s="1" t="s">
        <v>69</v>
      </c>
      <c r="AC76" s="1" t="b">
        <v>0</v>
      </c>
      <c r="AD76" s="1" t="s">
        <v>1235</v>
      </c>
      <c r="AE76" s="1" t="b">
        <v>0</v>
      </c>
      <c r="AF76" s="1" t="b">
        <v>0</v>
      </c>
      <c r="AG76" s="1" t="b">
        <v>0</v>
      </c>
      <c r="AH76" s="1" t="b">
        <v>0</v>
      </c>
      <c r="AI76" s="1" t="s">
        <v>1236</v>
      </c>
      <c r="AJ76" s="1">
        <v>5</v>
      </c>
      <c r="AK76" s="1" t="s">
        <v>949</v>
      </c>
      <c r="AL76" s="1">
        <v>97</v>
      </c>
      <c r="AM76" s="1" t="s">
        <v>61</v>
      </c>
      <c r="AN76" s="1" t="s">
        <v>950</v>
      </c>
      <c r="AO76" s="12">
        <f>Table18[[#This Row],[Visit Cost]]*(1-Table18[[#This Row],[Insurance Coverage Pct]]/100)+Table18[[#This Row],[Copay Amount]]+Table18[[#This Row],[Deductible Applied]]</f>
        <v>123.75</v>
      </c>
    </row>
    <row r="77" spans="1:41" ht="15">
      <c r="A77" s="3" t="s">
        <v>951</v>
      </c>
      <c r="B77" s="1" t="s">
        <v>1323</v>
      </c>
      <c r="C77" s="2" t="s">
        <v>954</v>
      </c>
      <c r="D77" s="1" t="s">
        <v>45</v>
      </c>
      <c r="E77" s="1" t="s">
        <v>955</v>
      </c>
      <c r="F77" s="1" t="s">
        <v>47</v>
      </c>
      <c r="G77" s="1" t="s">
        <v>956</v>
      </c>
      <c r="H77" s="28" t="s">
        <v>901</v>
      </c>
      <c r="I77" s="29">
        <v>0.59375</v>
      </c>
      <c r="J77" s="2" t="s">
        <v>50</v>
      </c>
      <c r="K77" s="1" t="s">
        <v>130</v>
      </c>
      <c r="L77" s="72" t="s">
        <v>1467</v>
      </c>
      <c r="M77" s="1" t="s">
        <v>131</v>
      </c>
      <c r="N77" s="1" t="s">
        <v>957</v>
      </c>
      <c r="O77" s="1" t="s">
        <v>958</v>
      </c>
      <c r="P77" s="1">
        <v>99215</v>
      </c>
      <c r="Q77" s="1" t="s">
        <v>959</v>
      </c>
      <c r="R77" s="1" t="s">
        <v>960</v>
      </c>
      <c r="S77" s="1" t="s">
        <v>57</v>
      </c>
      <c r="T77" s="1" t="s">
        <v>57</v>
      </c>
      <c r="U77" s="1">
        <v>55</v>
      </c>
      <c r="V77" s="17">
        <v>450</v>
      </c>
      <c r="W77" s="9">
        <f>80/(100)</f>
        <v>0.80000000000000004</v>
      </c>
      <c r="X77" s="7">
        <v>90</v>
      </c>
      <c r="Y77" s="15">
        <v>50</v>
      </c>
      <c r="Z77" s="16">
        <v>140</v>
      </c>
      <c r="AA77" s="14">
        <v>310</v>
      </c>
      <c r="AB77" s="1" t="s">
        <v>118</v>
      </c>
      <c r="AC77" s="1" t="b">
        <v>1</v>
      </c>
      <c r="AD77" s="1" t="s">
        <v>961</v>
      </c>
      <c r="AE77" s="1" t="b">
        <v>0</v>
      </c>
      <c r="AF77" s="1" t="b">
        <v>0</v>
      </c>
      <c r="AG77" s="1" t="b">
        <v>0</v>
      </c>
      <c r="AH77" s="1" t="b">
        <v>0</v>
      </c>
      <c r="AI77" s="1" t="s">
        <v>1236</v>
      </c>
      <c r="AJ77" s="1">
        <v>4</v>
      </c>
      <c r="AK77" s="1" t="s">
        <v>962</v>
      </c>
      <c r="AL77" s="1">
        <v>94</v>
      </c>
      <c r="AM77" s="1" t="s">
        <v>61</v>
      </c>
      <c r="AN77" s="1" t="s">
        <v>963</v>
      </c>
      <c r="AO77" s="12">
        <f>Table18[[#This Row],[Visit Cost]]*(1-Table18[[#This Row],[Insurance Coverage Pct]]/100)+Table18[[#This Row],[Copay Amount]]+Table18[[#This Row],[Deductible Applied]]</f>
        <v>586.39999999999998</v>
      </c>
    </row>
    <row r="78" spans="1:41" ht="15">
      <c r="A78" s="3" t="s">
        <v>964</v>
      </c>
      <c r="B78" s="1" t="s">
        <v>1324</v>
      </c>
      <c r="C78" s="2" t="s">
        <v>967</v>
      </c>
      <c r="D78" s="1" t="s">
        <v>67</v>
      </c>
      <c r="E78" s="1" t="s">
        <v>968</v>
      </c>
      <c r="F78" s="1" t="s">
        <v>127</v>
      </c>
      <c r="G78" s="1" t="s">
        <v>969</v>
      </c>
      <c r="H78" s="28" t="s">
        <v>970</v>
      </c>
      <c r="I78" s="29">
        <v>0.41666666666666669</v>
      </c>
      <c r="J78" s="2" t="s">
        <v>1238</v>
      </c>
      <c r="K78" s="1" t="s">
        <v>162</v>
      </c>
      <c r="L78" s="72" t="s">
        <v>1468</v>
      </c>
      <c r="M78" s="1" t="s">
        <v>163</v>
      </c>
      <c r="N78" s="1" t="s">
        <v>164</v>
      </c>
      <c r="O78" s="1" t="s">
        <v>165</v>
      </c>
      <c r="P78" s="1">
        <v>99213</v>
      </c>
      <c r="Q78" s="1" t="s">
        <v>971</v>
      </c>
      <c r="R78" s="1" t="s">
        <v>167</v>
      </c>
      <c r="S78" s="1" t="s">
        <v>57</v>
      </c>
      <c r="T78" s="1" t="s">
        <v>57</v>
      </c>
      <c r="U78" s="1">
        <v>35</v>
      </c>
      <c r="V78" s="17">
        <v>210</v>
      </c>
      <c r="W78" s="9">
        <f>100/(100)</f>
        <v>1</v>
      </c>
      <c r="X78" s="7">
        <v>0</v>
      </c>
      <c r="Y78" s="15">
        <v>0</v>
      </c>
      <c r="Z78" s="16">
        <v>0</v>
      </c>
      <c r="AA78" s="14">
        <v>210</v>
      </c>
      <c r="AB78" s="1" t="s">
        <v>127</v>
      </c>
      <c r="AC78" s="1" t="b">
        <v>0</v>
      </c>
      <c r="AD78" s="1" t="s">
        <v>1235</v>
      </c>
      <c r="AE78" s="1" t="b">
        <v>0</v>
      </c>
      <c r="AF78" s="1" t="b">
        <v>0</v>
      </c>
      <c r="AG78" s="1" t="b">
        <v>0</v>
      </c>
      <c r="AH78" s="1" t="b">
        <v>0</v>
      </c>
      <c r="AI78" s="1" t="s">
        <v>1236</v>
      </c>
      <c r="AJ78" s="1">
        <v>4</v>
      </c>
      <c r="AK78" s="1" t="s">
        <v>972</v>
      </c>
      <c r="AL78" s="1">
        <v>95</v>
      </c>
      <c r="AM78" s="1" t="s">
        <v>61</v>
      </c>
      <c r="AN78" s="1" t="s">
        <v>973</v>
      </c>
      <c r="AO78" s="12">
        <f>Table18[[#This Row],[Visit Cost]]*(1-Table18[[#This Row],[Insurance Coverage Pct]]/100)+Table18[[#This Row],[Copay Amount]]+Table18[[#This Row],[Deductible Applied]]</f>
        <v>207.90000000000001</v>
      </c>
    </row>
    <row r="79" spans="1:41" ht="15">
      <c r="A79" s="3" t="s">
        <v>974</v>
      </c>
      <c r="B79" s="1" t="s">
        <v>1325</v>
      </c>
      <c r="C79" s="2" t="s">
        <v>977</v>
      </c>
      <c r="D79" s="1" t="s">
        <v>45</v>
      </c>
      <c r="E79" s="1" t="s">
        <v>978</v>
      </c>
      <c r="F79" s="1" t="s">
        <v>47</v>
      </c>
      <c r="G79" s="1" t="s">
        <v>979</v>
      </c>
      <c r="H79" s="28">
        <v>45296</v>
      </c>
      <c r="I79" s="29">
        <v>0.5625</v>
      </c>
      <c r="J79" s="2" t="s">
        <v>111</v>
      </c>
      <c r="K79" s="1" t="s">
        <v>258</v>
      </c>
      <c r="L79" s="72" t="s">
        <v>1469</v>
      </c>
      <c r="M79" s="1" t="s">
        <v>259</v>
      </c>
      <c r="N79" s="1" t="s">
        <v>980</v>
      </c>
      <c r="O79" s="1" t="s">
        <v>981</v>
      </c>
      <c r="P79" s="1">
        <v>99203</v>
      </c>
      <c r="Q79" s="1" t="s">
        <v>982</v>
      </c>
      <c r="R79" s="1" t="s">
        <v>983</v>
      </c>
      <c r="S79" s="1" t="s">
        <v>150</v>
      </c>
      <c r="T79" s="1" t="s">
        <v>57</v>
      </c>
      <c r="U79" s="1">
        <v>75</v>
      </c>
      <c r="V79" s="17">
        <v>680</v>
      </c>
      <c r="W79" s="9">
        <f>70/(100)</f>
        <v>0.69999999999999996</v>
      </c>
      <c r="X79" s="7">
        <v>204</v>
      </c>
      <c r="Y79" s="15">
        <v>80</v>
      </c>
      <c r="Z79" s="16">
        <v>284</v>
      </c>
      <c r="AA79" s="14">
        <v>396</v>
      </c>
      <c r="AB79" s="1" t="s">
        <v>80</v>
      </c>
      <c r="AC79" s="1" t="b">
        <v>1</v>
      </c>
      <c r="AD79" s="1">
        <v>45509</v>
      </c>
      <c r="AE79" s="1" t="b">
        <v>0</v>
      </c>
      <c r="AF79" s="1" t="b">
        <v>1</v>
      </c>
      <c r="AG79" s="1" t="b">
        <v>0</v>
      </c>
      <c r="AH79" s="1" t="b">
        <v>0</v>
      </c>
      <c r="AI79" s="1" t="s">
        <v>1236</v>
      </c>
      <c r="AJ79" s="1">
        <v>3</v>
      </c>
      <c r="AK79" s="1" t="s">
        <v>984</v>
      </c>
      <c r="AL79" s="1">
        <v>88</v>
      </c>
      <c r="AM79" s="1" t="s">
        <v>61</v>
      </c>
      <c r="AN79" s="1" t="s">
        <v>985</v>
      </c>
      <c r="AO79" s="12">
        <f>Table18[[#This Row],[Visit Cost]]*(1-Table18[[#This Row],[Insurance Coverage Pct]]/100)+Table18[[#This Row],[Copay Amount]]+Table18[[#This Row],[Deductible Applied]]</f>
        <v>959.24000000000001</v>
      </c>
    </row>
    <row r="80" spans="1:41" ht="15">
      <c r="A80" s="3" t="s">
        <v>986</v>
      </c>
      <c r="B80" s="1" t="s">
        <v>1326</v>
      </c>
      <c r="C80" s="2">
        <v>35653</v>
      </c>
      <c r="D80" s="1" t="s">
        <v>67</v>
      </c>
      <c r="E80" s="1" t="s">
        <v>989</v>
      </c>
      <c r="F80" s="1" t="s">
        <v>69</v>
      </c>
      <c r="G80" s="1" t="s">
        <v>990</v>
      </c>
      <c r="H80" s="28">
        <v>45327</v>
      </c>
      <c r="I80" s="29">
        <v>0.36458333333333331</v>
      </c>
      <c r="J80" s="2" t="s">
        <v>92</v>
      </c>
      <c r="K80" s="1" t="s">
        <v>194</v>
      </c>
      <c r="L80" s="72" t="s">
        <v>1470</v>
      </c>
      <c r="M80" s="1" t="s">
        <v>195</v>
      </c>
      <c r="N80" s="1" t="s">
        <v>427</v>
      </c>
      <c r="O80" s="1" t="s">
        <v>428</v>
      </c>
      <c r="P80" s="1">
        <v>99204</v>
      </c>
      <c r="Q80" s="1" t="s">
        <v>429</v>
      </c>
      <c r="R80" s="1" t="s">
        <v>430</v>
      </c>
      <c r="S80" s="1" t="s">
        <v>57</v>
      </c>
      <c r="T80" s="1" t="s">
        <v>57</v>
      </c>
      <c r="U80" s="1">
        <v>50</v>
      </c>
      <c r="V80" s="17">
        <v>410</v>
      </c>
      <c r="W80" s="9">
        <f>75/(100)</f>
        <v>0.75</v>
      </c>
      <c r="X80" s="7">
        <v>102.5</v>
      </c>
      <c r="Y80" s="15">
        <v>55</v>
      </c>
      <c r="Z80" s="16">
        <v>157.5</v>
      </c>
      <c r="AA80" s="14">
        <v>252.5</v>
      </c>
      <c r="AB80" s="1" t="s">
        <v>58</v>
      </c>
      <c r="AC80" s="1" t="b">
        <v>1</v>
      </c>
      <c r="AD80" s="1">
        <v>45328</v>
      </c>
      <c r="AE80" s="1" t="b">
        <v>0</v>
      </c>
      <c r="AF80" s="1" t="b">
        <v>0</v>
      </c>
      <c r="AG80" s="1" t="b">
        <v>1</v>
      </c>
      <c r="AH80" s="1" t="b">
        <v>0</v>
      </c>
      <c r="AI80" s="1" t="s">
        <v>1236</v>
      </c>
      <c r="AJ80" s="1">
        <v>4</v>
      </c>
      <c r="AK80" s="1" t="s">
        <v>991</v>
      </c>
      <c r="AL80" s="1">
        <v>89</v>
      </c>
      <c r="AM80" s="1" t="s">
        <v>153</v>
      </c>
      <c r="AN80" s="1" t="s">
        <v>992</v>
      </c>
      <c r="AO80" s="12">
        <f>Table18[[#This Row],[Visit Cost]]*(1-Table18[[#This Row],[Insurance Coverage Pct]]/100)+Table18[[#This Row],[Copay Amount]]+Table18[[#This Row],[Deductible Applied]]</f>
        <v>564.42499999999995</v>
      </c>
    </row>
    <row r="81" spans="1:41" ht="15">
      <c r="A81" s="3" t="s">
        <v>993</v>
      </c>
      <c r="B81" s="1" t="s">
        <v>1327</v>
      </c>
      <c r="C81" s="2" t="s">
        <v>996</v>
      </c>
      <c r="D81" s="1" t="s">
        <v>45</v>
      </c>
      <c r="E81" s="1" t="s">
        <v>997</v>
      </c>
      <c r="F81" s="1" t="s">
        <v>47</v>
      </c>
      <c r="G81" s="1" t="s">
        <v>998</v>
      </c>
      <c r="H81" s="28">
        <v>45356</v>
      </c>
      <c r="I81" s="29">
        <v>0.66666666666666663</v>
      </c>
      <c r="J81" s="2" t="s">
        <v>1238</v>
      </c>
      <c r="K81" s="1" t="s">
        <v>73</v>
      </c>
      <c r="L81" s="72" t="s">
        <v>1471</v>
      </c>
      <c r="M81" s="1" t="s">
        <v>74</v>
      </c>
      <c r="N81" s="1" t="s">
        <v>53</v>
      </c>
      <c r="O81" s="1" t="s">
        <v>54</v>
      </c>
      <c r="P81" s="1">
        <v>99214</v>
      </c>
      <c r="Q81" s="1" t="s">
        <v>360</v>
      </c>
      <c r="R81" s="1" t="s">
        <v>57</v>
      </c>
      <c r="S81" s="1" t="s">
        <v>57</v>
      </c>
      <c r="T81" s="1" t="s">
        <v>57</v>
      </c>
      <c r="U81" s="1">
        <v>30</v>
      </c>
      <c r="V81" s="17">
        <v>185</v>
      </c>
      <c r="W81" s="9">
        <f>80/(100)</f>
        <v>0.80000000000000004</v>
      </c>
      <c r="X81" s="7">
        <v>37</v>
      </c>
      <c r="Y81" s="15">
        <v>25</v>
      </c>
      <c r="Z81" s="16">
        <v>62</v>
      </c>
      <c r="AA81" s="14">
        <v>123</v>
      </c>
      <c r="AB81" s="1" t="s">
        <v>80</v>
      </c>
      <c r="AC81" s="1" t="b">
        <v>0</v>
      </c>
      <c r="AD81" s="1" t="s">
        <v>1235</v>
      </c>
      <c r="AE81" s="1" t="b">
        <v>0</v>
      </c>
      <c r="AF81" s="1" t="b">
        <v>0</v>
      </c>
      <c r="AG81" s="1" t="b">
        <v>0</v>
      </c>
      <c r="AH81" s="1" t="b">
        <v>0</v>
      </c>
      <c r="AI81" s="1" t="s">
        <v>1236</v>
      </c>
      <c r="AJ81" s="1">
        <v>5</v>
      </c>
      <c r="AK81" s="1" t="s">
        <v>999</v>
      </c>
      <c r="AL81" s="1">
        <v>94</v>
      </c>
      <c r="AM81" s="1" t="s">
        <v>61</v>
      </c>
      <c r="AN81" s="1" t="s">
        <v>1000</v>
      </c>
      <c r="AO81" s="12">
        <f>Table18[[#This Row],[Visit Cost]]*(1-Table18[[#This Row],[Insurance Coverage Pct]]/100)+Table18[[#This Row],[Copay Amount]]+Table18[[#This Row],[Deductible Applied]]</f>
        <v>245.52000000000001</v>
      </c>
    </row>
    <row r="82" spans="1:41" ht="15">
      <c r="A82" s="3" t="s">
        <v>1001</v>
      </c>
      <c r="B82" s="1" t="s">
        <v>1328</v>
      </c>
      <c r="C82" s="2" t="s">
        <v>1003</v>
      </c>
      <c r="D82" s="1" t="s">
        <v>67</v>
      </c>
      <c r="E82" s="1" t="s">
        <v>1004</v>
      </c>
      <c r="F82" s="1" t="s">
        <v>47</v>
      </c>
      <c r="G82" s="1" t="s">
        <v>1005</v>
      </c>
      <c r="H82" s="28">
        <v>45448</v>
      </c>
      <c r="I82" s="29">
        <v>0.38541666666666669</v>
      </c>
      <c r="J82" s="2" t="s">
        <v>144</v>
      </c>
      <c r="K82" s="1" t="s">
        <v>145</v>
      </c>
      <c r="L82" s="72" t="s">
        <v>1472</v>
      </c>
      <c r="M82" s="1" t="s">
        <v>146</v>
      </c>
      <c r="N82" s="1" t="s">
        <v>371</v>
      </c>
      <c r="O82" s="1" t="s">
        <v>372</v>
      </c>
      <c r="P82" s="1">
        <v>99222</v>
      </c>
      <c r="Q82" s="1" t="s">
        <v>373</v>
      </c>
      <c r="R82" s="1" t="s">
        <v>57</v>
      </c>
      <c r="S82" s="1" t="s">
        <v>374</v>
      </c>
      <c r="T82" s="1">
        <v>47600</v>
      </c>
      <c r="U82" s="1">
        <v>90</v>
      </c>
      <c r="V82" s="17">
        <v>9500</v>
      </c>
      <c r="W82" s="9">
        <f>75/(100)</f>
        <v>0.75</v>
      </c>
      <c r="X82" s="7">
        <v>2375</v>
      </c>
      <c r="Y82" s="15">
        <v>600</v>
      </c>
      <c r="Z82" s="16">
        <v>2975</v>
      </c>
      <c r="AA82" s="14">
        <v>6525</v>
      </c>
      <c r="AB82" s="1" t="s">
        <v>80</v>
      </c>
      <c r="AC82" s="1" t="b">
        <v>1</v>
      </c>
      <c r="AD82" s="1" t="s">
        <v>1006</v>
      </c>
      <c r="AE82" s="1" t="b">
        <v>0</v>
      </c>
      <c r="AF82" s="1" t="b">
        <v>1</v>
      </c>
      <c r="AG82" s="1" t="b">
        <v>1</v>
      </c>
      <c r="AH82" s="1" t="b">
        <v>0</v>
      </c>
      <c r="AI82" s="1" t="s">
        <v>1236</v>
      </c>
      <c r="AJ82" s="1">
        <v>4</v>
      </c>
      <c r="AK82" s="1" t="s">
        <v>1007</v>
      </c>
      <c r="AL82" s="1">
        <v>86</v>
      </c>
      <c r="AM82" s="1" t="s">
        <v>153</v>
      </c>
      <c r="AN82" s="1" t="s">
        <v>1008</v>
      </c>
      <c r="AO82" s="12">
        <f>Table18[[#This Row],[Visit Cost]]*(1-Table18[[#This Row],[Insurance Coverage Pct]]/100)+Table18[[#This Row],[Copay Amount]]+Table18[[#This Row],[Deductible Applied]]</f>
        <v>12403.75</v>
      </c>
    </row>
    <row r="83" spans="1:41" ht="15">
      <c r="A83" s="3" t="s">
        <v>1009</v>
      </c>
      <c r="B83" s="1" t="s">
        <v>1329</v>
      </c>
      <c r="C83" s="2" t="s">
        <v>1012</v>
      </c>
      <c r="D83" s="1" t="s">
        <v>45</v>
      </c>
      <c r="E83" s="1" t="s">
        <v>1013</v>
      </c>
      <c r="F83" s="1" t="s">
        <v>89</v>
      </c>
      <c r="G83" s="1" t="s">
        <v>1014</v>
      </c>
      <c r="H83" s="28">
        <v>45478</v>
      </c>
      <c r="I83" s="29">
        <v>0.60416666666666663</v>
      </c>
      <c r="J83" s="2" t="s">
        <v>50</v>
      </c>
      <c r="K83" s="1" t="s">
        <v>273</v>
      </c>
      <c r="L83" s="72" t="s">
        <v>1473</v>
      </c>
      <c r="M83" s="1" t="s">
        <v>274</v>
      </c>
      <c r="N83" s="1" t="s">
        <v>95</v>
      </c>
      <c r="O83" s="1" t="s">
        <v>96</v>
      </c>
      <c r="P83" s="1">
        <v>99214</v>
      </c>
      <c r="Q83" s="1" t="s">
        <v>97</v>
      </c>
      <c r="R83" s="1" t="s">
        <v>57</v>
      </c>
      <c r="S83" s="1" t="s">
        <v>57</v>
      </c>
      <c r="T83" s="1" t="s">
        <v>57</v>
      </c>
      <c r="U83" s="1">
        <v>40</v>
      </c>
      <c r="V83" s="17">
        <v>270</v>
      </c>
      <c r="W83" s="9">
        <f>100/(100)</f>
        <v>1</v>
      </c>
      <c r="X83" s="7">
        <v>0</v>
      </c>
      <c r="Y83" s="15">
        <v>0</v>
      </c>
      <c r="Z83" s="16">
        <v>0</v>
      </c>
      <c r="AA83" s="14">
        <v>270</v>
      </c>
      <c r="AB83" s="1" t="s">
        <v>89</v>
      </c>
      <c r="AC83" s="1" t="b">
        <v>1</v>
      </c>
      <c r="AD83" s="1">
        <v>45479</v>
      </c>
      <c r="AE83" s="1" t="b">
        <v>0</v>
      </c>
      <c r="AF83" s="1" t="b">
        <v>0</v>
      </c>
      <c r="AG83" s="1" t="b">
        <v>0</v>
      </c>
      <c r="AH83" s="1" t="b">
        <v>0</v>
      </c>
      <c r="AI83" s="1" t="s">
        <v>1236</v>
      </c>
      <c r="AJ83" s="1">
        <v>5</v>
      </c>
      <c r="AK83" s="1" t="s">
        <v>1015</v>
      </c>
      <c r="AL83" s="1">
        <v>93</v>
      </c>
      <c r="AM83" s="1" t="s">
        <v>61</v>
      </c>
      <c r="AN83" s="1" t="s">
        <v>1016</v>
      </c>
      <c r="AO83" s="12">
        <f>Table18[[#This Row],[Visit Cost]]*(1-Table18[[#This Row],[Insurance Coverage Pct]]/100)+Table18[[#This Row],[Copay Amount]]+Table18[[#This Row],[Deductible Applied]]</f>
        <v>267.30000000000001</v>
      </c>
    </row>
    <row r="84" spans="1:41" ht="15">
      <c r="A84" s="3" t="s">
        <v>1017</v>
      </c>
      <c r="B84" s="1" t="s">
        <v>1330</v>
      </c>
      <c r="C84" s="2">
        <v>33912</v>
      </c>
      <c r="D84" s="1" t="s">
        <v>67</v>
      </c>
      <c r="E84" s="1" t="s">
        <v>1020</v>
      </c>
      <c r="F84" s="1" t="s">
        <v>69</v>
      </c>
      <c r="G84" s="1" t="s">
        <v>1021</v>
      </c>
      <c r="H84" s="28">
        <v>45509</v>
      </c>
      <c r="I84" s="29">
        <v>0.45833333333333331</v>
      </c>
      <c r="J84" s="2" t="s">
        <v>92</v>
      </c>
      <c r="K84" s="1" t="s">
        <v>245</v>
      </c>
      <c r="L84" s="72" t="s">
        <v>1474</v>
      </c>
      <c r="M84" s="1" t="s">
        <v>246</v>
      </c>
      <c r="N84" s="1" t="s">
        <v>396</v>
      </c>
      <c r="O84" s="1" t="s">
        <v>397</v>
      </c>
      <c r="P84" s="1">
        <v>99203</v>
      </c>
      <c r="Q84" s="1" t="s">
        <v>1022</v>
      </c>
      <c r="R84" s="1" t="s">
        <v>57</v>
      </c>
      <c r="S84" s="1" t="s">
        <v>57</v>
      </c>
      <c r="T84" s="1" t="s">
        <v>57</v>
      </c>
      <c r="U84" s="1">
        <v>30</v>
      </c>
      <c r="V84" s="17">
        <v>220</v>
      </c>
      <c r="W84" s="9">
        <f>85/(100)</f>
        <v>0.84999999999999998</v>
      </c>
      <c r="X84" s="7">
        <v>33</v>
      </c>
      <c r="Y84" s="15">
        <v>25</v>
      </c>
      <c r="Z84" s="16">
        <v>58</v>
      </c>
      <c r="AA84" s="14">
        <v>162</v>
      </c>
      <c r="AB84" s="1" t="s">
        <v>118</v>
      </c>
      <c r="AC84" s="1" t="b">
        <v>1</v>
      </c>
      <c r="AD84" s="1">
        <v>45510</v>
      </c>
      <c r="AE84" s="1" t="b">
        <v>0</v>
      </c>
      <c r="AF84" s="1" t="b">
        <v>0</v>
      </c>
      <c r="AG84" s="1" t="b">
        <v>1</v>
      </c>
      <c r="AH84" s="1" t="b">
        <v>0</v>
      </c>
      <c r="AI84" s="1" t="s">
        <v>1236</v>
      </c>
      <c r="AJ84" s="1">
        <v>3</v>
      </c>
      <c r="AK84" s="1" t="s">
        <v>1023</v>
      </c>
      <c r="AL84" s="1">
        <v>89</v>
      </c>
      <c r="AM84" s="1" t="s">
        <v>61</v>
      </c>
      <c r="AN84" s="1" t="s">
        <v>1024</v>
      </c>
      <c r="AO84" s="12">
        <f>Table18[[#This Row],[Visit Cost]]*(1-Table18[[#This Row],[Insurance Coverage Pct]]/100)+Table18[[#This Row],[Copay Amount]]+Table18[[#This Row],[Deductible Applied]]</f>
        <v>276.13</v>
      </c>
    </row>
    <row r="85" spans="1:41" ht="15">
      <c r="A85" s="3" t="s">
        <v>1025</v>
      </c>
      <c r="B85" s="1" t="s">
        <v>1331</v>
      </c>
      <c r="C85" s="2">
        <v>25393</v>
      </c>
      <c r="D85" s="1" t="s">
        <v>45</v>
      </c>
      <c r="E85" s="1" t="s">
        <v>1028</v>
      </c>
      <c r="F85" s="1" t="s">
        <v>127</v>
      </c>
      <c r="G85" s="1" t="s">
        <v>1029</v>
      </c>
      <c r="H85" s="28">
        <v>45540</v>
      </c>
      <c r="I85" s="29">
        <v>0.36458333333333331</v>
      </c>
      <c r="J85" s="2" t="s">
        <v>111</v>
      </c>
      <c r="K85" s="1" t="s">
        <v>130</v>
      </c>
      <c r="L85" s="72" t="s">
        <v>1475</v>
      </c>
      <c r="M85" s="1" t="s">
        <v>113</v>
      </c>
      <c r="N85" s="1" t="s">
        <v>406</v>
      </c>
      <c r="O85" s="1" t="s">
        <v>407</v>
      </c>
      <c r="P85" s="1">
        <v>99291</v>
      </c>
      <c r="Q85" s="1" t="s">
        <v>1030</v>
      </c>
      <c r="R85" s="1" t="s">
        <v>117</v>
      </c>
      <c r="S85" s="1" t="s">
        <v>117</v>
      </c>
      <c r="T85" s="1" t="s">
        <v>57</v>
      </c>
      <c r="U85" s="1">
        <v>95</v>
      </c>
      <c r="V85" s="17">
        <v>600</v>
      </c>
      <c r="W85" s="9">
        <f>100/(100)</f>
        <v>1</v>
      </c>
      <c r="X85" s="7">
        <v>0</v>
      </c>
      <c r="Y85" s="15">
        <v>0</v>
      </c>
      <c r="Z85" s="16">
        <v>0</v>
      </c>
      <c r="AA85" s="14">
        <v>600</v>
      </c>
      <c r="AB85" s="1" t="s">
        <v>127</v>
      </c>
      <c r="AC85" s="1" t="b">
        <v>1</v>
      </c>
      <c r="AD85" s="1" t="s">
        <v>865</v>
      </c>
      <c r="AE85" s="1" t="b">
        <v>0</v>
      </c>
      <c r="AF85" s="1" t="b">
        <v>1</v>
      </c>
      <c r="AG85" s="1" t="b">
        <v>0</v>
      </c>
      <c r="AH85" s="1" t="b">
        <v>0</v>
      </c>
      <c r="AI85" s="1" t="s">
        <v>1236</v>
      </c>
      <c r="AJ85" s="1">
        <v>4</v>
      </c>
      <c r="AK85" s="1" t="s">
        <v>1031</v>
      </c>
      <c r="AL85" s="1">
        <v>92</v>
      </c>
      <c r="AM85" s="1" t="s">
        <v>61</v>
      </c>
      <c r="AN85" s="1" t="s">
        <v>1032</v>
      </c>
      <c r="AO85" s="12">
        <f>Table18[[#This Row],[Visit Cost]]*(1-Table18[[#This Row],[Insurance Coverage Pct]]/100)+Table18[[#This Row],[Copay Amount]]+Table18[[#This Row],[Deductible Applied]]</f>
        <v>594</v>
      </c>
    </row>
    <row r="86" spans="1:41" ht="15">
      <c r="A86" s="3" t="s">
        <v>1033</v>
      </c>
      <c r="B86" s="1" t="s">
        <v>1332</v>
      </c>
      <c r="C86" s="2" t="s">
        <v>1036</v>
      </c>
      <c r="D86" s="1" t="s">
        <v>67</v>
      </c>
      <c r="E86" s="1" t="s">
        <v>1037</v>
      </c>
      <c r="F86" s="1" t="s">
        <v>47</v>
      </c>
      <c r="G86" s="1" t="s">
        <v>1038</v>
      </c>
      <c r="H86" s="28">
        <v>45570</v>
      </c>
      <c r="I86" s="29">
        <v>0.55208333333333337</v>
      </c>
      <c r="J86" s="2" t="s">
        <v>212</v>
      </c>
      <c r="K86" s="1" t="s">
        <v>1240</v>
      </c>
      <c r="L86" s="72" t="s">
        <v>1476</v>
      </c>
      <c r="M86" s="1" t="s">
        <v>214</v>
      </c>
      <c r="N86" s="1" t="s">
        <v>215</v>
      </c>
      <c r="O86" s="1" t="s">
        <v>216</v>
      </c>
      <c r="P86" s="1">
        <v>99213</v>
      </c>
      <c r="Q86" s="1" t="s">
        <v>217</v>
      </c>
      <c r="R86" s="1" t="s">
        <v>218</v>
      </c>
      <c r="S86" s="1" t="s">
        <v>218</v>
      </c>
      <c r="T86" s="1" t="s">
        <v>57</v>
      </c>
      <c r="U86" s="1">
        <v>35</v>
      </c>
      <c r="V86" s="17">
        <v>285</v>
      </c>
      <c r="W86" s="9">
        <f>80/(100)</f>
        <v>0.80000000000000004</v>
      </c>
      <c r="X86" s="7">
        <v>57</v>
      </c>
      <c r="Y86" s="15">
        <v>35</v>
      </c>
      <c r="Z86" s="16">
        <v>92</v>
      </c>
      <c r="AA86" s="14">
        <v>193</v>
      </c>
      <c r="AB86" s="1" t="s">
        <v>80</v>
      </c>
      <c r="AC86" s="1" t="b">
        <v>1</v>
      </c>
      <c r="AD86" s="1">
        <v>45571</v>
      </c>
      <c r="AE86" s="1" t="b">
        <v>0</v>
      </c>
      <c r="AF86" s="1" t="b">
        <v>0</v>
      </c>
      <c r="AG86" s="1" t="b">
        <v>0</v>
      </c>
      <c r="AH86" s="1" t="b">
        <v>0</v>
      </c>
      <c r="AI86" s="1" t="s">
        <v>1236</v>
      </c>
      <c r="AJ86" s="1">
        <v>5</v>
      </c>
      <c r="AK86" s="1" t="s">
        <v>1039</v>
      </c>
      <c r="AL86" s="1">
        <v>96</v>
      </c>
      <c r="AM86" s="1" t="s">
        <v>61</v>
      </c>
      <c r="AN86" s="1" t="s">
        <v>1040</v>
      </c>
      <c r="AO86" s="12">
        <f>Table18[[#This Row],[Visit Cost]]*(1-Table18[[#This Row],[Insurance Coverage Pct]]/100)+Table18[[#This Row],[Copay Amount]]+Table18[[#This Row],[Deductible Applied]]</f>
        <v>374.71999999999997</v>
      </c>
    </row>
    <row r="87" spans="1:41" ht="15">
      <c r="A87" s="3" t="s">
        <v>1041</v>
      </c>
      <c r="B87" s="1" t="s">
        <v>1333</v>
      </c>
      <c r="C87" s="2" t="s">
        <v>1044</v>
      </c>
      <c r="D87" s="1" t="s">
        <v>45</v>
      </c>
      <c r="E87" s="1" t="s">
        <v>1045</v>
      </c>
      <c r="F87" s="1" t="s">
        <v>69</v>
      </c>
      <c r="G87" s="1" t="s">
        <v>1046</v>
      </c>
      <c r="H87" s="28" t="s">
        <v>1047</v>
      </c>
      <c r="I87" s="29">
        <v>0.69791666666666663</v>
      </c>
      <c r="J87" s="2" t="s">
        <v>1238</v>
      </c>
      <c r="K87" s="1" t="s">
        <v>258</v>
      </c>
      <c r="L87" s="72" t="s">
        <v>1477</v>
      </c>
      <c r="M87" s="1" t="s">
        <v>259</v>
      </c>
      <c r="N87" s="1" t="s">
        <v>1241</v>
      </c>
      <c r="O87" s="1" t="s">
        <v>647</v>
      </c>
      <c r="P87" s="1">
        <v>99213</v>
      </c>
      <c r="Q87" s="1" t="s">
        <v>1049</v>
      </c>
      <c r="R87" s="1" t="s">
        <v>1050</v>
      </c>
      <c r="S87" s="1" t="s">
        <v>57</v>
      </c>
      <c r="T87" s="1" t="s">
        <v>57</v>
      </c>
      <c r="U87" s="1">
        <v>65</v>
      </c>
      <c r="V87" s="17">
        <v>1200</v>
      </c>
      <c r="W87" s="9">
        <f>70/(100)</f>
        <v>0.69999999999999996</v>
      </c>
      <c r="X87" s="7">
        <v>360</v>
      </c>
      <c r="Y87" s="15">
        <v>100</v>
      </c>
      <c r="Z87" s="16">
        <v>460</v>
      </c>
      <c r="AA87" s="14">
        <v>740</v>
      </c>
      <c r="AB87" s="1" t="s">
        <v>58</v>
      </c>
      <c r="AC87" s="1" t="b">
        <v>1</v>
      </c>
      <c r="AD87" s="1" t="s">
        <v>1051</v>
      </c>
      <c r="AE87" s="1" t="b">
        <v>0</v>
      </c>
      <c r="AF87" s="1" t="b">
        <v>0</v>
      </c>
      <c r="AG87" s="1" t="b">
        <v>1</v>
      </c>
      <c r="AH87" s="1" t="b">
        <v>1</v>
      </c>
      <c r="AI87" s="1" t="s">
        <v>1052</v>
      </c>
      <c r="AJ87" s="1">
        <v>3</v>
      </c>
      <c r="AK87" s="1" t="s">
        <v>1053</v>
      </c>
      <c r="AL87" s="1">
        <v>85</v>
      </c>
      <c r="AM87" s="1" t="s">
        <v>172</v>
      </c>
      <c r="AN87" s="1" t="s">
        <v>1054</v>
      </c>
      <c r="AO87" s="12">
        <f>Table18[[#This Row],[Visit Cost]]*(1-Table18[[#This Row],[Insurance Coverage Pct]]/100)+Table18[[#This Row],[Copay Amount]]+Table18[[#This Row],[Deductible Applied]]</f>
        <v>1651.5999999999999</v>
      </c>
    </row>
    <row r="88" spans="1:41" ht="15">
      <c r="A88" s="3" t="s">
        <v>1055</v>
      </c>
      <c r="B88" s="1" t="s">
        <v>1334</v>
      </c>
      <c r="C88" s="2" t="s">
        <v>1058</v>
      </c>
      <c r="D88" s="1" t="s">
        <v>67</v>
      </c>
      <c r="E88" s="1" t="s">
        <v>1059</v>
      </c>
      <c r="F88" s="1" t="s">
        <v>47</v>
      </c>
      <c r="G88" s="1" t="s">
        <v>1060</v>
      </c>
      <c r="H88" s="28" t="s">
        <v>1061</v>
      </c>
      <c r="I88" s="29">
        <v>0.39583333333333331</v>
      </c>
      <c r="J88" s="2" t="s">
        <v>180</v>
      </c>
      <c r="K88" s="1" t="s">
        <v>181</v>
      </c>
      <c r="L88" s="72" t="s">
        <v>1478</v>
      </c>
      <c r="M88" s="1" t="s">
        <v>182</v>
      </c>
      <c r="N88" s="1" t="s">
        <v>1062</v>
      </c>
      <c r="O88" s="1" t="s">
        <v>1063</v>
      </c>
      <c r="P88" s="1">
        <v>99212</v>
      </c>
      <c r="Q88" s="1" t="s">
        <v>57</v>
      </c>
      <c r="R88" s="1" t="s">
        <v>57</v>
      </c>
      <c r="S88" s="1" t="s">
        <v>57</v>
      </c>
      <c r="T88" s="1" t="s">
        <v>57</v>
      </c>
      <c r="U88" s="1">
        <v>25</v>
      </c>
      <c r="V88" s="17">
        <v>180</v>
      </c>
      <c r="W88" s="9">
        <f>90/(100)</f>
        <v>0.90000000000000002</v>
      </c>
      <c r="X88" s="7">
        <v>18</v>
      </c>
      <c r="Y88" s="15">
        <v>10</v>
      </c>
      <c r="Z88" s="16">
        <v>28</v>
      </c>
      <c r="AA88" s="14">
        <v>152</v>
      </c>
      <c r="AB88" s="1" t="s">
        <v>80</v>
      </c>
      <c r="AC88" s="1" t="b">
        <v>0</v>
      </c>
      <c r="AD88" s="1" t="s">
        <v>1235</v>
      </c>
      <c r="AE88" s="1" t="b">
        <v>0</v>
      </c>
      <c r="AF88" s="1" t="b">
        <v>0</v>
      </c>
      <c r="AG88" s="1" t="b">
        <v>0</v>
      </c>
      <c r="AH88" s="1" t="b">
        <v>0</v>
      </c>
      <c r="AI88" s="1" t="s">
        <v>1236</v>
      </c>
      <c r="AJ88" s="1">
        <v>4</v>
      </c>
      <c r="AK88" s="1" t="s">
        <v>1064</v>
      </c>
      <c r="AL88" s="1">
        <v>94</v>
      </c>
      <c r="AM88" s="1" t="s">
        <v>61</v>
      </c>
      <c r="AN88" s="1" t="s">
        <v>1065</v>
      </c>
      <c r="AO88" s="12">
        <f>Table18[[#This Row],[Visit Cost]]*(1-Table18[[#This Row],[Insurance Coverage Pct]]/100)+Table18[[#This Row],[Copay Amount]]+Table18[[#This Row],[Deductible Applied]]</f>
        <v>206.38</v>
      </c>
    </row>
    <row r="89" spans="1:41" ht="15">
      <c r="A89" s="3" t="s">
        <v>1066</v>
      </c>
      <c r="B89" s="1" t="s">
        <v>1335</v>
      </c>
      <c r="C89" s="2">
        <v>18386</v>
      </c>
      <c r="D89" s="1" t="s">
        <v>45</v>
      </c>
      <c r="E89" s="1" t="s">
        <v>1069</v>
      </c>
      <c r="F89" s="1" t="s">
        <v>89</v>
      </c>
      <c r="G89" s="1" t="s">
        <v>1070</v>
      </c>
      <c r="H89" s="28" t="s">
        <v>1071</v>
      </c>
      <c r="I89" s="29">
        <v>0.58333333333333337</v>
      </c>
      <c r="J89" s="2" t="s">
        <v>144</v>
      </c>
      <c r="K89" s="1" t="s">
        <v>286</v>
      </c>
      <c r="L89" s="72" t="s">
        <v>1479</v>
      </c>
      <c r="M89" s="1" t="s">
        <v>287</v>
      </c>
      <c r="N89" s="1" t="s">
        <v>288</v>
      </c>
      <c r="O89" s="1" t="s">
        <v>289</v>
      </c>
      <c r="P89" s="1">
        <v>99221</v>
      </c>
      <c r="Q89" s="1" t="s">
        <v>290</v>
      </c>
      <c r="R89" s="1" t="s">
        <v>57</v>
      </c>
      <c r="S89" s="1" t="s">
        <v>57</v>
      </c>
      <c r="T89" s="1">
        <v>66984</v>
      </c>
      <c r="U89" s="1">
        <v>85</v>
      </c>
      <c r="V89" s="17">
        <v>3650</v>
      </c>
      <c r="W89" s="9">
        <f>80/(100)</f>
        <v>0.80000000000000004</v>
      </c>
      <c r="X89" s="7">
        <v>730</v>
      </c>
      <c r="Y89" s="15">
        <v>200</v>
      </c>
      <c r="Z89" s="16">
        <v>930</v>
      </c>
      <c r="AA89" s="14">
        <v>2720</v>
      </c>
      <c r="AB89" s="1" t="s">
        <v>80</v>
      </c>
      <c r="AC89" s="1" t="b">
        <v>1</v>
      </c>
      <c r="AD89" s="1" t="s">
        <v>961</v>
      </c>
      <c r="AE89" s="1" t="b">
        <v>0</v>
      </c>
      <c r="AF89" s="1" t="b">
        <v>1</v>
      </c>
      <c r="AG89" s="1" t="b">
        <v>1</v>
      </c>
      <c r="AH89" s="1" t="b">
        <v>0</v>
      </c>
      <c r="AI89" s="1" t="s">
        <v>1236</v>
      </c>
      <c r="AJ89" s="1">
        <v>5</v>
      </c>
      <c r="AK89" s="1" t="s">
        <v>1072</v>
      </c>
      <c r="AL89" s="1">
        <v>90</v>
      </c>
      <c r="AM89" s="1" t="s">
        <v>172</v>
      </c>
      <c r="AN89" s="1" t="s">
        <v>1073</v>
      </c>
      <c r="AO89" s="12">
        <f>Table18[[#This Row],[Visit Cost]]*(1-Table18[[#This Row],[Insurance Coverage Pct]]/100)+Table18[[#This Row],[Copay Amount]]+Table18[[#This Row],[Deductible Applied]]</f>
        <v>4550.8000000000002</v>
      </c>
    </row>
    <row r="90" spans="1:41" ht="15">
      <c r="A90" s="3" t="s">
        <v>1074</v>
      </c>
      <c r="B90" s="1" t="s">
        <v>1336</v>
      </c>
      <c r="C90" s="2" t="s">
        <v>1077</v>
      </c>
      <c r="D90" s="1" t="s">
        <v>67</v>
      </c>
      <c r="E90" s="1" t="s">
        <v>1078</v>
      </c>
      <c r="F90" s="1" t="s">
        <v>69</v>
      </c>
      <c r="G90" s="1" t="s">
        <v>1079</v>
      </c>
      <c r="H90" s="28" t="s">
        <v>865</v>
      </c>
      <c r="I90" s="29">
        <v>0.44791666666666669</v>
      </c>
      <c r="J90" s="2" t="s">
        <v>92</v>
      </c>
      <c r="K90" s="1" t="s">
        <v>346</v>
      </c>
      <c r="L90" s="72" t="s">
        <v>1480</v>
      </c>
      <c r="M90" s="1" t="s">
        <v>347</v>
      </c>
      <c r="N90" s="1" t="s">
        <v>1080</v>
      </c>
      <c r="O90" s="1" t="s">
        <v>1081</v>
      </c>
      <c r="P90" s="1">
        <v>99204</v>
      </c>
      <c r="Q90" s="1" t="s">
        <v>1082</v>
      </c>
      <c r="R90" s="1" t="s">
        <v>351</v>
      </c>
      <c r="S90" s="1" t="s">
        <v>57</v>
      </c>
      <c r="T90" s="1" t="s">
        <v>57</v>
      </c>
      <c r="U90" s="1">
        <v>45</v>
      </c>
      <c r="V90" s="17">
        <v>330</v>
      </c>
      <c r="W90" s="9">
        <f>75/(100)</f>
        <v>0.75</v>
      </c>
      <c r="X90" s="7">
        <v>82.5</v>
      </c>
      <c r="Y90" s="15">
        <v>50</v>
      </c>
      <c r="Z90" s="16">
        <v>132.5</v>
      </c>
      <c r="AA90" s="14">
        <v>197.5</v>
      </c>
      <c r="AB90" s="1" t="s">
        <v>118</v>
      </c>
      <c r="AC90" s="1" t="b">
        <v>1</v>
      </c>
      <c r="AD90" s="1" t="s">
        <v>1083</v>
      </c>
      <c r="AE90" s="1" t="b">
        <v>0</v>
      </c>
      <c r="AF90" s="1" t="b">
        <v>0</v>
      </c>
      <c r="AG90" s="1" t="b">
        <v>1</v>
      </c>
      <c r="AH90" s="1" t="b">
        <v>0</v>
      </c>
      <c r="AI90" s="1" t="s">
        <v>1236</v>
      </c>
      <c r="AJ90" s="1">
        <v>4</v>
      </c>
      <c r="AK90" s="1" t="s">
        <v>1084</v>
      </c>
      <c r="AL90" s="1">
        <v>91</v>
      </c>
      <c r="AM90" s="1" t="s">
        <v>61</v>
      </c>
      <c r="AN90" s="1" t="s">
        <v>1085</v>
      </c>
      <c r="AO90" s="12">
        <f>Table18[[#This Row],[Visit Cost]]*(1-Table18[[#This Row],[Insurance Coverage Pct]]/100)+Table18[[#This Row],[Copay Amount]]+Table18[[#This Row],[Deductible Applied]]</f>
        <v>460.02500000000003</v>
      </c>
    </row>
    <row r="91" spans="1:41" ht="15">
      <c r="A91" s="3" t="s">
        <v>1086</v>
      </c>
      <c r="B91" s="1" t="s">
        <v>1337</v>
      </c>
      <c r="C91" s="2" t="s">
        <v>1089</v>
      </c>
      <c r="D91" s="1" t="s">
        <v>45</v>
      </c>
      <c r="E91" s="1" t="s">
        <v>1090</v>
      </c>
      <c r="F91" s="1" t="s">
        <v>47</v>
      </c>
      <c r="G91" s="1" t="s">
        <v>1091</v>
      </c>
      <c r="H91" s="28" t="s">
        <v>1092</v>
      </c>
      <c r="I91" s="29">
        <v>0.33333333333333331</v>
      </c>
      <c r="J91" s="2" t="s">
        <v>50</v>
      </c>
      <c r="K91" s="1" t="s">
        <v>309</v>
      </c>
      <c r="L91" s="72" t="s">
        <v>1481</v>
      </c>
      <c r="M91" s="1" t="s">
        <v>310</v>
      </c>
      <c r="N91" s="1" t="s">
        <v>469</v>
      </c>
      <c r="O91" s="1" t="s">
        <v>470</v>
      </c>
      <c r="P91" s="1">
        <v>99214</v>
      </c>
      <c r="Q91" s="1" t="s">
        <v>1093</v>
      </c>
      <c r="R91" s="1" t="s">
        <v>471</v>
      </c>
      <c r="S91" s="1" t="s">
        <v>234</v>
      </c>
      <c r="T91" s="1" t="s">
        <v>57</v>
      </c>
      <c r="U91" s="1">
        <v>40</v>
      </c>
      <c r="V91" s="17">
        <v>560</v>
      </c>
      <c r="W91" s="9">
        <f>80/(100)</f>
        <v>0.80000000000000004</v>
      </c>
      <c r="X91" s="7">
        <v>112</v>
      </c>
      <c r="Y91" s="15">
        <v>50</v>
      </c>
      <c r="Z91" s="16">
        <v>162</v>
      </c>
      <c r="AA91" s="14">
        <v>398</v>
      </c>
      <c r="AB91" s="1" t="s">
        <v>58</v>
      </c>
      <c r="AC91" s="1" t="b">
        <v>1</v>
      </c>
      <c r="AD91" s="1" t="s">
        <v>1094</v>
      </c>
      <c r="AE91" s="1" t="b">
        <v>0</v>
      </c>
      <c r="AF91" s="1" t="b">
        <v>0</v>
      </c>
      <c r="AG91" s="1" t="b">
        <v>0</v>
      </c>
      <c r="AH91" s="1" t="b">
        <v>0</v>
      </c>
      <c r="AI91" s="1" t="s">
        <v>1236</v>
      </c>
      <c r="AJ91" s="1">
        <v>3</v>
      </c>
      <c r="AK91" s="1" t="s">
        <v>1095</v>
      </c>
      <c r="AL91" s="1">
        <v>88</v>
      </c>
      <c r="AM91" s="1" t="s">
        <v>153</v>
      </c>
      <c r="AN91" s="1" t="s">
        <v>1096</v>
      </c>
      <c r="AO91" s="12">
        <f>Table18[[#This Row],[Visit Cost]]*(1-Table18[[#This Row],[Insurance Coverage Pct]]/100)+Table18[[#This Row],[Copay Amount]]+Table18[[#This Row],[Deductible Applied]]</f>
        <v>717.51999999999998</v>
      </c>
    </row>
    <row r="92" spans="1:41" ht="30">
      <c r="A92" s="3" t="s">
        <v>1097</v>
      </c>
      <c r="B92" s="1" t="s">
        <v>1338</v>
      </c>
      <c r="C92" s="2" t="s">
        <v>1100</v>
      </c>
      <c r="D92" s="1" t="s">
        <v>67</v>
      </c>
      <c r="E92" s="1" t="s">
        <v>1101</v>
      </c>
      <c r="F92" s="1" t="s">
        <v>69</v>
      </c>
      <c r="G92" s="1" t="s">
        <v>1102</v>
      </c>
      <c r="H92" s="28" t="s">
        <v>1006</v>
      </c>
      <c r="I92" s="29">
        <v>0.5625</v>
      </c>
      <c r="J92" s="2" t="s">
        <v>111</v>
      </c>
      <c r="K92" s="1" t="s">
        <v>162</v>
      </c>
      <c r="L92" s="72" t="s">
        <v>1482</v>
      </c>
      <c r="M92" s="1" t="s">
        <v>163</v>
      </c>
      <c r="N92" s="10" t="s">
        <v>1242</v>
      </c>
      <c r="O92" s="1" t="s">
        <v>548</v>
      </c>
      <c r="P92" s="1">
        <v>99203</v>
      </c>
      <c r="Q92" s="1" t="s">
        <v>1104</v>
      </c>
      <c r="R92" s="1" t="s">
        <v>117</v>
      </c>
      <c r="S92" s="1" t="s">
        <v>57</v>
      </c>
      <c r="T92" s="1" t="s">
        <v>57</v>
      </c>
      <c r="U92" s="1">
        <v>50</v>
      </c>
      <c r="V92" s="17">
        <v>320</v>
      </c>
      <c r="W92" s="9">
        <f>70/(100)</f>
        <v>0.69999999999999996</v>
      </c>
      <c r="X92" s="7">
        <v>96</v>
      </c>
      <c r="Y92" s="15">
        <v>55</v>
      </c>
      <c r="Z92" s="16">
        <v>151</v>
      </c>
      <c r="AA92" s="14">
        <v>169</v>
      </c>
      <c r="AB92" s="1" t="s">
        <v>80</v>
      </c>
      <c r="AC92" s="1" t="b">
        <v>1</v>
      </c>
      <c r="AD92" s="1" t="s">
        <v>1105</v>
      </c>
      <c r="AE92" s="1" t="b">
        <v>0</v>
      </c>
      <c r="AF92" s="1" t="b">
        <v>1</v>
      </c>
      <c r="AG92" s="1" t="b">
        <v>0</v>
      </c>
      <c r="AH92" s="1" t="b">
        <v>0</v>
      </c>
      <c r="AI92" s="1" t="s">
        <v>1236</v>
      </c>
      <c r="AJ92" s="1">
        <v>3</v>
      </c>
      <c r="AK92" s="1" t="s">
        <v>1106</v>
      </c>
      <c r="AL92" s="1">
        <v>87</v>
      </c>
      <c r="AM92" s="1" t="s">
        <v>61</v>
      </c>
      <c r="AN92" s="1" t="s">
        <v>1107</v>
      </c>
      <c r="AO92" s="12">
        <f>Table18[[#This Row],[Visit Cost]]*(1-Table18[[#This Row],[Insurance Coverage Pct]]/100)+Table18[[#This Row],[Copay Amount]]+Table18[[#This Row],[Deductible Applied]]</f>
        <v>468.75999999999999</v>
      </c>
    </row>
    <row r="93" spans="1:41" ht="15">
      <c r="A93" s="3" t="s">
        <v>1108</v>
      </c>
      <c r="B93" s="1" t="s">
        <v>1339</v>
      </c>
      <c r="C93" s="2">
        <v>26796</v>
      </c>
      <c r="D93" s="1" t="s">
        <v>45</v>
      </c>
      <c r="E93" s="1" t="s">
        <v>1111</v>
      </c>
      <c r="F93" s="1" t="s">
        <v>127</v>
      </c>
      <c r="G93" s="1" t="s">
        <v>1112</v>
      </c>
      <c r="H93" s="28" t="s">
        <v>1113</v>
      </c>
      <c r="I93" s="29">
        <v>0.38541666666666669</v>
      </c>
      <c r="J93" s="2" t="s">
        <v>1238</v>
      </c>
      <c r="K93" s="1" t="s">
        <v>228</v>
      </c>
      <c r="L93" s="72" t="s">
        <v>1483</v>
      </c>
      <c r="M93" s="1" t="s">
        <v>229</v>
      </c>
      <c r="N93" s="1" t="s">
        <v>493</v>
      </c>
      <c r="O93" s="1" t="s">
        <v>494</v>
      </c>
      <c r="P93" s="1">
        <v>99215</v>
      </c>
      <c r="Q93" s="1" t="s">
        <v>1114</v>
      </c>
      <c r="R93" s="1" t="s">
        <v>496</v>
      </c>
      <c r="S93" s="1" t="s">
        <v>150</v>
      </c>
      <c r="T93" s="1" t="s">
        <v>57</v>
      </c>
      <c r="U93" s="1">
        <v>70</v>
      </c>
      <c r="V93" s="17">
        <v>1500</v>
      </c>
      <c r="W93" s="9">
        <f>100/(100)</f>
        <v>1</v>
      </c>
      <c r="X93" s="7">
        <v>0</v>
      </c>
      <c r="Y93" s="15">
        <v>0</v>
      </c>
      <c r="Z93" s="16">
        <v>0</v>
      </c>
      <c r="AA93" s="14">
        <v>1500</v>
      </c>
      <c r="AB93" s="1" t="s">
        <v>127</v>
      </c>
      <c r="AC93" s="1" t="b">
        <v>1</v>
      </c>
      <c r="AD93" s="1" t="s">
        <v>1115</v>
      </c>
      <c r="AE93" s="1" t="b">
        <v>0</v>
      </c>
      <c r="AF93" s="1" t="b">
        <v>0</v>
      </c>
      <c r="AG93" s="1" t="b">
        <v>0</v>
      </c>
      <c r="AH93" s="1" t="b">
        <v>0</v>
      </c>
      <c r="AI93" s="1" t="s">
        <v>1236</v>
      </c>
      <c r="AJ93" s="1">
        <v>4</v>
      </c>
      <c r="AK93" s="1" t="s">
        <v>1116</v>
      </c>
      <c r="AL93" s="1">
        <v>95</v>
      </c>
      <c r="AM93" s="1" t="s">
        <v>61</v>
      </c>
      <c r="AN93" s="1" t="s">
        <v>1117</v>
      </c>
      <c r="AO93" s="12">
        <f>Table18[[#This Row],[Visit Cost]]*(1-Table18[[#This Row],[Insurance Coverage Pct]]/100)+Table18[[#This Row],[Copay Amount]]+Table18[[#This Row],[Deductible Applied]]</f>
        <v>1485</v>
      </c>
    </row>
    <row r="94" spans="1:41" ht="15">
      <c r="A94" s="3" t="s">
        <v>1118</v>
      </c>
      <c r="B94" s="1" t="s">
        <v>1340</v>
      </c>
      <c r="C94" s="2" t="s">
        <v>1121</v>
      </c>
      <c r="D94" s="1" t="s">
        <v>67</v>
      </c>
      <c r="E94" s="1" t="s">
        <v>1122</v>
      </c>
      <c r="F94" s="1" t="s">
        <v>47</v>
      </c>
      <c r="G94" s="1" t="s">
        <v>1123</v>
      </c>
      <c r="H94" s="28" t="s">
        <v>1124</v>
      </c>
      <c r="I94" s="29">
        <v>0.5</v>
      </c>
      <c r="J94" s="2" t="s">
        <v>92</v>
      </c>
      <c r="K94" s="1" t="s">
        <v>321</v>
      </c>
      <c r="L94" s="72" t="s">
        <v>1484</v>
      </c>
      <c r="M94" s="1" t="s">
        <v>322</v>
      </c>
      <c r="N94" s="1" t="s">
        <v>323</v>
      </c>
      <c r="O94" s="1" t="s">
        <v>324</v>
      </c>
      <c r="P94" s="1">
        <v>99204</v>
      </c>
      <c r="Q94" s="1" t="s">
        <v>1125</v>
      </c>
      <c r="R94" s="1" t="s">
        <v>57</v>
      </c>
      <c r="S94" s="1" t="s">
        <v>57</v>
      </c>
      <c r="T94" s="1" t="s">
        <v>57</v>
      </c>
      <c r="U94" s="1">
        <v>50</v>
      </c>
      <c r="V94" s="17">
        <v>310</v>
      </c>
      <c r="W94" s="9">
        <f>85/(100)</f>
        <v>0.84999999999999998</v>
      </c>
      <c r="X94" s="7">
        <v>46.5</v>
      </c>
      <c r="Y94" s="15">
        <v>30</v>
      </c>
      <c r="Z94" s="16">
        <v>76.5</v>
      </c>
      <c r="AA94" s="14">
        <v>233.5</v>
      </c>
      <c r="AB94" s="1" t="s">
        <v>58</v>
      </c>
      <c r="AC94" s="1" t="b">
        <v>1</v>
      </c>
      <c r="AD94" s="1" t="s">
        <v>1126</v>
      </c>
      <c r="AE94" s="1" t="b">
        <v>0</v>
      </c>
      <c r="AF94" s="1" t="b">
        <v>0</v>
      </c>
      <c r="AG94" s="1" t="b">
        <v>1</v>
      </c>
      <c r="AH94" s="1" t="b">
        <v>0</v>
      </c>
      <c r="AI94" s="1" t="s">
        <v>1236</v>
      </c>
      <c r="AJ94" s="1">
        <v>4</v>
      </c>
      <c r="AK94" s="1" t="s">
        <v>1127</v>
      </c>
      <c r="AL94" s="1">
        <v>89</v>
      </c>
      <c r="AM94" s="1" t="s">
        <v>61</v>
      </c>
      <c r="AN94" s="1" t="s">
        <v>1128</v>
      </c>
      <c r="AO94" s="12">
        <f>Table18[[#This Row],[Visit Cost]]*(1-Table18[[#This Row],[Insurance Coverage Pct]]/100)+Table18[[#This Row],[Copay Amount]]+Table18[[#This Row],[Deductible Applied]]</f>
        <v>383.86500000000001</v>
      </c>
    </row>
    <row r="95" spans="1:41" ht="15">
      <c r="A95" s="3" t="s">
        <v>1129</v>
      </c>
      <c r="B95" s="1" t="s">
        <v>1341</v>
      </c>
      <c r="C95" s="2">
        <v>21499</v>
      </c>
      <c r="D95" s="1" t="s">
        <v>45</v>
      </c>
      <c r="E95" s="1" t="s">
        <v>1132</v>
      </c>
      <c r="F95" s="1" t="s">
        <v>89</v>
      </c>
      <c r="G95" s="1" t="s">
        <v>1133</v>
      </c>
      <c r="H95" s="28" t="s">
        <v>1134</v>
      </c>
      <c r="I95" s="29">
        <v>0.65625</v>
      </c>
      <c r="J95" s="2" t="s">
        <v>144</v>
      </c>
      <c r="K95" s="1" t="s">
        <v>93</v>
      </c>
      <c r="L95" s="72" t="s">
        <v>1485</v>
      </c>
      <c r="M95" s="1" t="s">
        <v>94</v>
      </c>
      <c r="N95" s="1" t="s">
        <v>1135</v>
      </c>
      <c r="O95" s="1" t="s">
        <v>1136</v>
      </c>
      <c r="P95" s="1">
        <v>99223</v>
      </c>
      <c r="Q95" s="1" t="s">
        <v>1137</v>
      </c>
      <c r="R95" s="1" t="s">
        <v>57</v>
      </c>
      <c r="S95" s="1" t="s">
        <v>519</v>
      </c>
      <c r="T95" s="1">
        <v>27244</v>
      </c>
      <c r="U95" s="1">
        <v>120</v>
      </c>
      <c r="V95" s="17">
        <v>14200</v>
      </c>
      <c r="W95" s="9">
        <f>80/(100)</f>
        <v>0.80000000000000004</v>
      </c>
      <c r="X95" s="7">
        <v>2840</v>
      </c>
      <c r="Y95" s="15">
        <v>800</v>
      </c>
      <c r="Z95" s="16">
        <v>3640</v>
      </c>
      <c r="AA95" s="14">
        <v>10560</v>
      </c>
      <c r="AB95" s="1" t="s">
        <v>80</v>
      </c>
      <c r="AC95" s="1" t="b">
        <v>1</v>
      </c>
      <c r="AD95" s="1">
        <v>45449</v>
      </c>
      <c r="AE95" s="1" t="b">
        <v>0</v>
      </c>
      <c r="AF95" s="1" t="b">
        <v>1</v>
      </c>
      <c r="AG95" s="1" t="b">
        <v>1</v>
      </c>
      <c r="AH95" s="1" t="b">
        <v>0</v>
      </c>
      <c r="AI95" s="1" t="s">
        <v>1236</v>
      </c>
      <c r="AJ95" s="1">
        <v>5</v>
      </c>
      <c r="AK95" s="1" t="s">
        <v>1138</v>
      </c>
      <c r="AL95" s="1">
        <v>83</v>
      </c>
      <c r="AM95" s="1" t="s">
        <v>172</v>
      </c>
      <c r="AN95" s="1" t="s">
        <v>1139</v>
      </c>
      <c r="AO95" s="12">
        <f>Table18[[#This Row],[Visit Cost]]*(1-Table18[[#This Row],[Insurance Coverage Pct]]/100)+Table18[[#This Row],[Copay Amount]]+Table18[[#This Row],[Deductible Applied]]</f>
        <v>17726.400000000001</v>
      </c>
    </row>
    <row r="96" spans="1:41" ht="15">
      <c r="A96" s="3" t="s">
        <v>1140</v>
      </c>
      <c r="B96" s="1" t="s">
        <v>1342</v>
      </c>
      <c r="C96" s="2" t="s">
        <v>1143</v>
      </c>
      <c r="D96" s="1" t="s">
        <v>67</v>
      </c>
      <c r="E96" s="1" t="s">
        <v>1144</v>
      </c>
      <c r="F96" s="1" t="s">
        <v>69</v>
      </c>
      <c r="G96" s="1" t="s">
        <v>1145</v>
      </c>
      <c r="H96" s="28" t="s">
        <v>925</v>
      </c>
      <c r="I96" s="29">
        <v>0.4375</v>
      </c>
      <c r="J96" s="2" t="s">
        <v>180</v>
      </c>
      <c r="K96" s="1" t="s">
        <v>181</v>
      </c>
      <c r="L96" s="72" t="s">
        <v>1486</v>
      </c>
      <c r="M96" s="1" t="s">
        <v>182</v>
      </c>
      <c r="N96" s="1" t="s">
        <v>1498</v>
      </c>
      <c r="O96" s="1" t="s">
        <v>698</v>
      </c>
      <c r="P96" s="1">
        <v>99211</v>
      </c>
      <c r="Q96" s="1" t="s">
        <v>1146</v>
      </c>
      <c r="R96" s="1" t="s">
        <v>700</v>
      </c>
      <c r="S96" s="1" t="s">
        <v>57</v>
      </c>
      <c r="T96" s="1" t="s">
        <v>57</v>
      </c>
      <c r="U96" s="1">
        <v>25</v>
      </c>
      <c r="V96" s="17">
        <v>155</v>
      </c>
      <c r="W96" s="9">
        <f>100/(100)</f>
        <v>1</v>
      </c>
      <c r="X96" s="7">
        <v>0</v>
      </c>
      <c r="Y96" s="15">
        <v>0</v>
      </c>
      <c r="Z96" s="16">
        <v>0</v>
      </c>
      <c r="AA96" s="14">
        <v>155</v>
      </c>
      <c r="AB96" s="1" t="s">
        <v>69</v>
      </c>
      <c r="AC96" s="1" t="b">
        <v>0</v>
      </c>
      <c r="AD96" s="1" t="s">
        <v>1235</v>
      </c>
      <c r="AE96" s="1" t="b">
        <v>0</v>
      </c>
      <c r="AF96" s="1" t="b">
        <v>0</v>
      </c>
      <c r="AG96" s="1" t="b">
        <v>0</v>
      </c>
      <c r="AH96" s="1" t="b">
        <v>0</v>
      </c>
      <c r="AI96" s="1" t="s">
        <v>1236</v>
      </c>
      <c r="AJ96" s="1">
        <v>5</v>
      </c>
      <c r="AK96" s="1" t="s">
        <v>1147</v>
      </c>
      <c r="AL96" s="1">
        <v>97</v>
      </c>
      <c r="AM96" s="1" t="s">
        <v>61</v>
      </c>
      <c r="AN96" s="1" t="s">
        <v>1148</v>
      </c>
      <c r="AO96" s="12">
        <f>Table18[[#This Row],[Visit Cost]]*(1-Table18[[#This Row],[Insurance Coverage Pct]]/100)+Table18[[#This Row],[Copay Amount]]+Table18[[#This Row],[Deductible Applied]]</f>
        <v>153.44999999999999</v>
      </c>
    </row>
    <row r="97" spans="1:41" ht="15">
      <c r="A97" s="3" t="s">
        <v>1149</v>
      </c>
      <c r="B97" s="1" t="s">
        <v>1343</v>
      </c>
      <c r="C97" s="2">
        <v>24570</v>
      </c>
      <c r="D97" s="1" t="s">
        <v>45</v>
      </c>
      <c r="E97" s="1" t="s">
        <v>1152</v>
      </c>
      <c r="F97" s="1" t="s">
        <v>47</v>
      </c>
      <c r="G97" s="1" t="s">
        <v>1153</v>
      </c>
      <c r="H97" s="28" t="s">
        <v>1105</v>
      </c>
      <c r="I97" s="29">
        <v>0.70833333333333337</v>
      </c>
      <c r="J97" s="2" t="s">
        <v>50</v>
      </c>
      <c r="K97" s="1" t="s">
        <v>130</v>
      </c>
      <c r="L97" s="72" t="s">
        <v>1487</v>
      </c>
      <c r="M97" s="1" t="s">
        <v>131</v>
      </c>
      <c r="N97" s="1" t="s">
        <v>132</v>
      </c>
      <c r="O97" s="1" t="s">
        <v>133</v>
      </c>
      <c r="P97" s="1">
        <v>99214</v>
      </c>
      <c r="Q97" s="1" t="s">
        <v>134</v>
      </c>
      <c r="R97" s="1" t="s">
        <v>135</v>
      </c>
      <c r="S97" s="1" t="s">
        <v>57</v>
      </c>
      <c r="T97" s="1" t="s">
        <v>57</v>
      </c>
      <c r="U97" s="1">
        <v>40</v>
      </c>
      <c r="V97" s="17">
        <v>210</v>
      </c>
      <c r="W97" s="9">
        <f>75/(100)</f>
        <v>0.75</v>
      </c>
      <c r="X97" s="7">
        <v>52.5</v>
      </c>
      <c r="Y97" s="15">
        <v>35</v>
      </c>
      <c r="Z97" s="16">
        <v>87.5</v>
      </c>
      <c r="AA97" s="14">
        <v>122.5</v>
      </c>
      <c r="AB97" s="1" t="s">
        <v>118</v>
      </c>
      <c r="AC97" s="1" t="b">
        <v>1</v>
      </c>
      <c r="AD97" s="1" t="s">
        <v>1154</v>
      </c>
      <c r="AE97" s="1" t="b">
        <v>0</v>
      </c>
      <c r="AF97" s="1" t="b">
        <v>0</v>
      </c>
      <c r="AG97" s="1" t="b">
        <v>0</v>
      </c>
      <c r="AH97" s="1" t="b">
        <v>0</v>
      </c>
      <c r="AI97" s="1" t="s">
        <v>1236</v>
      </c>
      <c r="AJ97" s="1">
        <v>4</v>
      </c>
      <c r="AK97" s="1" t="s">
        <v>1155</v>
      </c>
      <c r="AL97" s="1">
        <v>94</v>
      </c>
      <c r="AM97" s="1" t="s">
        <v>61</v>
      </c>
      <c r="AN97" s="1" t="s">
        <v>1156</v>
      </c>
      <c r="AO97" s="12">
        <f>Table18[[#This Row],[Visit Cost]]*(1-Table18[[#This Row],[Insurance Coverage Pct]]/100)+Table18[[#This Row],[Copay Amount]]+Table18[[#This Row],[Deductible Applied]]</f>
        <v>295.92500000000001</v>
      </c>
    </row>
    <row r="98" spans="1:41" ht="15">
      <c r="A98" s="3" t="s">
        <v>1157</v>
      </c>
      <c r="B98" s="1" t="s">
        <v>1344</v>
      </c>
      <c r="C98" s="2">
        <v>30560</v>
      </c>
      <c r="D98" s="1" t="s">
        <v>67</v>
      </c>
      <c r="E98" s="1" t="s">
        <v>1160</v>
      </c>
      <c r="F98" s="1" t="s">
        <v>127</v>
      </c>
      <c r="G98" s="1" t="s">
        <v>1161</v>
      </c>
      <c r="H98" s="28" t="s">
        <v>1162</v>
      </c>
      <c r="I98" s="29">
        <v>0.36458333333333331</v>
      </c>
      <c r="J98" s="2" t="s">
        <v>1238</v>
      </c>
      <c r="K98" s="1" t="s">
        <v>73</v>
      </c>
      <c r="L98" s="72" t="s">
        <v>1488</v>
      </c>
      <c r="M98" s="1" t="s">
        <v>74</v>
      </c>
      <c r="N98" s="1" t="s">
        <v>53</v>
      </c>
      <c r="O98" s="1" t="s">
        <v>54</v>
      </c>
      <c r="P98" s="1">
        <v>99213</v>
      </c>
      <c r="Q98" s="1" t="s">
        <v>55</v>
      </c>
      <c r="R98" s="1" t="s">
        <v>57</v>
      </c>
      <c r="S98" s="1" t="s">
        <v>57</v>
      </c>
      <c r="T98" s="1" t="s">
        <v>57</v>
      </c>
      <c r="U98" s="1">
        <v>30</v>
      </c>
      <c r="V98" s="17">
        <v>175</v>
      </c>
      <c r="W98" s="9">
        <f>100/(100)</f>
        <v>1</v>
      </c>
      <c r="X98" s="7">
        <v>0</v>
      </c>
      <c r="Y98" s="15">
        <v>0</v>
      </c>
      <c r="Z98" s="16">
        <v>0</v>
      </c>
      <c r="AA98" s="14">
        <v>175</v>
      </c>
      <c r="AB98" s="1" t="s">
        <v>127</v>
      </c>
      <c r="AC98" s="1" t="b">
        <v>0</v>
      </c>
      <c r="AD98" s="1" t="s">
        <v>1235</v>
      </c>
      <c r="AE98" s="1" t="b">
        <v>0</v>
      </c>
      <c r="AF98" s="1" t="b">
        <v>0</v>
      </c>
      <c r="AG98" s="1" t="b">
        <v>0</v>
      </c>
      <c r="AH98" s="1" t="b">
        <v>1</v>
      </c>
      <c r="AI98" s="1" t="s">
        <v>1163</v>
      </c>
      <c r="AJ98" s="1">
        <v>3</v>
      </c>
      <c r="AK98" s="1" t="s">
        <v>1164</v>
      </c>
      <c r="AL98" s="1">
        <v>93</v>
      </c>
      <c r="AM98" s="1" t="s">
        <v>172</v>
      </c>
      <c r="AN98" s="1" t="s">
        <v>1165</v>
      </c>
      <c r="AO98" s="12">
        <f>Table18[[#This Row],[Visit Cost]]*(1-Table18[[#This Row],[Insurance Coverage Pct]]/100)+Table18[[#This Row],[Copay Amount]]+Table18[[#This Row],[Deductible Applied]]</f>
        <v>173.25</v>
      </c>
    </row>
    <row r="99" spans="1:41" ht="15">
      <c r="A99" s="3" t="s">
        <v>1166</v>
      </c>
      <c r="B99" s="1" t="s">
        <v>1345</v>
      </c>
      <c r="C99" s="2" t="s">
        <v>1169</v>
      </c>
      <c r="D99" s="1" t="s">
        <v>45</v>
      </c>
      <c r="E99" s="1" t="s">
        <v>1170</v>
      </c>
      <c r="F99" s="1" t="s">
        <v>47</v>
      </c>
      <c r="G99" s="1" t="s">
        <v>1171</v>
      </c>
      <c r="H99" s="28" t="s">
        <v>961</v>
      </c>
      <c r="I99" s="29">
        <v>0.46875</v>
      </c>
      <c r="J99" s="2" t="s">
        <v>111</v>
      </c>
      <c r="K99" s="1" t="s">
        <v>245</v>
      </c>
      <c r="L99" s="72" t="s">
        <v>1489</v>
      </c>
      <c r="M99" s="1" t="s">
        <v>246</v>
      </c>
      <c r="N99" s="1" t="s">
        <v>559</v>
      </c>
      <c r="O99" s="1" t="s">
        <v>560</v>
      </c>
      <c r="P99" s="1">
        <v>99203</v>
      </c>
      <c r="Q99" s="1" t="s">
        <v>561</v>
      </c>
      <c r="R99" s="1" t="s">
        <v>57</v>
      </c>
      <c r="S99" s="1" t="s">
        <v>57</v>
      </c>
      <c r="T99" s="1" t="s">
        <v>57</v>
      </c>
      <c r="U99" s="1">
        <v>35</v>
      </c>
      <c r="V99" s="17">
        <v>240</v>
      </c>
      <c r="W99" s="9">
        <f>80/(100)</f>
        <v>0.80000000000000004</v>
      </c>
      <c r="X99" s="7">
        <v>48</v>
      </c>
      <c r="Y99" s="15">
        <v>30</v>
      </c>
      <c r="Z99" s="16">
        <v>78</v>
      </c>
      <c r="AA99" s="14">
        <v>162</v>
      </c>
      <c r="AB99" s="1" t="s">
        <v>80</v>
      </c>
      <c r="AC99" s="1" t="b">
        <v>1</v>
      </c>
      <c r="AD99" s="1">
        <v>45418</v>
      </c>
      <c r="AE99" s="1" t="b">
        <v>0</v>
      </c>
      <c r="AF99" s="1" t="b">
        <v>1</v>
      </c>
      <c r="AG99" s="1" t="b">
        <v>0</v>
      </c>
      <c r="AH99" s="1" t="b">
        <v>0</v>
      </c>
      <c r="AI99" s="1" t="s">
        <v>1236</v>
      </c>
      <c r="AJ99" s="1">
        <v>3</v>
      </c>
      <c r="AK99" s="1" t="s">
        <v>1172</v>
      </c>
      <c r="AL99" s="1">
        <v>88</v>
      </c>
      <c r="AM99" s="1" t="s">
        <v>61</v>
      </c>
      <c r="AN99" s="1" t="s">
        <v>1173</v>
      </c>
      <c r="AO99" s="12">
        <f>Table18[[#This Row],[Visit Cost]]*(1-Table18[[#This Row],[Insurance Coverage Pct]]/100)+Table18[[#This Row],[Copay Amount]]+Table18[[#This Row],[Deductible Applied]]</f>
        <v>316.07999999999998</v>
      </c>
    </row>
    <row r="100" spans="1:41" ht="15">
      <c r="A100" s="3" t="s">
        <v>1174</v>
      </c>
      <c r="B100" s="1" t="s">
        <v>1346</v>
      </c>
      <c r="C100" s="2">
        <v>35410</v>
      </c>
      <c r="D100" s="1" t="s">
        <v>67</v>
      </c>
      <c r="E100" s="1" t="s">
        <v>1176</v>
      </c>
      <c r="F100" s="1" t="s">
        <v>69</v>
      </c>
      <c r="G100" s="1" t="s">
        <v>1177</v>
      </c>
      <c r="H100" s="28" t="s">
        <v>1178</v>
      </c>
      <c r="I100" s="29">
        <v>0.58333333333333337</v>
      </c>
      <c r="J100" s="2" t="s">
        <v>92</v>
      </c>
      <c r="K100" s="1" t="s">
        <v>194</v>
      </c>
      <c r="L100" s="72" t="s">
        <v>1490</v>
      </c>
      <c r="M100" s="1" t="s">
        <v>195</v>
      </c>
      <c r="N100" s="1" t="s">
        <v>1179</v>
      </c>
      <c r="O100" s="1" t="s">
        <v>1180</v>
      </c>
      <c r="P100" s="1">
        <v>99204</v>
      </c>
      <c r="Q100" s="1" t="s">
        <v>1181</v>
      </c>
      <c r="R100" s="1" t="s">
        <v>57</v>
      </c>
      <c r="S100" s="1" t="s">
        <v>1182</v>
      </c>
      <c r="T100" s="1" t="s">
        <v>57</v>
      </c>
      <c r="U100" s="1">
        <v>60</v>
      </c>
      <c r="V100" s="17">
        <v>850</v>
      </c>
      <c r="W100" s="9">
        <f>70/(100)</f>
        <v>0.69999999999999996</v>
      </c>
      <c r="X100" s="7">
        <v>255</v>
      </c>
      <c r="Y100" s="15">
        <v>90</v>
      </c>
      <c r="Z100" s="16">
        <v>345</v>
      </c>
      <c r="AA100" s="14">
        <v>505</v>
      </c>
      <c r="AB100" s="1" t="s">
        <v>58</v>
      </c>
      <c r="AC100" s="1" t="b">
        <v>1</v>
      </c>
      <c r="AD100" s="1" t="s">
        <v>1183</v>
      </c>
      <c r="AE100" s="1" t="b">
        <v>0</v>
      </c>
      <c r="AF100" s="1" t="b">
        <v>0</v>
      </c>
      <c r="AG100" s="1" t="b">
        <v>1</v>
      </c>
      <c r="AH100" s="1" t="b">
        <v>0</v>
      </c>
      <c r="AI100" s="1" t="s">
        <v>1236</v>
      </c>
      <c r="AJ100" s="1">
        <v>4</v>
      </c>
      <c r="AK100" s="1" t="s">
        <v>1184</v>
      </c>
      <c r="AL100" s="1">
        <v>90</v>
      </c>
      <c r="AM100" s="1" t="s">
        <v>153</v>
      </c>
      <c r="AN100" s="1" t="s">
        <v>1185</v>
      </c>
      <c r="AO100" s="12">
        <f>Table18[[#This Row],[Visit Cost]]*(1-Table18[[#This Row],[Insurance Coverage Pct]]/100)+Table18[[#This Row],[Copay Amount]]+Table18[[#This Row],[Deductible Applied]]</f>
        <v>1189.05</v>
      </c>
    </row>
    <row r="101" spans="1:41" ht="15">
      <c r="A101" s="3" t="s">
        <v>1186</v>
      </c>
      <c r="B101" s="1" t="s">
        <v>1347</v>
      </c>
      <c r="C101" s="2" t="s">
        <v>1189</v>
      </c>
      <c r="D101" s="1" t="s">
        <v>45</v>
      </c>
      <c r="E101" s="1" t="s">
        <v>1190</v>
      </c>
      <c r="F101" s="1" t="s">
        <v>47</v>
      </c>
      <c r="G101" s="1" t="s">
        <v>1191</v>
      </c>
      <c r="H101" s="28" t="s">
        <v>1192</v>
      </c>
      <c r="I101" s="29">
        <v>0.40625</v>
      </c>
      <c r="J101" s="2" t="s">
        <v>1238</v>
      </c>
      <c r="K101" s="1" t="s">
        <v>258</v>
      </c>
      <c r="L101" s="72" t="s">
        <v>1491</v>
      </c>
      <c r="M101" s="1" t="s">
        <v>259</v>
      </c>
      <c r="N101" s="1" t="s">
        <v>1232</v>
      </c>
      <c r="O101" s="1" t="s">
        <v>647</v>
      </c>
      <c r="P101" s="1">
        <v>99213</v>
      </c>
      <c r="Q101" s="1" t="s">
        <v>648</v>
      </c>
      <c r="R101" s="1" t="s">
        <v>57</v>
      </c>
      <c r="S101" s="1" t="s">
        <v>57</v>
      </c>
      <c r="T101" s="1" t="s">
        <v>57</v>
      </c>
      <c r="U101" s="1">
        <v>40</v>
      </c>
      <c r="V101" s="17">
        <v>310</v>
      </c>
      <c r="W101" s="9">
        <f>80/(100)</f>
        <v>0.80000000000000004</v>
      </c>
      <c r="X101" s="7">
        <v>62</v>
      </c>
      <c r="Y101" s="15">
        <v>35</v>
      </c>
      <c r="Z101" s="16">
        <v>97</v>
      </c>
      <c r="AA101" s="14">
        <v>213</v>
      </c>
      <c r="AB101" s="1" t="s">
        <v>80</v>
      </c>
      <c r="AC101" s="1" t="b">
        <v>0</v>
      </c>
      <c r="AD101" s="1" t="s">
        <v>1235</v>
      </c>
      <c r="AE101" s="1" t="b">
        <v>0</v>
      </c>
      <c r="AF101" s="1" t="b">
        <v>0</v>
      </c>
      <c r="AG101" s="1" t="b">
        <v>0</v>
      </c>
      <c r="AH101" s="1" t="b">
        <v>0</v>
      </c>
      <c r="AI101" s="1" t="s">
        <v>1236</v>
      </c>
      <c r="AJ101" s="1">
        <v>4</v>
      </c>
      <c r="AK101" s="1" t="s">
        <v>1193</v>
      </c>
      <c r="AL101" s="1">
        <v>92</v>
      </c>
      <c r="AM101" s="1" t="s">
        <v>61</v>
      </c>
      <c r="AN101" s="1" t="s">
        <v>1194</v>
      </c>
      <c r="AO101" s="13">
        <f>Table18[[#This Row],[Visit Cost]]*(1-Table18[[#This Row],[Insurance Coverage Pct]]/100)+Table18[[#This Row],[Copay Amount]]+Table18[[#This Row],[Deductible Applied]]</f>
        <v>404.51999999999998</v>
      </c>
    </row>
  </sheetData>
  <sheetProtection/>
  <pageMargins left="0.7" right="0.7" top="0.75" bottom="0.75" header="0.3" footer="0.3"/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4C04C3D-197A-403C-AC68-3F98EDF1EFD0}">
  <sheetPr codeName=""/>
  <dimension ref="B3:AT261"/>
  <sheetViews>
    <sheetView workbookViewId="0" topLeftCell="A1">
      <selection pane="topLeft" activeCell="F10" sqref="F10"/>
    </sheetView>
  </sheetViews>
  <sheetFormatPr defaultColWidth="9.14285714285714" defaultRowHeight="15"/>
  <cols>
    <col min="2" max="2" width="7.28571428571429" customWidth="1"/>
    <col min="3" max="3" width="18" customWidth="1"/>
    <col min="4" max="4" width="26" customWidth="1"/>
    <col min="5" max="5" width="23.2857142857143" customWidth="1"/>
    <col min="6" max="6" width="8" customWidth="1"/>
    <col min="7" max="7" width="20.4285714285714" customWidth="1"/>
    <col min="8" max="8" width="20.1428571428571" customWidth="1"/>
    <col min="9" max="9" width="7.71428571428571" customWidth="1"/>
    <col min="10" max="10" width="11.1428571428571" customWidth="1"/>
    <col min="11" max="11" width="20.8571428571429" customWidth="1"/>
    <col min="12" max="12" width="19.7142857142857" customWidth="1"/>
    <col min="13" max="14" width="16.5714285714286" customWidth="1"/>
    <col min="15" max="15" width="31" customWidth="1"/>
    <col min="16" max="16" width="20.1428571428571" customWidth="1"/>
    <col min="17" max="17" width="31" customWidth="1"/>
    <col min="18" max="18" width="28.4285714285714" customWidth="1"/>
    <col min="19" max="20" width="20.1428571428571" customWidth="1"/>
    <col min="21" max="21" width="28.4285714285714" customWidth="1"/>
    <col min="22" max="22" width="19" customWidth="1"/>
    <col min="23" max="23" width="20.1428571428571" customWidth="1"/>
    <col min="24" max="25" width="22.4285714285714" customWidth="1"/>
    <col min="26" max="27" width="18.5714285714286" customWidth="1"/>
    <col min="28" max="28" width="22.4285714285714" customWidth="1"/>
    <col min="29" max="29" width="17" customWidth="1"/>
    <col min="30" max="30" width="18.5714285714286" customWidth="1"/>
    <col min="31" max="31" width="18.4285714285714" customWidth="1"/>
    <col min="32" max="33" width="17.8571428571429" customWidth="1"/>
    <col min="34" max="34" width="18.4285714285714" customWidth="1"/>
    <col min="35" max="35" width="14.5714285714286" customWidth="1"/>
    <col min="36" max="37" width="25.8571428571429" customWidth="1"/>
    <col min="38" max="38" width="34.1428571428571" customWidth="1"/>
    <col min="39" max="39" width="24.1428571428571" customWidth="1"/>
    <col min="40" max="40" width="19.8571428571429" customWidth="1"/>
    <col min="41" max="41" width="19.2857142857143" customWidth="1"/>
    <col min="42" max="42" width="31.4285714285714" customWidth="1"/>
    <col min="43" max="43" width="24.5714285714286" customWidth="1"/>
    <col min="44" max="44" width="13.4285714285714" customWidth="1"/>
    <col min="45" max="45" width="13.2857142857143" customWidth="1"/>
    <col min="46" max="46" width="27.2857142857143" customWidth="1"/>
    <col min="47" max="47" width="19.8571428571429" customWidth="1"/>
    <col min="48" max="48" width="15.1428571428571" customWidth="1"/>
    <col min="49" max="49" width="13.2857142857143" customWidth="1"/>
    <col min="50" max="50" width="27.2857142857143" customWidth="1"/>
  </cols>
  <sheetData>
    <row r="3" spans="9:15" ht="15" customHeight="1">
      <c r="I3" s="68" t="s">
        <v>1243</v>
      </c>
      <c r="J3" s="69"/>
      <c r="K3" s="69"/>
      <c r="L3" s="69"/>
      <c r="M3" s="69"/>
      <c r="N3" s="69"/>
      <c r="O3" s="69"/>
    </row>
    <row r="4" spans="9:15" ht="15" customHeight="1">
      <c r="I4" s="69"/>
      <c r="J4" s="69"/>
      <c r="K4" s="69"/>
      <c r="L4" s="69"/>
      <c r="M4" s="69"/>
      <c r="N4" s="69"/>
      <c r="O4" s="69"/>
    </row>
    <row r="8" spans="3:43" ht="15">
      <c r="C8" s="34" t="s">
        <v>1195</v>
      </c>
      <c r="D8" s="35" t="s">
        <v>1247</v>
      </c>
      <c r="E8" s="35" t="s">
        <v>5</v>
      </c>
      <c r="F8" s="35" t="s">
        <v>6</v>
      </c>
      <c r="G8" s="35" t="s">
        <v>1196</v>
      </c>
      <c r="H8" s="35" t="s">
        <v>1199</v>
      </c>
      <c r="I8" s="35" t="s">
        <v>1197</v>
      </c>
      <c r="J8" s="35" t="s">
        <v>1200</v>
      </c>
      <c r="K8" s="35" t="s">
        <v>1201</v>
      </c>
      <c r="L8" s="35" t="s">
        <v>1202</v>
      </c>
      <c r="M8" s="35" t="s">
        <v>1228</v>
      </c>
      <c r="N8" s="35" t="s">
        <v>1229</v>
      </c>
      <c r="O8" s="35" t="s">
        <v>1198</v>
      </c>
      <c r="P8" s="35" t="s">
        <v>1203</v>
      </c>
      <c r="Q8" s="35" t="s">
        <v>1213</v>
      </c>
      <c r="R8" s="35" t="s">
        <v>1214</v>
      </c>
      <c r="S8" s="35" t="s">
        <v>1215</v>
      </c>
      <c r="T8" s="35" t="s">
        <v>1223</v>
      </c>
      <c r="U8" s="35" t="s">
        <v>1204</v>
      </c>
      <c r="V8" s="35" t="s">
        <v>1205</v>
      </c>
      <c r="W8" s="35" t="s">
        <v>1224</v>
      </c>
      <c r="X8" s="35" t="s">
        <v>1206</v>
      </c>
      <c r="Y8" s="35" t="s">
        <v>1225</v>
      </c>
      <c r="Z8" s="35" t="s">
        <v>1207</v>
      </c>
      <c r="AA8" s="35" t="s">
        <v>1208</v>
      </c>
      <c r="AB8" s="35" t="s">
        <v>1226</v>
      </c>
      <c r="AC8" s="35" t="s">
        <v>1209</v>
      </c>
      <c r="AD8" s="35" t="s">
        <v>1210</v>
      </c>
      <c r="AE8" s="35" t="s">
        <v>1211</v>
      </c>
      <c r="AF8" s="35" t="s">
        <v>1216</v>
      </c>
      <c r="AG8" s="35" t="s">
        <v>1217</v>
      </c>
      <c r="AH8" s="35" t="s">
        <v>1218</v>
      </c>
      <c r="AI8" s="35" t="s">
        <v>1219</v>
      </c>
      <c r="AJ8" s="35" t="s">
        <v>1227</v>
      </c>
      <c r="AK8" s="35" t="s">
        <v>1220</v>
      </c>
      <c r="AL8" s="35" t="s">
        <v>1221</v>
      </c>
      <c r="AM8" s="35" t="s">
        <v>38</v>
      </c>
      <c r="AN8" s="35" t="s">
        <v>1</v>
      </c>
      <c r="AO8" s="35" t="s">
        <v>1222</v>
      </c>
      <c r="AP8" s="35" t="s">
        <v>1212</v>
      </c>
      <c r="AQ8" s="36" t="s">
        <v>1237</v>
      </c>
    </row>
    <row r="9" spans="3:43" ht="15">
      <c r="C9" s="3" t="s">
        <v>85</v>
      </c>
      <c r="D9" s="1" t="s">
        <v>1250</v>
      </c>
      <c r="E9" s="2">
        <v>23957</v>
      </c>
      <c r="F9" s="1" t="s">
        <v>45</v>
      </c>
      <c r="G9" s="1" t="s">
        <v>88</v>
      </c>
      <c r="H9" s="1" t="s">
        <v>89</v>
      </c>
      <c r="I9" s="1" t="s">
        <v>90</v>
      </c>
      <c r="J9" s="2" t="s">
        <v>91</v>
      </c>
      <c r="K9" s="29">
        <v>0.41666666666666669</v>
      </c>
      <c r="L9" s="2" t="s">
        <v>92</v>
      </c>
      <c r="M9" s="1" t="s">
        <v>93</v>
      </c>
      <c r="N9" s="1"/>
      <c r="O9" s="1" t="s">
        <v>94</v>
      </c>
      <c r="P9" s="1" t="s">
        <v>95</v>
      </c>
      <c r="Q9" s="1" t="s">
        <v>96</v>
      </c>
      <c r="R9" s="1">
        <v>99204</v>
      </c>
      <c r="S9" s="1" t="s">
        <v>97</v>
      </c>
      <c r="T9" s="1" t="s">
        <v>98</v>
      </c>
      <c r="U9" s="1" t="s">
        <v>99</v>
      </c>
      <c r="V9" s="1" t="s">
        <v>57</v>
      </c>
      <c r="W9" s="1">
        <v>30</v>
      </c>
      <c r="X9" s="17">
        <v>350</v>
      </c>
      <c r="Y9" s="9">
        <v>0.85</v>
      </c>
      <c r="Z9" s="7">
        <v>52.5</v>
      </c>
      <c r="AA9" s="15">
        <v>30</v>
      </c>
      <c r="AB9" s="16">
        <v>82.5</v>
      </c>
      <c r="AC9" s="14">
        <v>267.5</v>
      </c>
      <c r="AD9" s="1" t="s">
        <v>58</v>
      </c>
      <c r="AE9" s="1" t="b">
        <v>0</v>
      </c>
      <c r="AF9" s="1" t="s">
        <v>1235</v>
      </c>
      <c r="AG9" s="1" t="b">
        <v>1</v>
      </c>
      <c r="AH9" s="1" t="b">
        <v>1</v>
      </c>
      <c r="AI9" s="1" t="b">
        <v>0</v>
      </c>
      <c r="AJ9" s="1" t="b">
        <v>0</v>
      </c>
      <c r="AK9" s="1" t="s">
        <v>100</v>
      </c>
      <c r="AL9" s="1">
        <v>5</v>
      </c>
      <c r="AM9" s="1" t="s">
        <v>101</v>
      </c>
      <c r="AN9" s="1">
        <v>88</v>
      </c>
      <c r="AO9" s="1" t="s">
        <v>102</v>
      </c>
      <c r="AP9" s="1" t="s">
        <v>103</v>
      </c>
      <c r="AQ9" s="33">
        <v>429.52500000000003</v>
      </c>
    </row>
    <row r="10" spans="3:43" ht="15">
      <c r="C10" s="3" t="s">
        <v>104</v>
      </c>
      <c r="D10" s="1" t="s">
        <v>1251</v>
      </c>
      <c r="E10" s="2" t="s">
        <v>107</v>
      </c>
      <c r="F10" s="1" t="s">
        <v>67</v>
      </c>
      <c r="G10" s="1" t="s">
        <v>108</v>
      </c>
      <c r="H10" s="1" t="s">
        <v>47</v>
      </c>
      <c r="I10" s="1" t="s">
        <v>109</v>
      </c>
      <c r="J10" s="2" t="s">
        <v>110</v>
      </c>
      <c r="K10" s="29">
        <v>0.48958333333333331</v>
      </c>
      <c r="L10" s="2" t="s">
        <v>111</v>
      </c>
      <c r="M10" s="1" t="s">
        <v>130</v>
      </c>
      <c r="N10" s="1"/>
      <c r="O10" s="1" t="s">
        <v>113</v>
      </c>
      <c r="P10" s="1" t="s">
        <v>114</v>
      </c>
      <c r="Q10" s="1" t="s">
        <v>115</v>
      </c>
      <c r="R10" s="1">
        <v>99285</v>
      </c>
      <c r="S10" s="1" t="s">
        <v>116</v>
      </c>
      <c r="T10" s="1" t="s">
        <v>117</v>
      </c>
      <c r="U10" s="1" t="s">
        <v>117</v>
      </c>
      <c r="V10" s="1" t="s">
        <v>57</v>
      </c>
      <c r="W10" s="1">
        <v>90</v>
      </c>
      <c r="X10" s="17">
        <v>550</v>
      </c>
      <c r="Y10" s="9">
        <v>0.60</v>
      </c>
      <c r="Z10" s="7">
        <v>220</v>
      </c>
      <c r="AA10" s="15">
        <v>100</v>
      </c>
      <c r="AB10" s="16">
        <v>320</v>
      </c>
      <c r="AC10" s="14">
        <v>230</v>
      </c>
      <c r="AD10" s="1" t="s">
        <v>118</v>
      </c>
      <c r="AE10" s="1" t="b">
        <v>1</v>
      </c>
      <c r="AF10" s="1" t="s">
        <v>119</v>
      </c>
      <c r="AG10" s="1" t="b">
        <v>0</v>
      </c>
      <c r="AH10" s="1" t="b">
        <v>1</v>
      </c>
      <c r="AI10" s="1" t="b">
        <v>0</v>
      </c>
      <c r="AJ10" s="1" t="b">
        <v>0</v>
      </c>
      <c r="AK10" s="1" t="s">
        <v>1236</v>
      </c>
      <c r="AL10" s="1">
        <v>4</v>
      </c>
      <c r="AM10" s="1" t="s">
        <v>120</v>
      </c>
      <c r="AN10" s="1">
        <v>90</v>
      </c>
      <c r="AO10" s="1" t="s">
        <v>61</v>
      </c>
      <c r="AP10" s="1" t="s">
        <v>121</v>
      </c>
      <c r="AQ10" s="33">
        <v>866.70</v>
      </c>
    </row>
    <row r="11" spans="3:43" ht="15">
      <c r="C11" s="3" t="s">
        <v>138</v>
      </c>
      <c r="D11" s="1" t="s">
        <v>1253</v>
      </c>
      <c r="E11" s="2">
        <v>32275</v>
      </c>
      <c r="F11" s="1" t="s">
        <v>67</v>
      </c>
      <c r="G11" s="1" t="s">
        <v>141</v>
      </c>
      <c r="H11" s="1" t="s">
        <v>47</v>
      </c>
      <c r="I11" s="1" t="s">
        <v>142</v>
      </c>
      <c r="J11" s="2" t="s">
        <v>143</v>
      </c>
      <c r="K11" s="29">
        <v>0.5625</v>
      </c>
      <c r="L11" s="2" t="s">
        <v>144</v>
      </c>
      <c r="M11" s="1" t="s">
        <v>145</v>
      </c>
      <c r="N11" s="1"/>
      <c r="O11" s="1" t="s">
        <v>146</v>
      </c>
      <c r="P11" s="1" t="s">
        <v>147</v>
      </c>
      <c r="Q11" s="1" t="s">
        <v>148</v>
      </c>
      <c r="R11" s="1">
        <v>99223</v>
      </c>
      <c r="S11" s="1" t="s">
        <v>149</v>
      </c>
      <c r="T11" s="1" t="s">
        <v>57</v>
      </c>
      <c r="U11" s="1" t="s">
        <v>150</v>
      </c>
      <c r="V11" s="1">
        <v>44970</v>
      </c>
      <c r="W11" s="1">
        <v>120</v>
      </c>
      <c r="X11" s="17">
        <v>12500</v>
      </c>
      <c r="Y11" s="9">
        <v>0.80</v>
      </c>
      <c r="Z11" s="7">
        <v>2500</v>
      </c>
      <c r="AA11" s="15">
        <v>500</v>
      </c>
      <c r="AB11" s="16">
        <v>3000</v>
      </c>
      <c r="AC11" s="14">
        <v>9500</v>
      </c>
      <c r="AD11" s="1" t="s">
        <v>80</v>
      </c>
      <c r="AE11" s="1" t="b">
        <v>1</v>
      </c>
      <c r="AF11" s="1" t="s">
        <v>151</v>
      </c>
      <c r="AG11" s="1" t="b">
        <v>0</v>
      </c>
      <c r="AH11" s="1" t="b">
        <v>1</v>
      </c>
      <c r="AI11" s="1" t="b">
        <v>1</v>
      </c>
      <c r="AJ11" s="1" t="b">
        <v>0</v>
      </c>
      <c r="AK11" s="1" t="s">
        <v>1236</v>
      </c>
      <c r="AL11" s="1">
        <v>4</v>
      </c>
      <c r="AM11" s="1" t="s">
        <v>152</v>
      </c>
      <c r="AN11" s="1">
        <v>85</v>
      </c>
      <c r="AO11" s="1" t="s">
        <v>153</v>
      </c>
      <c r="AP11" s="1" t="s">
        <v>154</v>
      </c>
      <c r="AQ11" s="33">
        <v>15400</v>
      </c>
    </row>
    <row r="12" spans="3:43" ht="15">
      <c r="C12" s="3" t="s">
        <v>188</v>
      </c>
      <c r="D12" s="1" t="s">
        <v>1256</v>
      </c>
      <c r="E12" s="2" t="s">
        <v>191</v>
      </c>
      <c r="F12" s="1" t="s">
        <v>45</v>
      </c>
      <c r="G12" s="1" t="s">
        <v>192</v>
      </c>
      <c r="H12" s="1" t="s">
        <v>89</v>
      </c>
      <c r="I12" s="1" t="s">
        <v>193</v>
      </c>
      <c r="J12" s="2" t="s">
        <v>119</v>
      </c>
      <c r="K12" s="29">
        <v>0.61458333333333337</v>
      </c>
      <c r="L12" s="2" t="s">
        <v>92</v>
      </c>
      <c r="M12" s="1" t="s">
        <v>194</v>
      </c>
      <c r="N12" s="1"/>
      <c r="O12" s="1" t="s">
        <v>195</v>
      </c>
      <c r="P12" s="1" t="s">
        <v>196</v>
      </c>
      <c r="Q12" s="1" t="s">
        <v>197</v>
      </c>
      <c r="R12" s="1">
        <v>99204</v>
      </c>
      <c r="S12" s="1" t="s">
        <v>198</v>
      </c>
      <c r="T12" s="1" t="s">
        <v>199</v>
      </c>
      <c r="U12" s="1" t="s">
        <v>200</v>
      </c>
      <c r="V12" s="1" t="s">
        <v>57</v>
      </c>
      <c r="W12" s="1">
        <v>50</v>
      </c>
      <c r="X12" s="17">
        <v>450</v>
      </c>
      <c r="Y12" s="9">
        <v>0.80</v>
      </c>
      <c r="Z12" s="7">
        <v>90</v>
      </c>
      <c r="AA12" s="15">
        <v>50</v>
      </c>
      <c r="AB12" s="16">
        <v>140</v>
      </c>
      <c r="AC12" s="14">
        <v>310</v>
      </c>
      <c r="AD12" s="1" t="s">
        <v>58</v>
      </c>
      <c r="AE12" s="1" t="b">
        <v>1</v>
      </c>
      <c r="AF12" s="1" t="s">
        <v>201</v>
      </c>
      <c r="AG12" s="1" t="b">
        <v>0</v>
      </c>
      <c r="AH12" s="1" t="b">
        <v>0</v>
      </c>
      <c r="AI12" s="1" t="b">
        <v>1</v>
      </c>
      <c r="AJ12" s="1" t="b">
        <v>0</v>
      </c>
      <c r="AK12" s="1" t="s">
        <v>1236</v>
      </c>
      <c r="AL12" s="1">
        <v>3</v>
      </c>
      <c r="AM12" s="1" t="s">
        <v>202</v>
      </c>
      <c r="AN12" s="1">
        <v>89</v>
      </c>
      <c r="AO12" s="1" t="s">
        <v>203</v>
      </c>
      <c r="AP12" s="1" t="s">
        <v>204</v>
      </c>
      <c r="AQ12" s="33">
        <v>586.40</v>
      </c>
    </row>
    <row r="13" spans="3:43" ht="15">
      <c r="C13" s="3" t="s">
        <v>222</v>
      </c>
      <c r="D13" s="1" t="s">
        <v>1258</v>
      </c>
      <c r="E13" s="2">
        <v>18120</v>
      </c>
      <c r="F13" s="1" t="s">
        <v>45</v>
      </c>
      <c r="G13" s="1" t="s">
        <v>225</v>
      </c>
      <c r="H13" s="1" t="s">
        <v>127</v>
      </c>
      <c r="I13" s="1" t="s">
        <v>226</v>
      </c>
      <c r="J13" s="2" t="s">
        <v>227</v>
      </c>
      <c r="K13" s="29">
        <v>0.33333333333333331</v>
      </c>
      <c r="L13" s="2" t="s">
        <v>50</v>
      </c>
      <c r="M13" s="1" t="s">
        <v>228</v>
      </c>
      <c r="N13" s="1"/>
      <c r="O13" s="1" t="s">
        <v>229</v>
      </c>
      <c r="P13" s="1" t="s">
        <v>230</v>
      </c>
      <c r="Q13" s="1" t="s">
        <v>231</v>
      </c>
      <c r="R13" s="1">
        <v>99215</v>
      </c>
      <c r="S13" s="1" t="s">
        <v>232</v>
      </c>
      <c r="T13" s="1" t="s">
        <v>233</v>
      </c>
      <c r="U13" s="1" t="s">
        <v>234</v>
      </c>
      <c r="V13" s="1" t="s">
        <v>57</v>
      </c>
      <c r="W13" s="1">
        <v>60</v>
      </c>
      <c r="X13" s="17">
        <v>500</v>
      </c>
      <c r="Y13" s="9">
        <v>1</v>
      </c>
      <c r="Z13" s="7">
        <v>0</v>
      </c>
      <c r="AA13" s="15">
        <v>0</v>
      </c>
      <c r="AB13" s="16">
        <v>0</v>
      </c>
      <c r="AC13" s="14">
        <v>500</v>
      </c>
      <c r="AD13" s="1" t="s">
        <v>127</v>
      </c>
      <c r="AE13" s="1" t="b">
        <v>1</v>
      </c>
      <c r="AF13" s="1" t="s">
        <v>235</v>
      </c>
      <c r="AG13" s="1" t="b">
        <v>0</v>
      </c>
      <c r="AH13" s="1" t="b">
        <v>0</v>
      </c>
      <c r="AI13" s="1" t="b">
        <v>0</v>
      </c>
      <c r="AJ13" s="1" t="b">
        <v>0</v>
      </c>
      <c r="AK13" s="1" t="s">
        <v>1236</v>
      </c>
      <c r="AL13" s="1">
        <v>4</v>
      </c>
      <c r="AM13" s="1" t="s">
        <v>236</v>
      </c>
      <c r="AN13" s="1">
        <v>94</v>
      </c>
      <c r="AO13" s="1" t="s">
        <v>61</v>
      </c>
      <c r="AP13" s="1" t="s">
        <v>237</v>
      </c>
      <c r="AQ13" s="33">
        <v>495</v>
      </c>
    </row>
    <row r="14" spans="3:43" ht="15">
      <c r="C14" s="3" t="s">
        <v>252</v>
      </c>
      <c r="D14" s="1" t="s">
        <v>1260</v>
      </c>
      <c r="E14" s="2">
        <v>28313</v>
      </c>
      <c r="F14" s="1" t="s">
        <v>45</v>
      </c>
      <c r="G14" s="1" t="s">
        <v>255</v>
      </c>
      <c r="H14" s="1" t="s">
        <v>69</v>
      </c>
      <c r="I14" s="1" t="s">
        <v>256</v>
      </c>
      <c r="J14" s="2" t="s">
        <v>257</v>
      </c>
      <c r="K14" s="29">
        <v>0.54166666666666663</v>
      </c>
      <c r="L14" s="2" t="s">
        <v>1238</v>
      </c>
      <c r="M14" s="1" t="s">
        <v>258</v>
      </c>
      <c r="N14" s="1"/>
      <c r="O14" s="1" t="s">
        <v>259</v>
      </c>
      <c r="P14" s="1" t="s">
        <v>1231</v>
      </c>
      <c r="Q14" s="1" t="s">
        <v>261</v>
      </c>
      <c r="R14" s="1">
        <v>99213</v>
      </c>
      <c r="S14" s="1" t="s">
        <v>262</v>
      </c>
      <c r="T14" s="1" t="s">
        <v>263</v>
      </c>
      <c r="U14" s="1" t="s">
        <v>57</v>
      </c>
      <c r="V14" s="1">
        <v>43239</v>
      </c>
      <c r="W14" s="1">
        <v>45</v>
      </c>
      <c r="X14" s="17">
        <v>800</v>
      </c>
      <c r="Y14" s="9">
        <v>0.70</v>
      </c>
      <c r="Z14" s="7">
        <v>240</v>
      </c>
      <c r="AA14" s="15">
        <v>80</v>
      </c>
      <c r="AB14" s="16">
        <v>320</v>
      </c>
      <c r="AC14" s="14">
        <v>480</v>
      </c>
      <c r="AD14" s="1" t="s">
        <v>80</v>
      </c>
      <c r="AE14" s="1" t="b">
        <v>1</v>
      </c>
      <c r="AF14" s="1" t="s">
        <v>264</v>
      </c>
      <c r="AG14" s="1" t="b">
        <v>0</v>
      </c>
      <c r="AH14" s="1" t="b">
        <v>0</v>
      </c>
      <c r="AI14" s="1" t="b">
        <v>1</v>
      </c>
      <c r="AJ14" s="1" t="b">
        <v>0</v>
      </c>
      <c r="AK14" s="1" t="s">
        <v>1236</v>
      </c>
      <c r="AL14" s="1">
        <v>3</v>
      </c>
      <c r="AM14" s="1" t="s">
        <v>265</v>
      </c>
      <c r="AN14" s="1">
        <v>87</v>
      </c>
      <c r="AO14" s="1" t="s">
        <v>153</v>
      </c>
      <c r="AP14" s="1" t="s">
        <v>266</v>
      </c>
      <c r="AQ14" s="33">
        <v>1114.4000000000001</v>
      </c>
    </row>
    <row r="15" spans="3:43" ht="15">
      <c r="C15" s="3" t="s">
        <v>267</v>
      </c>
      <c r="D15" s="1" t="s">
        <v>1261</v>
      </c>
      <c r="E15" s="2" t="s">
        <v>270</v>
      </c>
      <c r="F15" s="1" t="s">
        <v>67</v>
      </c>
      <c r="G15" s="1" t="s">
        <v>271</v>
      </c>
      <c r="H15" s="1" t="s">
        <v>47</v>
      </c>
      <c r="I15" s="1" t="s">
        <v>272</v>
      </c>
      <c r="J15" s="2">
        <v>45293</v>
      </c>
      <c r="K15" s="29">
        <v>0.40625</v>
      </c>
      <c r="L15" s="2" t="s">
        <v>92</v>
      </c>
      <c r="M15" s="1" t="s">
        <v>273</v>
      </c>
      <c r="N15" s="1"/>
      <c r="O15" s="1" t="s">
        <v>274</v>
      </c>
      <c r="P15" s="1" t="s">
        <v>275</v>
      </c>
      <c r="Q15" s="1" t="s">
        <v>276</v>
      </c>
      <c r="R15" s="1">
        <v>99204</v>
      </c>
      <c r="S15" s="1" t="s">
        <v>277</v>
      </c>
      <c r="T15" s="1" t="s">
        <v>278</v>
      </c>
      <c r="U15" s="1" t="s">
        <v>57</v>
      </c>
      <c r="V15" s="1" t="s">
        <v>57</v>
      </c>
      <c r="W15" s="1">
        <v>50</v>
      </c>
      <c r="X15" s="17">
        <v>400</v>
      </c>
      <c r="Y15" s="9">
        <v>0.80</v>
      </c>
      <c r="Z15" s="7">
        <v>80</v>
      </c>
      <c r="AA15" s="15">
        <v>45</v>
      </c>
      <c r="AB15" s="16">
        <v>125</v>
      </c>
      <c r="AC15" s="14">
        <v>275</v>
      </c>
      <c r="AD15" s="1" t="s">
        <v>118</v>
      </c>
      <c r="AE15" s="1" t="b">
        <v>1</v>
      </c>
      <c r="AF15" s="1">
        <v>45294</v>
      </c>
      <c r="AG15" s="1" t="b">
        <v>0</v>
      </c>
      <c r="AH15" s="1" t="b">
        <v>0</v>
      </c>
      <c r="AI15" s="1" t="b">
        <v>1</v>
      </c>
      <c r="AJ15" s="1" t="b">
        <v>0</v>
      </c>
      <c r="AK15" s="1" t="s">
        <v>1236</v>
      </c>
      <c r="AL15" s="1">
        <v>4</v>
      </c>
      <c r="AM15" s="1" t="s">
        <v>279</v>
      </c>
      <c r="AN15" s="1">
        <v>90</v>
      </c>
      <c r="AO15" s="1" t="s">
        <v>61</v>
      </c>
      <c r="AP15" s="1" t="s">
        <v>280</v>
      </c>
      <c r="AQ15" s="33">
        <v>521.79999999999995</v>
      </c>
    </row>
    <row r="16" spans="3:43" ht="15">
      <c r="C16" s="3" t="s">
        <v>281</v>
      </c>
      <c r="D16" s="1" t="s">
        <v>1262</v>
      </c>
      <c r="E16" s="2">
        <v>21531</v>
      </c>
      <c r="F16" s="1" t="s">
        <v>45</v>
      </c>
      <c r="G16" s="1" t="s">
        <v>284</v>
      </c>
      <c r="H16" s="1" t="s">
        <v>89</v>
      </c>
      <c r="I16" s="1" t="s">
        <v>285</v>
      </c>
      <c r="J16" s="2">
        <v>45324</v>
      </c>
      <c r="K16" s="29">
        <v>0.60416666666666663</v>
      </c>
      <c r="L16" s="2" t="s">
        <v>144</v>
      </c>
      <c r="M16" s="1" t="s">
        <v>286</v>
      </c>
      <c r="N16" s="1"/>
      <c r="O16" s="1" t="s">
        <v>287</v>
      </c>
      <c r="P16" s="1" t="s">
        <v>288</v>
      </c>
      <c r="Q16" s="1" t="s">
        <v>289</v>
      </c>
      <c r="R16" s="1">
        <v>99221</v>
      </c>
      <c r="S16" s="1" t="s">
        <v>290</v>
      </c>
      <c r="T16" s="1" t="s">
        <v>57</v>
      </c>
      <c r="U16" s="1" t="s">
        <v>57</v>
      </c>
      <c r="V16" s="1">
        <v>66984</v>
      </c>
      <c r="W16" s="1">
        <v>75</v>
      </c>
      <c r="X16" s="17">
        <v>3500</v>
      </c>
      <c r="Y16" s="9">
        <v>0.80</v>
      </c>
      <c r="Z16" s="7">
        <v>700</v>
      </c>
      <c r="AA16" s="15">
        <v>200</v>
      </c>
      <c r="AB16" s="16">
        <v>900</v>
      </c>
      <c r="AC16" s="14">
        <v>2600</v>
      </c>
      <c r="AD16" s="1" t="s">
        <v>80</v>
      </c>
      <c r="AE16" s="1" t="b">
        <v>1</v>
      </c>
      <c r="AF16" s="1" t="s">
        <v>81</v>
      </c>
      <c r="AG16" s="1" t="b">
        <v>0</v>
      </c>
      <c r="AH16" s="1" t="b">
        <v>1</v>
      </c>
      <c r="AI16" s="1" t="b">
        <v>1</v>
      </c>
      <c r="AJ16" s="1" t="b">
        <v>0</v>
      </c>
      <c r="AK16" s="1" t="s">
        <v>1236</v>
      </c>
      <c r="AL16" s="1">
        <v>5</v>
      </c>
      <c r="AM16" s="1" t="s">
        <v>291</v>
      </c>
      <c r="AN16" s="1">
        <v>92</v>
      </c>
      <c r="AO16" s="1" t="s">
        <v>172</v>
      </c>
      <c r="AP16" s="1" t="s">
        <v>292</v>
      </c>
      <c r="AQ16" s="33">
        <v>4372</v>
      </c>
    </row>
    <row r="17" spans="3:43" ht="15">
      <c r="C17" s="3" t="s">
        <v>364</v>
      </c>
      <c r="D17" s="1" t="s">
        <v>1269</v>
      </c>
      <c r="E17" s="2" t="s">
        <v>367</v>
      </c>
      <c r="F17" s="1" t="s">
        <v>67</v>
      </c>
      <c r="G17" s="1" t="s">
        <v>368</v>
      </c>
      <c r="H17" s="1" t="s">
        <v>69</v>
      </c>
      <c r="I17" s="1" t="s">
        <v>369</v>
      </c>
      <c r="J17" s="2" t="s">
        <v>370</v>
      </c>
      <c r="K17" s="29">
        <v>0.61458333333333337</v>
      </c>
      <c r="L17" s="2" t="s">
        <v>144</v>
      </c>
      <c r="M17" s="1" t="s">
        <v>145</v>
      </c>
      <c r="N17" s="1"/>
      <c r="O17" s="1" t="s">
        <v>146</v>
      </c>
      <c r="P17" s="1" t="s">
        <v>371</v>
      </c>
      <c r="Q17" s="1" t="s">
        <v>372</v>
      </c>
      <c r="R17" s="1">
        <v>99222</v>
      </c>
      <c r="S17" s="1" t="s">
        <v>373</v>
      </c>
      <c r="T17" s="1" t="s">
        <v>57</v>
      </c>
      <c r="U17" s="1" t="s">
        <v>374</v>
      </c>
      <c r="V17" s="1">
        <v>47600</v>
      </c>
      <c r="W17" s="1">
        <v>95</v>
      </c>
      <c r="X17" s="17">
        <v>9800</v>
      </c>
      <c r="Y17" s="9">
        <v>0.75</v>
      </c>
      <c r="Z17" s="7">
        <v>2450</v>
      </c>
      <c r="AA17" s="15">
        <v>600</v>
      </c>
      <c r="AB17" s="16">
        <v>3050</v>
      </c>
      <c r="AC17" s="14">
        <v>6750</v>
      </c>
      <c r="AD17" s="1" t="s">
        <v>80</v>
      </c>
      <c r="AE17" s="1" t="b">
        <v>1</v>
      </c>
      <c r="AF17" s="1" t="s">
        <v>375</v>
      </c>
      <c r="AG17" s="1" t="b">
        <v>0</v>
      </c>
      <c r="AH17" s="1" t="b">
        <v>1</v>
      </c>
      <c r="AI17" s="1" t="b">
        <v>1</v>
      </c>
      <c r="AJ17" s="1" t="b">
        <v>0</v>
      </c>
      <c r="AK17" s="1" t="s">
        <v>1236</v>
      </c>
      <c r="AL17" s="1">
        <v>4</v>
      </c>
      <c r="AM17" s="1" t="s">
        <v>376</v>
      </c>
      <c r="AN17" s="1">
        <v>86</v>
      </c>
      <c r="AO17" s="1" t="s">
        <v>153</v>
      </c>
      <c r="AP17" s="1" t="s">
        <v>377</v>
      </c>
      <c r="AQ17" s="33">
        <v>12776.5</v>
      </c>
    </row>
    <row r="18" spans="3:43" ht="15">
      <c r="C18" s="3" t="s">
        <v>401</v>
      </c>
      <c r="D18" s="1" t="s">
        <v>1272</v>
      </c>
      <c r="E18" s="2">
        <v>23082</v>
      </c>
      <c r="F18" s="1" t="s">
        <v>45</v>
      </c>
      <c r="G18" s="1" t="s">
        <v>404</v>
      </c>
      <c r="H18" s="1" t="s">
        <v>127</v>
      </c>
      <c r="I18" s="1" t="s">
        <v>405</v>
      </c>
      <c r="J18" s="2" t="s">
        <v>81</v>
      </c>
      <c r="K18" s="29">
        <v>0.54166666666666663</v>
      </c>
      <c r="L18" s="2" t="s">
        <v>111</v>
      </c>
      <c r="M18" s="1" t="s">
        <v>130</v>
      </c>
      <c r="N18" s="1"/>
      <c r="O18" s="1" t="s">
        <v>113</v>
      </c>
      <c r="P18" s="1" t="s">
        <v>406</v>
      </c>
      <c r="Q18" s="1" t="s">
        <v>407</v>
      </c>
      <c r="R18" s="1">
        <v>99291</v>
      </c>
      <c r="S18" s="1" t="s">
        <v>408</v>
      </c>
      <c r="T18" s="1" t="s">
        <v>117</v>
      </c>
      <c r="U18" s="1" t="s">
        <v>117</v>
      </c>
      <c r="V18" s="1" t="s">
        <v>57</v>
      </c>
      <c r="W18" s="1">
        <v>105</v>
      </c>
      <c r="X18" s="17">
        <v>650</v>
      </c>
      <c r="Y18" s="9">
        <v>1</v>
      </c>
      <c r="Z18" s="7">
        <v>0</v>
      </c>
      <c r="AA18" s="15">
        <v>0</v>
      </c>
      <c r="AB18" s="16">
        <v>0</v>
      </c>
      <c r="AC18" s="14">
        <v>650</v>
      </c>
      <c r="AD18" s="1" t="s">
        <v>127</v>
      </c>
      <c r="AE18" s="1" t="b">
        <v>1</v>
      </c>
      <c r="AF18" s="1" t="s">
        <v>168</v>
      </c>
      <c r="AG18" s="1" t="b">
        <v>0</v>
      </c>
      <c r="AH18" s="1" t="b">
        <v>1</v>
      </c>
      <c r="AI18" s="1" t="b">
        <v>0</v>
      </c>
      <c r="AJ18" s="1" t="b">
        <v>0</v>
      </c>
      <c r="AK18" s="1" t="s">
        <v>1236</v>
      </c>
      <c r="AL18" s="1">
        <v>4</v>
      </c>
      <c r="AM18" s="1" t="s">
        <v>409</v>
      </c>
      <c r="AN18" s="1">
        <v>92</v>
      </c>
      <c r="AO18" s="1" t="s">
        <v>61</v>
      </c>
      <c r="AP18" s="1" t="s">
        <v>410</v>
      </c>
      <c r="AQ18" s="33">
        <v>643.5</v>
      </c>
    </row>
    <row r="19" spans="3:43" ht="15">
      <c r="C19" s="3" t="s">
        <v>443</v>
      </c>
      <c r="D19" s="1" t="s">
        <v>1276</v>
      </c>
      <c r="E19" s="2" t="s">
        <v>446</v>
      </c>
      <c r="F19" s="1" t="s">
        <v>45</v>
      </c>
      <c r="G19" s="1" t="s">
        <v>447</v>
      </c>
      <c r="H19" s="1" t="s">
        <v>89</v>
      </c>
      <c r="I19" s="1" t="s">
        <v>448</v>
      </c>
      <c r="J19" s="2" t="s">
        <v>151</v>
      </c>
      <c r="K19" s="29">
        <v>0.51041666666666663</v>
      </c>
      <c r="L19" s="2" t="s">
        <v>144</v>
      </c>
      <c r="M19" s="1" t="s">
        <v>286</v>
      </c>
      <c r="N19" s="1"/>
      <c r="O19" s="1" t="s">
        <v>287</v>
      </c>
      <c r="P19" s="1" t="s">
        <v>288</v>
      </c>
      <c r="Q19" s="1" t="s">
        <v>289</v>
      </c>
      <c r="R19" s="1">
        <v>99221</v>
      </c>
      <c r="S19" s="1" t="s">
        <v>290</v>
      </c>
      <c r="T19" s="1" t="s">
        <v>57</v>
      </c>
      <c r="U19" s="1" t="s">
        <v>57</v>
      </c>
      <c r="V19" s="1">
        <v>66984</v>
      </c>
      <c r="W19" s="1">
        <v>80</v>
      </c>
      <c r="X19" s="17">
        <v>3600</v>
      </c>
      <c r="Y19" s="9">
        <v>0.80</v>
      </c>
      <c r="Z19" s="7">
        <v>720</v>
      </c>
      <c r="AA19" s="15">
        <v>200</v>
      </c>
      <c r="AB19" s="16">
        <v>920</v>
      </c>
      <c r="AC19" s="14">
        <v>2680</v>
      </c>
      <c r="AD19" s="1" t="s">
        <v>80</v>
      </c>
      <c r="AE19" s="1" t="b">
        <v>1</v>
      </c>
      <c r="AF19" s="1">
        <v>45507</v>
      </c>
      <c r="AG19" s="1" t="b">
        <v>0</v>
      </c>
      <c r="AH19" s="1" t="b">
        <v>1</v>
      </c>
      <c r="AI19" s="1" t="b">
        <v>1</v>
      </c>
      <c r="AJ19" s="1" t="b">
        <v>0</v>
      </c>
      <c r="AK19" s="1" t="s">
        <v>1236</v>
      </c>
      <c r="AL19" s="1">
        <v>5</v>
      </c>
      <c r="AM19" s="1" t="s">
        <v>449</v>
      </c>
      <c r="AN19" s="1">
        <v>90</v>
      </c>
      <c r="AO19" s="1" t="s">
        <v>172</v>
      </c>
      <c r="AP19" s="1" t="s">
        <v>450</v>
      </c>
      <c r="AQ19" s="33">
        <v>4491.20</v>
      </c>
    </row>
    <row r="20" spans="3:43" ht="15">
      <c r="C20" s="3" t="s">
        <v>451</v>
      </c>
      <c r="D20" s="1" t="s">
        <v>1277</v>
      </c>
      <c r="E20" s="2" t="s">
        <v>454</v>
      </c>
      <c r="F20" s="1" t="s">
        <v>67</v>
      </c>
      <c r="G20" s="1" t="s">
        <v>455</v>
      </c>
      <c r="H20" s="1" t="s">
        <v>69</v>
      </c>
      <c r="I20" s="1" t="s">
        <v>456</v>
      </c>
      <c r="J20" s="2" t="s">
        <v>168</v>
      </c>
      <c r="K20" s="29">
        <v>0.6875</v>
      </c>
      <c r="L20" s="2" t="s">
        <v>92</v>
      </c>
      <c r="M20" s="1" t="s">
        <v>273</v>
      </c>
      <c r="N20" s="1"/>
      <c r="O20" s="1" t="s">
        <v>274</v>
      </c>
      <c r="P20" s="1" t="s">
        <v>457</v>
      </c>
      <c r="Q20" s="1" t="s">
        <v>458</v>
      </c>
      <c r="R20" s="1">
        <v>99204</v>
      </c>
      <c r="S20" s="1" t="s">
        <v>459</v>
      </c>
      <c r="T20" s="1" t="s">
        <v>460</v>
      </c>
      <c r="U20" s="1" t="s">
        <v>57</v>
      </c>
      <c r="V20" s="1" t="s">
        <v>57</v>
      </c>
      <c r="W20" s="1">
        <v>55</v>
      </c>
      <c r="X20" s="17">
        <v>420</v>
      </c>
      <c r="Y20" s="9">
        <v>0.75</v>
      </c>
      <c r="Z20" s="7">
        <v>105</v>
      </c>
      <c r="AA20" s="15">
        <v>60</v>
      </c>
      <c r="AB20" s="16">
        <v>165</v>
      </c>
      <c r="AC20" s="14">
        <v>255</v>
      </c>
      <c r="AD20" s="1" t="s">
        <v>118</v>
      </c>
      <c r="AE20" s="1" t="b">
        <v>1</v>
      </c>
      <c r="AF20" s="1" t="s">
        <v>461</v>
      </c>
      <c r="AG20" s="1" t="b">
        <v>0</v>
      </c>
      <c r="AH20" s="1" t="b">
        <v>0</v>
      </c>
      <c r="AI20" s="1" t="b">
        <v>1</v>
      </c>
      <c r="AJ20" s="1" t="b">
        <v>0</v>
      </c>
      <c r="AK20" s="1" t="s">
        <v>1236</v>
      </c>
      <c r="AL20" s="1">
        <v>4</v>
      </c>
      <c r="AM20" s="1" t="s">
        <v>462</v>
      </c>
      <c r="AN20" s="1">
        <v>87</v>
      </c>
      <c r="AO20" s="1" t="s">
        <v>61</v>
      </c>
      <c r="AP20" s="1" t="s">
        <v>463</v>
      </c>
      <c r="AQ20" s="33">
        <v>581.85</v>
      </c>
    </row>
    <row r="21" spans="3:43" ht="15">
      <c r="C21" s="3" t="s">
        <v>464</v>
      </c>
      <c r="D21" s="1" t="s">
        <v>1278</v>
      </c>
      <c r="E21" s="2">
        <v>28675</v>
      </c>
      <c r="F21" s="1" t="s">
        <v>45</v>
      </c>
      <c r="G21" s="1" t="s">
        <v>467</v>
      </c>
      <c r="H21" s="1" t="s">
        <v>47</v>
      </c>
      <c r="I21" s="1" t="s">
        <v>468</v>
      </c>
      <c r="J21" s="2" t="s">
        <v>219</v>
      </c>
      <c r="K21" s="29">
        <v>0.41666666666666669</v>
      </c>
      <c r="L21" s="2" t="s">
        <v>50</v>
      </c>
      <c r="M21" s="1" t="s">
        <v>309</v>
      </c>
      <c r="N21" s="1"/>
      <c r="O21" s="1" t="s">
        <v>310</v>
      </c>
      <c r="P21" s="1" t="s">
        <v>469</v>
      </c>
      <c r="Q21" s="1" t="s">
        <v>470</v>
      </c>
      <c r="R21" s="1">
        <v>99214</v>
      </c>
      <c r="S21" s="1" t="s">
        <v>313</v>
      </c>
      <c r="T21" s="1" t="s">
        <v>471</v>
      </c>
      <c r="U21" s="1" t="s">
        <v>234</v>
      </c>
      <c r="V21" s="1" t="s">
        <v>57</v>
      </c>
      <c r="W21" s="1">
        <v>40</v>
      </c>
      <c r="X21" s="17">
        <v>550</v>
      </c>
      <c r="Y21" s="9">
        <v>0.80</v>
      </c>
      <c r="Z21" s="7">
        <v>110</v>
      </c>
      <c r="AA21" s="15">
        <v>50</v>
      </c>
      <c r="AB21" s="16">
        <v>160</v>
      </c>
      <c r="AC21" s="14">
        <v>390</v>
      </c>
      <c r="AD21" s="1" t="s">
        <v>58</v>
      </c>
      <c r="AE21" s="1" t="b">
        <v>1</v>
      </c>
      <c r="AF21" s="1" t="s">
        <v>472</v>
      </c>
      <c r="AG21" s="1" t="b">
        <v>0</v>
      </c>
      <c r="AH21" s="1" t="b">
        <v>0</v>
      </c>
      <c r="AI21" s="1" t="b">
        <v>0</v>
      </c>
      <c r="AJ21" s="1" t="b">
        <v>0</v>
      </c>
      <c r="AK21" s="1" t="s">
        <v>1236</v>
      </c>
      <c r="AL21" s="1">
        <v>3</v>
      </c>
      <c r="AM21" s="1" t="s">
        <v>473</v>
      </c>
      <c r="AN21" s="1">
        <v>88</v>
      </c>
      <c r="AO21" s="1" t="s">
        <v>153</v>
      </c>
      <c r="AP21" s="1" t="s">
        <v>474</v>
      </c>
      <c r="AQ21" s="33">
        <v>705.60</v>
      </c>
    </row>
    <row r="22" spans="3:43" ht="15">
      <c r="C22" s="3" t="s">
        <v>487</v>
      </c>
      <c r="D22" s="1" t="s">
        <v>1280</v>
      </c>
      <c r="E22" s="2">
        <v>24442</v>
      </c>
      <c r="F22" s="1" t="s">
        <v>45</v>
      </c>
      <c r="G22" s="1" t="s">
        <v>490</v>
      </c>
      <c r="H22" s="1" t="s">
        <v>127</v>
      </c>
      <c r="I22" s="1" t="s">
        <v>491</v>
      </c>
      <c r="J22" s="2" t="s">
        <v>492</v>
      </c>
      <c r="K22" s="29">
        <v>0.36458333333333331</v>
      </c>
      <c r="L22" s="2" t="s">
        <v>1238</v>
      </c>
      <c r="M22" s="1" t="s">
        <v>228</v>
      </c>
      <c r="N22" s="1"/>
      <c r="O22" s="1" t="s">
        <v>229</v>
      </c>
      <c r="P22" s="1" t="s">
        <v>493</v>
      </c>
      <c r="Q22" s="1" t="s">
        <v>494</v>
      </c>
      <c r="R22" s="1">
        <v>99215</v>
      </c>
      <c r="S22" s="1" t="s">
        <v>495</v>
      </c>
      <c r="T22" s="1" t="s">
        <v>496</v>
      </c>
      <c r="U22" s="1" t="s">
        <v>150</v>
      </c>
      <c r="V22" s="1" t="s">
        <v>57</v>
      </c>
      <c r="W22" s="1">
        <v>60</v>
      </c>
      <c r="X22" s="17">
        <v>1200</v>
      </c>
      <c r="Y22" s="9">
        <v>1</v>
      </c>
      <c r="Z22" s="7">
        <v>0</v>
      </c>
      <c r="AA22" s="15">
        <v>0</v>
      </c>
      <c r="AB22" s="16">
        <v>0</v>
      </c>
      <c r="AC22" s="14">
        <v>1200</v>
      </c>
      <c r="AD22" s="1" t="s">
        <v>127</v>
      </c>
      <c r="AE22" s="1" t="b">
        <v>1</v>
      </c>
      <c r="AF22" s="1" t="s">
        <v>497</v>
      </c>
      <c r="AG22" s="1" t="b">
        <v>0</v>
      </c>
      <c r="AH22" s="1" t="b">
        <v>0</v>
      </c>
      <c r="AI22" s="1" t="b">
        <v>0</v>
      </c>
      <c r="AJ22" s="1" t="b">
        <v>0</v>
      </c>
      <c r="AK22" s="1" t="s">
        <v>1236</v>
      </c>
      <c r="AL22" s="1">
        <v>4</v>
      </c>
      <c r="AM22" s="1" t="s">
        <v>498</v>
      </c>
      <c r="AN22" s="1">
        <v>96</v>
      </c>
      <c r="AO22" s="1" t="s">
        <v>61</v>
      </c>
      <c r="AP22" s="1" t="s">
        <v>499</v>
      </c>
      <c r="AQ22" s="33">
        <v>1188</v>
      </c>
    </row>
    <row r="23" spans="3:43" ht="15">
      <c r="C23" s="3" t="s">
        <v>511</v>
      </c>
      <c r="D23" s="1" t="s">
        <v>1282</v>
      </c>
      <c r="E23" s="2">
        <v>21769</v>
      </c>
      <c r="F23" s="1" t="s">
        <v>45</v>
      </c>
      <c r="G23" s="1" t="s">
        <v>514</v>
      </c>
      <c r="H23" s="1" t="s">
        <v>89</v>
      </c>
      <c r="I23" s="1" t="s">
        <v>515</v>
      </c>
      <c r="J23" s="2">
        <v>45294</v>
      </c>
      <c r="K23" s="29">
        <v>0.54166666666666663</v>
      </c>
      <c r="L23" s="2" t="s">
        <v>144</v>
      </c>
      <c r="M23" s="1" t="s">
        <v>93</v>
      </c>
      <c r="N23" s="1"/>
      <c r="O23" s="1" t="s">
        <v>94</v>
      </c>
      <c r="P23" s="1" t="s">
        <v>516</v>
      </c>
      <c r="Q23" s="1" t="s">
        <v>517</v>
      </c>
      <c r="R23" s="1">
        <v>99223</v>
      </c>
      <c r="S23" s="1" t="s">
        <v>518</v>
      </c>
      <c r="T23" s="1" t="s">
        <v>57</v>
      </c>
      <c r="U23" s="1" t="s">
        <v>519</v>
      </c>
      <c r="V23" s="1">
        <v>27130</v>
      </c>
      <c r="W23" s="1">
        <v>120</v>
      </c>
      <c r="X23" s="17">
        <v>18500</v>
      </c>
      <c r="Y23" s="9">
        <v>0.80</v>
      </c>
      <c r="Z23" s="7">
        <v>3700</v>
      </c>
      <c r="AA23" s="15">
        <v>800</v>
      </c>
      <c r="AB23" s="16">
        <v>4500</v>
      </c>
      <c r="AC23" s="14">
        <v>14000</v>
      </c>
      <c r="AD23" s="1" t="s">
        <v>80</v>
      </c>
      <c r="AE23" s="1" t="b">
        <v>1</v>
      </c>
      <c r="AF23" s="1" t="s">
        <v>264</v>
      </c>
      <c r="AG23" s="1" t="b">
        <v>0</v>
      </c>
      <c r="AH23" s="1" t="b">
        <v>1</v>
      </c>
      <c r="AI23" s="1" t="b">
        <v>1</v>
      </c>
      <c r="AJ23" s="1" t="b">
        <v>0</v>
      </c>
      <c r="AK23" s="1" t="s">
        <v>1236</v>
      </c>
      <c r="AL23" s="1">
        <v>5</v>
      </c>
      <c r="AM23" s="1" t="s">
        <v>520</v>
      </c>
      <c r="AN23" s="1">
        <v>85</v>
      </c>
      <c r="AO23" s="1" t="s">
        <v>172</v>
      </c>
      <c r="AP23" s="1" t="s">
        <v>521</v>
      </c>
      <c r="AQ23" s="33">
        <v>22852</v>
      </c>
    </row>
    <row r="24" spans="3:43" ht="15">
      <c r="C24" s="3" t="s">
        <v>564</v>
      </c>
      <c r="D24" s="1" t="s">
        <v>1287</v>
      </c>
      <c r="E24" s="2">
        <v>34948</v>
      </c>
      <c r="F24" s="1" t="s">
        <v>67</v>
      </c>
      <c r="G24" s="1" t="s">
        <v>567</v>
      </c>
      <c r="H24" s="1" t="s">
        <v>69</v>
      </c>
      <c r="I24" s="1" t="s">
        <v>568</v>
      </c>
      <c r="J24" s="2">
        <v>45507</v>
      </c>
      <c r="K24" s="29">
        <v>0.70833333333333337</v>
      </c>
      <c r="L24" s="2" t="s">
        <v>92</v>
      </c>
      <c r="M24" s="1" t="s">
        <v>130</v>
      </c>
      <c r="N24" s="1"/>
      <c r="O24" s="1" t="s">
        <v>131</v>
      </c>
      <c r="P24" s="1" t="s">
        <v>569</v>
      </c>
      <c r="Q24" s="1" t="s">
        <v>570</v>
      </c>
      <c r="R24" s="1">
        <v>99204</v>
      </c>
      <c r="S24" s="1" t="s">
        <v>571</v>
      </c>
      <c r="T24" s="1" t="s">
        <v>572</v>
      </c>
      <c r="U24" s="1" t="s">
        <v>57</v>
      </c>
      <c r="V24" s="1" t="s">
        <v>57</v>
      </c>
      <c r="W24" s="1">
        <v>50</v>
      </c>
      <c r="X24" s="17">
        <v>380</v>
      </c>
      <c r="Y24" s="9">
        <v>0.70</v>
      </c>
      <c r="Z24" s="7">
        <v>114</v>
      </c>
      <c r="AA24" s="15">
        <v>60</v>
      </c>
      <c r="AB24" s="16">
        <v>174</v>
      </c>
      <c r="AC24" s="14">
        <v>206</v>
      </c>
      <c r="AD24" s="1" t="s">
        <v>58</v>
      </c>
      <c r="AE24" s="1" t="b">
        <v>1</v>
      </c>
      <c r="AF24" s="1">
        <v>45508</v>
      </c>
      <c r="AG24" s="1" t="b">
        <v>0</v>
      </c>
      <c r="AH24" s="1" t="b">
        <v>0</v>
      </c>
      <c r="AI24" s="1" t="b">
        <v>1</v>
      </c>
      <c r="AJ24" s="1" t="b">
        <v>0</v>
      </c>
      <c r="AK24" s="1" t="s">
        <v>1236</v>
      </c>
      <c r="AL24" s="1">
        <v>4</v>
      </c>
      <c r="AM24" s="1" t="s">
        <v>573</v>
      </c>
      <c r="AN24" s="1">
        <v>91</v>
      </c>
      <c r="AO24" s="1" t="s">
        <v>153</v>
      </c>
      <c r="AP24" s="1" t="s">
        <v>574</v>
      </c>
      <c r="AQ24" s="33">
        <v>551.33999999999992</v>
      </c>
    </row>
    <row r="25" spans="3:43" ht="15">
      <c r="C25" s="3" t="s">
        <v>575</v>
      </c>
      <c r="D25" s="1" t="s">
        <v>1288</v>
      </c>
      <c r="E25" s="2" t="s">
        <v>578</v>
      </c>
      <c r="F25" s="1" t="s">
        <v>45</v>
      </c>
      <c r="G25" s="1" t="s">
        <v>579</v>
      </c>
      <c r="H25" s="1" t="s">
        <v>47</v>
      </c>
      <c r="I25" s="1" t="s">
        <v>580</v>
      </c>
      <c r="J25" s="2">
        <v>45599</v>
      </c>
      <c r="K25" s="29">
        <v>0.39583333333333331</v>
      </c>
      <c r="L25" s="2" t="s">
        <v>1238</v>
      </c>
      <c r="M25" s="1" t="s">
        <v>73</v>
      </c>
      <c r="N25" s="1"/>
      <c r="O25" s="1" t="s">
        <v>74</v>
      </c>
      <c r="P25" s="1" t="s">
        <v>581</v>
      </c>
      <c r="Q25" s="1" t="s">
        <v>582</v>
      </c>
      <c r="R25" s="1">
        <v>99215</v>
      </c>
      <c r="S25" s="1" t="s">
        <v>583</v>
      </c>
      <c r="T25" s="1" t="s">
        <v>584</v>
      </c>
      <c r="U25" s="1" t="s">
        <v>585</v>
      </c>
      <c r="V25" s="1" t="s">
        <v>57</v>
      </c>
      <c r="W25" s="1">
        <v>55</v>
      </c>
      <c r="X25" s="17">
        <v>320</v>
      </c>
      <c r="Y25" s="9">
        <v>0.80</v>
      </c>
      <c r="Z25" s="7">
        <v>64</v>
      </c>
      <c r="AA25" s="15">
        <v>40</v>
      </c>
      <c r="AB25" s="16">
        <v>104</v>
      </c>
      <c r="AC25" s="14">
        <v>216</v>
      </c>
      <c r="AD25" s="1" t="s">
        <v>80</v>
      </c>
      <c r="AE25" s="1" t="b">
        <v>1</v>
      </c>
      <c r="AF25" s="1">
        <v>45600</v>
      </c>
      <c r="AG25" s="1" t="b">
        <v>0</v>
      </c>
      <c r="AH25" s="1" t="b">
        <v>0</v>
      </c>
      <c r="AI25" s="1" t="b">
        <v>0</v>
      </c>
      <c r="AJ25" s="1" t="b">
        <v>0</v>
      </c>
      <c r="AK25" s="1" t="s">
        <v>1236</v>
      </c>
      <c r="AL25" s="1">
        <v>4</v>
      </c>
      <c r="AM25" s="1" t="s">
        <v>586</v>
      </c>
      <c r="AN25" s="1">
        <v>90</v>
      </c>
      <c r="AO25" s="1" t="s">
        <v>61</v>
      </c>
      <c r="AP25" s="1" t="s">
        <v>587</v>
      </c>
      <c r="AQ25" s="33">
        <v>421.44</v>
      </c>
    </row>
    <row r="26" spans="3:43" ht="15">
      <c r="C26" s="3" t="s">
        <v>588</v>
      </c>
      <c r="D26" s="1" t="s">
        <v>1289</v>
      </c>
      <c r="E26" s="2">
        <v>28348</v>
      </c>
      <c r="F26" s="1" t="s">
        <v>67</v>
      </c>
      <c r="G26" s="1" t="s">
        <v>591</v>
      </c>
      <c r="H26" s="1" t="s">
        <v>69</v>
      </c>
      <c r="I26" s="1" t="s">
        <v>592</v>
      </c>
      <c r="J26" s="2">
        <v>45629</v>
      </c>
      <c r="K26" s="29">
        <v>0.59375</v>
      </c>
      <c r="L26" s="2" t="s">
        <v>144</v>
      </c>
      <c r="M26" s="1" t="s">
        <v>145</v>
      </c>
      <c r="N26" s="1"/>
      <c r="O26" s="1" t="s">
        <v>146</v>
      </c>
      <c r="P26" s="1" t="s">
        <v>593</v>
      </c>
      <c r="Q26" s="1" t="s">
        <v>594</v>
      </c>
      <c r="R26" s="1">
        <v>99221</v>
      </c>
      <c r="S26" s="1" t="s">
        <v>595</v>
      </c>
      <c r="T26" s="1" t="s">
        <v>57</v>
      </c>
      <c r="U26" s="1" t="s">
        <v>57</v>
      </c>
      <c r="V26" s="1">
        <v>49560</v>
      </c>
      <c r="W26" s="1">
        <v>85</v>
      </c>
      <c r="X26" s="17">
        <v>7500</v>
      </c>
      <c r="Y26" s="9">
        <v>0.75</v>
      </c>
      <c r="Z26" s="7">
        <v>1875</v>
      </c>
      <c r="AA26" s="15">
        <v>450</v>
      </c>
      <c r="AB26" s="16">
        <v>2325</v>
      </c>
      <c r="AC26" s="14">
        <v>5175</v>
      </c>
      <c r="AD26" s="1" t="s">
        <v>80</v>
      </c>
      <c r="AE26" s="1" t="b">
        <v>1</v>
      </c>
      <c r="AF26" s="1" t="s">
        <v>472</v>
      </c>
      <c r="AG26" s="1" t="b">
        <v>0</v>
      </c>
      <c r="AH26" s="1" t="b">
        <v>1</v>
      </c>
      <c r="AI26" s="1" t="b">
        <v>1</v>
      </c>
      <c r="AJ26" s="1" t="b">
        <v>0</v>
      </c>
      <c r="AK26" s="1" t="s">
        <v>1236</v>
      </c>
      <c r="AL26" s="1">
        <v>5</v>
      </c>
      <c r="AM26" s="1" t="s">
        <v>596</v>
      </c>
      <c r="AN26" s="1">
        <v>87</v>
      </c>
      <c r="AO26" s="1" t="s">
        <v>153</v>
      </c>
      <c r="AP26" s="1" t="s">
        <v>597</v>
      </c>
      <c r="AQ26" s="33">
        <v>9768.75</v>
      </c>
    </row>
    <row r="27" spans="3:43" ht="15">
      <c r="C27" s="3" t="s">
        <v>610</v>
      </c>
      <c r="D27" s="1" t="s">
        <v>1291</v>
      </c>
      <c r="E27" s="2" t="s">
        <v>613</v>
      </c>
      <c r="F27" s="1" t="s">
        <v>67</v>
      </c>
      <c r="G27" s="1" t="s">
        <v>614</v>
      </c>
      <c r="H27" s="1" t="s">
        <v>47</v>
      </c>
      <c r="I27" s="1" t="s">
        <v>615</v>
      </c>
      <c r="J27" s="2" t="s">
        <v>387</v>
      </c>
      <c r="K27" s="29">
        <v>0.5</v>
      </c>
      <c r="L27" s="2" t="s">
        <v>92</v>
      </c>
      <c r="M27" s="1" t="s">
        <v>245</v>
      </c>
      <c r="N27" s="1"/>
      <c r="O27" s="1" t="s">
        <v>246</v>
      </c>
      <c r="P27" s="1" t="s">
        <v>616</v>
      </c>
      <c r="Q27" s="1" t="s">
        <v>617</v>
      </c>
      <c r="R27" s="1">
        <v>99204</v>
      </c>
      <c r="S27" s="1" t="s">
        <v>618</v>
      </c>
      <c r="T27" s="1" t="s">
        <v>57</v>
      </c>
      <c r="U27" s="1" t="s">
        <v>57</v>
      </c>
      <c r="V27" s="1" t="s">
        <v>57</v>
      </c>
      <c r="W27" s="1">
        <v>40</v>
      </c>
      <c r="X27" s="17">
        <v>310</v>
      </c>
      <c r="Y27" s="9">
        <v>0.85</v>
      </c>
      <c r="Z27" s="7">
        <v>46.5</v>
      </c>
      <c r="AA27" s="15">
        <v>30</v>
      </c>
      <c r="AB27" s="16">
        <v>76.5</v>
      </c>
      <c r="AC27" s="14">
        <v>233.5</v>
      </c>
      <c r="AD27" s="1" t="s">
        <v>118</v>
      </c>
      <c r="AE27" s="1" t="b">
        <v>1</v>
      </c>
      <c r="AF27" s="1" t="s">
        <v>619</v>
      </c>
      <c r="AG27" s="1" t="b">
        <v>0</v>
      </c>
      <c r="AH27" s="1" t="b">
        <v>0</v>
      </c>
      <c r="AI27" s="1" t="b">
        <v>1</v>
      </c>
      <c r="AJ27" s="1" t="b">
        <v>0</v>
      </c>
      <c r="AK27" s="1" t="s">
        <v>1236</v>
      </c>
      <c r="AL27" s="1">
        <v>3</v>
      </c>
      <c r="AM27" s="1" t="s">
        <v>620</v>
      </c>
      <c r="AN27" s="1">
        <v>88</v>
      </c>
      <c r="AO27" s="1" t="s">
        <v>61</v>
      </c>
      <c r="AP27" s="1" t="s">
        <v>621</v>
      </c>
      <c r="AQ27" s="33">
        <v>383.865</v>
      </c>
    </row>
    <row r="28" spans="3:43" ht="15">
      <c r="C28" s="3" t="s">
        <v>622</v>
      </c>
      <c r="D28" s="1" t="s">
        <v>1292</v>
      </c>
      <c r="E28" s="2" t="s">
        <v>625</v>
      </c>
      <c r="F28" s="1" t="s">
        <v>45</v>
      </c>
      <c r="G28" s="1" t="s">
        <v>626</v>
      </c>
      <c r="H28" s="1" t="s">
        <v>127</v>
      </c>
      <c r="I28" s="1" t="s">
        <v>627</v>
      </c>
      <c r="J28" s="2" t="s">
        <v>264</v>
      </c>
      <c r="K28" s="29">
        <v>0.34375</v>
      </c>
      <c r="L28" s="2" t="s">
        <v>111</v>
      </c>
      <c r="M28" s="1" t="s">
        <v>130</v>
      </c>
      <c r="N28" s="1"/>
      <c r="O28" s="1" t="s">
        <v>113</v>
      </c>
      <c r="P28" s="1" t="s">
        <v>147</v>
      </c>
      <c r="Q28" s="1" t="s">
        <v>148</v>
      </c>
      <c r="R28" s="1">
        <v>99291</v>
      </c>
      <c r="S28" s="1" t="s">
        <v>628</v>
      </c>
      <c r="T28" s="1" t="s">
        <v>57</v>
      </c>
      <c r="U28" s="1" t="s">
        <v>150</v>
      </c>
      <c r="V28" s="1">
        <v>44970</v>
      </c>
      <c r="W28" s="1">
        <v>110</v>
      </c>
      <c r="X28" s="17">
        <v>6200</v>
      </c>
      <c r="Y28" s="9">
        <v>1</v>
      </c>
      <c r="Z28" s="7">
        <v>0</v>
      </c>
      <c r="AA28" s="15">
        <v>0</v>
      </c>
      <c r="AB28" s="16">
        <v>0</v>
      </c>
      <c r="AC28" s="14">
        <v>6200</v>
      </c>
      <c r="AD28" s="1" t="s">
        <v>127</v>
      </c>
      <c r="AE28" s="1" t="b">
        <v>1</v>
      </c>
      <c r="AF28" s="1" t="s">
        <v>629</v>
      </c>
      <c r="AG28" s="1" t="b">
        <v>0</v>
      </c>
      <c r="AH28" s="1" t="b">
        <v>1</v>
      </c>
      <c r="AI28" s="1" t="b">
        <v>0</v>
      </c>
      <c r="AJ28" s="1" t="b">
        <v>0</v>
      </c>
      <c r="AK28" s="1" t="s">
        <v>1236</v>
      </c>
      <c r="AL28" s="1">
        <v>4</v>
      </c>
      <c r="AM28" s="1" t="s">
        <v>630</v>
      </c>
      <c r="AN28" s="1">
        <v>93</v>
      </c>
      <c r="AO28" s="1" t="s">
        <v>61</v>
      </c>
      <c r="AP28" s="1" t="s">
        <v>631</v>
      </c>
      <c r="AQ28" s="33">
        <v>6138</v>
      </c>
    </row>
    <row r="29" spans="3:43" ht="15">
      <c r="C29" s="3" t="s">
        <v>642</v>
      </c>
      <c r="D29" s="1" t="s">
        <v>1294</v>
      </c>
      <c r="E29" s="2">
        <v>25146</v>
      </c>
      <c r="F29" s="1" t="s">
        <v>45</v>
      </c>
      <c r="G29" s="1" t="s">
        <v>644</v>
      </c>
      <c r="H29" s="1" t="s">
        <v>69</v>
      </c>
      <c r="I29" s="1" t="s">
        <v>645</v>
      </c>
      <c r="J29" s="2" t="s">
        <v>418</v>
      </c>
      <c r="K29" s="29">
        <v>0.69791666666666663</v>
      </c>
      <c r="L29" s="2" t="s">
        <v>1238</v>
      </c>
      <c r="M29" s="1" t="s">
        <v>258</v>
      </c>
      <c r="N29" s="1"/>
      <c r="O29" s="1" t="s">
        <v>259</v>
      </c>
      <c r="P29" s="1" t="s">
        <v>1232</v>
      </c>
      <c r="Q29" s="1" t="s">
        <v>647</v>
      </c>
      <c r="R29" s="1">
        <v>99213</v>
      </c>
      <c r="S29" s="1" t="s">
        <v>648</v>
      </c>
      <c r="T29" s="1" t="s">
        <v>649</v>
      </c>
      <c r="U29" s="1" t="s">
        <v>650</v>
      </c>
      <c r="V29" s="1" t="s">
        <v>57</v>
      </c>
      <c r="W29" s="1">
        <v>60</v>
      </c>
      <c r="X29" s="17">
        <v>850</v>
      </c>
      <c r="Y29" s="9">
        <v>0.70</v>
      </c>
      <c r="Z29" s="7">
        <v>255</v>
      </c>
      <c r="AA29" s="15">
        <v>90</v>
      </c>
      <c r="AB29" s="16">
        <v>345</v>
      </c>
      <c r="AC29" s="14">
        <v>505</v>
      </c>
      <c r="AD29" s="1" t="s">
        <v>58</v>
      </c>
      <c r="AE29" s="1" t="b">
        <v>1</v>
      </c>
      <c r="AF29" s="1" t="s">
        <v>651</v>
      </c>
      <c r="AG29" s="1" t="b">
        <v>0</v>
      </c>
      <c r="AH29" s="1" t="b">
        <v>0</v>
      </c>
      <c r="AI29" s="1" t="b">
        <v>1</v>
      </c>
      <c r="AJ29" s="1" t="b">
        <v>1</v>
      </c>
      <c r="AK29" s="1" t="s">
        <v>652</v>
      </c>
      <c r="AL29" s="1">
        <v>3</v>
      </c>
      <c r="AM29" s="1" t="s">
        <v>653</v>
      </c>
      <c r="AN29" s="1">
        <v>86</v>
      </c>
      <c r="AO29" s="1" t="s">
        <v>172</v>
      </c>
      <c r="AP29" s="1" t="s">
        <v>654</v>
      </c>
      <c r="AQ29" s="33">
        <v>1189.05</v>
      </c>
    </row>
    <row r="30" spans="3:43" ht="15">
      <c r="C30" s="3" t="s">
        <v>665</v>
      </c>
      <c r="D30" s="1" t="s">
        <v>1296</v>
      </c>
      <c r="E30" s="2" t="s">
        <v>668</v>
      </c>
      <c r="F30" s="1" t="s">
        <v>45</v>
      </c>
      <c r="G30" s="1" t="s">
        <v>669</v>
      </c>
      <c r="H30" s="1" t="s">
        <v>89</v>
      </c>
      <c r="I30" s="1" t="s">
        <v>670</v>
      </c>
      <c r="J30" s="2" t="s">
        <v>671</v>
      </c>
      <c r="K30" s="29">
        <v>0.60416666666666663</v>
      </c>
      <c r="L30" s="2" t="s">
        <v>144</v>
      </c>
      <c r="M30" s="1" t="s">
        <v>286</v>
      </c>
      <c r="N30" s="1"/>
      <c r="O30" s="1" t="s">
        <v>287</v>
      </c>
      <c r="P30" s="1" t="s">
        <v>672</v>
      </c>
      <c r="Q30" s="1" t="s">
        <v>673</v>
      </c>
      <c r="R30" s="1">
        <v>99222</v>
      </c>
      <c r="S30" s="1" t="s">
        <v>674</v>
      </c>
      <c r="T30" s="1" t="s">
        <v>57</v>
      </c>
      <c r="U30" s="1" t="s">
        <v>57</v>
      </c>
      <c r="V30" s="1">
        <v>66170</v>
      </c>
      <c r="W30" s="1">
        <v>95</v>
      </c>
      <c r="X30" s="17">
        <v>4200</v>
      </c>
      <c r="Y30" s="9">
        <v>0.80</v>
      </c>
      <c r="Z30" s="7">
        <v>840</v>
      </c>
      <c r="AA30" s="15">
        <v>200</v>
      </c>
      <c r="AB30" s="16">
        <v>1040</v>
      </c>
      <c r="AC30" s="14">
        <v>3160</v>
      </c>
      <c r="AD30" s="1" t="s">
        <v>80</v>
      </c>
      <c r="AE30" s="1" t="b">
        <v>1</v>
      </c>
      <c r="AF30" s="1">
        <v>45386</v>
      </c>
      <c r="AG30" s="1" t="b">
        <v>0</v>
      </c>
      <c r="AH30" s="1" t="b">
        <v>1</v>
      </c>
      <c r="AI30" s="1" t="b">
        <v>1</v>
      </c>
      <c r="AJ30" s="1" t="b">
        <v>0</v>
      </c>
      <c r="AK30" s="1" t="s">
        <v>1236</v>
      </c>
      <c r="AL30" s="1">
        <v>5</v>
      </c>
      <c r="AM30" s="1" t="s">
        <v>675</v>
      </c>
      <c r="AN30" s="1">
        <v>89</v>
      </c>
      <c r="AO30" s="1" t="s">
        <v>172</v>
      </c>
      <c r="AP30" s="1" t="s">
        <v>676</v>
      </c>
      <c r="AQ30" s="33">
        <v>5206.3999999999996</v>
      </c>
    </row>
    <row r="31" spans="3:43" ht="15">
      <c r="C31" s="3" t="s">
        <v>677</v>
      </c>
      <c r="D31" s="1" t="s">
        <v>1297</v>
      </c>
      <c r="E31" s="2" t="s">
        <v>680</v>
      </c>
      <c r="F31" s="1" t="s">
        <v>67</v>
      </c>
      <c r="G31" s="1" t="s">
        <v>681</v>
      </c>
      <c r="H31" s="1" t="s">
        <v>69</v>
      </c>
      <c r="I31" s="1" t="s">
        <v>682</v>
      </c>
      <c r="J31" s="2" t="s">
        <v>629</v>
      </c>
      <c r="K31" s="29">
        <v>0.42708333333333331</v>
      </c>
      <c r="L31" s="2" t="s">
        <v>92</v>
      </c>
      <c r="M31" s="1" t="s">
        <v>273</v>
      </c>
      <c r="N31" s="1"/>
      <c r="O31" s="1" t="s">
        <v>274</v>
      </c>
      <c r="P31" s="1" t="s">
        <v>683</v>
      </c>
      <c r="Q31" s="1" t="s">
        <v>684</v>
      </c>
      <c r="R31" s="1">
        <v>99204</v>
      </c>
      <c r="S31" s="1" t="s">
        <v>685</v>
      </c>
      <c r="T31" s="1" t="s">
        <v>686</v>
      </c>
      <c r="U31" s="1" t="s">
        <v>57</v>
      </c>
      <c r="V31" s="1" t="s">
        <v>57</v>
      </c>
      <c r="W31" s="1">
        <v>45</v>
      </c>
      <c r="X31" s="17">
        <v>340</v>
      </c>
      <c r="Y31" s="9">
        <v>0.75</v>
      </c>
      <c r="Z31" s="7">
        <v>85</v>
      </c>
      <c r="AA31" s="15">
        <v>50</v>
      </c>
      <c r="AB31" s="16">
        <v>135</v>
      </c>
      <c r="AC31" s="14">
        <v>205</v>
      </c>
      <c r="AD31" s="1" t="s">
        <v>118</v>
      </c>
      <c r="AE31" s="1" t="b">
        <v>1</v>
      </c>
      <c r="AF31" s="1" t="s">
        <v>687</v>
      </c>
      <c r="AG31" s="1" t="b">
        <v>0</v>
      </c>
      <c r="AH31" s="1" t="b">
        <v>0</v>
      </c>
      <c r="AI31" s="1" t="b">
        <v>1</v>
      </c>
      <c r="AJ31" s="1" t="b">
        <v>0</v>
      </c>
      <c r="AK31" s="1" t="s">
        <v>1236</v>
      </c>
      <c r="AL31" s="1">
        <v>4</v>
      </c>
      <c r="AM31" s="1" t="s">
        <v>688</v>
      </c>
      <c r="AN31" s="1">
        <v>90</v>
      </c>
      <c r="AO31" s="1" t="s">
        <v>61</v>
      </c>
      <c r="AP31" s="1" t="s">
        <v>689</v>
      </c>
      <c r="AQ31" s="33">
        <v>472.45</v>
      </c>
    </row>
    <row r="32" spans="3:43" ht="15">
      <c r="C32" s="3" t="s">
        <v>703</v>
      </c>
      <c r="D32" s="1" t="s">
        <v>1299</v>
      </c>
      <c r="E32" s="2">
        <v>31026</v>
      </c>
      <c r="F32" s="1" t="s">
        <v>67</v>
      </c>
      <c r="G32" s="1" t="s">
        <v>706</v>
      </c>
      <c r="H32" s="1" t="s">
        <v>69</v>
      </c>
      <c r="I32" s="1" t="s">
        <v>707</v>
      </c>
      <c r="J32" s="2" t="s">
        <v>472</v>
      </c>
      <c r="K32" s="29">
        <v>0.57291666666666663</v>
      </c>
      <c r="L32" s="2" t="s">
        <v>111</v>
      </c>
      <c r="M32" s="1" t="s">
        <v>346</v>
      </c>
      <c r="N32" s="1"/>
      <c r="O32" s="1" t="s">
        <v>347</v>
      </c>
      <c r="P32" s="1" t="s">
        <v>708</v>
      </c>
      <c r="Q32" s="1" t="s">
        <v>506</v>
      </c>
      <c r="R32" s="1">
        <v>99292</v>
      </c>
      <c r="S32" s="1" t="s">
        <v>709</v>
      </c>
      <c r="T32" s="1" t="s">
        <v>57</v>
      </c>
      <c r="U32" s="1" t="s">
        <v>57</v>
      </c>
      <c r="V32" s="1" t="s">
        <v>57</v>
      </c>
      <c r="W32" s="1">
        <v>40</v>
      </c>
      <c r="X32" s="17">
        <v>450</v>
      </c>
      <c r="Y32" s="9">
        <v>0.70</v>
      </c>
      <c r="Z32" s="7">
        <v>135</v>
      </c>
      <c r="AA32" s="15">
        <v>60</v>
      </c>
      <c r="AB32" s="16">
        <v>195</v>
      </c>
      <c r="AC32" s="14">
        <v>255</v>
      </c>
      <c r="AD32" s="1" t="s">
        <v>80</v>
      </c>
      <c r="AE32" s="1" t="b">
        <v>0</v>
      </c>
      <c r="AF32" s="1" t="s">
        <v>1235</v>
      </c>
      <c r="AG32" s="1" t="b">
        <v>0</v>
      </c>
      <c r="AH32" s="1" t="b">
        <v>1</v>
      </c>
      <c r="AI32" s="1" t="b">
        <v>0</v>
      </c>
      <c r="AJ32" s="1" t="b">
        <v>0</v>
      </c>
      <c r="AK32" s="1" t="s">
        <v>1236</v>
      </c>
      <c r="AL32" s="1">
        <v>4</v>
      </c>
      <c r="AM32" s="1" t="s">
        <v>710</v>
      </c>
      <c r="AN32" s="1">
        <v>91</v>
      </c>
      <c r="AO32" s="1" t="s">
        <v>61</v>
      </c>
      <c r="AP32" s="1" t="s">
        <v>711</v>
      </c>
      <c r="AQ32" s="33">
        <v>641.85</v>
      </c>
    </row>
    <row r="33" spans="3:43" ht="15">
      <c r="C33" s="3" t="s">
        <v>712</v>
      </c>
      <c r="D33" s="1" t="s">
        <v>1300</v>
      </c>
      <c r="E33" s="2" t="s">
        <v>715</v>
      </c>
      <c r="F33" s="1" t="s">
        <v>45</v>
      </c>
      <c r="G33" s="1" t="s">
        <v>716</v>
      </c>
      <c r="H33" s="1" t="s">
        <v>127</v>
      </c>
      <c r="I33" s="1" t="s">
        <v>717</v>
      </c>
      <c r="J33" s="2" t="s">
        <v>718</v>
      </c>
      <c r="K33" s="29">
        <v>0.39583333333333331</v>
      </c>
      <c r="L33" s="2" t="s">
        <v>1238</v>
      </c>
      <c r="M33" s="1" t="s">
        <v>228</v>
      </c>
      <c r="N33" s="1"/>
      <c r="O33" s="1" t="s">
        <v>229</v>
      </c>
      <c r="P33" s="1" t="s">
        <v>719</v>
      </c>
      <c r="Q33" s="1" t="s">
        <v>720</v>
      </c>
      <c r="R33" s="1">
        <v>99215</v>
      </c>
      <c r="S33" s="1" t="s">
        <v>721</v>
      </c>
      <c r="T33" s="1" t="s">
        <v>722</v>
      </c>
      <c r="U33" s="1" t="s">
        <v>234</v>
      </c>
      <c r="V33" s="1" t="s">
        <v>57</v>
      </c>
      <c r="W33" s="1">
        <v>65</v>
      </c>
      <c r="X33" s="17">
        <v>1800</v>
      </c>
      <c r="Y33" s="9">
        <v>1</v>
      </c>
      <c r="Z33" s="7">
        <v>0</v>
      </c>
      <c r="AA33" s="15">
        <v>0</v>
      </c>
      <c r="AB33" s="16">
        <v>0</v>
      </c>
      <c r="AC33" s="14">
        <v>1800</v>
      </c>
      <c r="AD33" s="1" t="s">
        <v>127</v>
      </c>
      <c r="AE33" s="1" t="b">
        <v>1</v>
      </c>
      <c r="AF33" s="1" t="s">
        <v>723</v>
      </c>
      <c r="AG33" s="1" t="b">
        <v>0</v>
      </c>
      <c r="AH33" s="1" t="b">
        <v>0</v>
      </c>
      <c r="AI33" s="1" t="b">
        <v>0</v>
      </c>
      <c r="AJ33" s="1" t="b">
        <v>0</v>
      </c>
      <c r="AK33" s="1" t="s">
        <v>1236</v>
      </c>
      <c r="AL33" s="1">
        <v>4</v>
      </c>
      <c r="AM33" s="1" t="s">
        <v>724</v>
      </c>
      <c r="AN33" s="1">
        <v>95</v>
      </c>
      <c r="AO33" s="1" t="s">
        <v>61</v>
      </c>
      <c r="AP33" s="1" t="s">
        <v>725</v>
      </c>
      <c r="AQ33" s="33">
        <v>1782</v>
      </c>
    </row>
    <row r="34" spans="3:43" ht="15">
      <c r="C34" s="3" t="s">
        <v>735</v>
      </c>
      <c r="D34" s="1" t="s">
        <v>1302</v>
      </c>
      <c r="E34" s="2" t="s">
        <v>738</v>
      </c>
      <c r="F34" s="1" t="s">
        <v>45</v>
      </c>
      <c r="G34" s="1" t="s">
        <v>739</v>
      </c>
      <c r="H34" s="1" t="s">
        <v>89</v>
      </c>
      <c r="I34" s="1" t="s">
        <v>740</v>
      </c>
      <c r="J34" s="2" t="s">
        <v>508</v>
      </c>
      <c r="K34" s="29">
        <v>0.63541666666666663</v>
      </c>
      <c r="L34" s="2" t="s">
        <v>144</v>
      </c>
      <c r="M34" s="1" t="s">
        <v>93</v>
      </c>
      <c r="N34" s="1"/>
      <c r="O34" s="1" t="s">
        <v>94</v>
      </c>
      <c r="P34" s="1" t="s">
        <v>741</v>
      </c>
      <c r="Q34" s="1" t="s">
        <v>742</v>
      </c>
      <c r="R34" s="1">
        <v>99223</v>
      </c>
      <c r="S34" s="1" t="s">
        <v>743</v>
      </c>
      <c r="T34" s="1" t="s">
        <v>57</v>
      </c>
      <c r="U34" s="1" t="s">
        <v>98</v>
      </c>
      <c r="V34" s="1">
        <v>27447</v>
      </c>
      <c r="W34" s="1">
        <v>115</v>
      </c>
      <c r="X34" s="17">
        <v>16500</v>
      </c>
      <c r="Y34" s="9">
        <v>0.80</v>
      </c>
      <c r="Z34" s="7">
        <v>3300</v>
      </c>
      <c r="AA34" s="15">
        <v>800</v>
      </c>
      <c r="AB34" s="16">
        <v>4100</v>
      </c>
      <c r="AC34" s="14">
        <v>12400</v>
      </c>
      <c r="AD34" s="1" t="s">
        <v>80</v>
      </c>
      <c r="AE34" s="1" t="b">
        <v>1</v>
      </c>
      <c r="AF34" s="1">
        <v>45630</v>
      </c>
      <c r="AG34" s="1" t="b">
        <v>0</v>
      </c>
      <c r="AH34" s="1" t="b">
        <v>1</v>
      </c>
      <c r="AI34" s="1" t="b">
        <v>1</v>
      </c>
      <c r="AJ34" s="1" t="b">
        <v>0</v>
      </c>
      <c r="AK34" s="1" t="s">
        <v>1236</v>
      </c>
      <c r="AL34" s="1">
        <v>5</v>
      </c>
      <c r="AM34" s="1" t="s">
        <v>744</v>
      </c>
      <c r="AN34" s="1">
        <v>84</v>
      </c>
      <c r="AO34" s="1" t="s">
        <v>172</v>
      </c>
      <c r="AP34" s="1" t="s">
        <v>745</v>
      </c>
      <c r="AQ34" s="33">
        <v>20468</v>
      </c>
    </row>
    <row r="35" spans="3:43" ht="15">
      <c r="C35" s="3" t="s">
        <v>788</v>
      </c>
      <c r="D35" s="1" t="s">
        <v>1307</v>
      </c>
      <c r="E35" s="2">
        <v>35381</v>
      </c>
      <c r="F35" s="1" t="s">
        <v>67</v>
      </c>
      <c r="G35" s="1" t="s">
        <v>791</v>
      </c>
      <c r="H35" s="1" t="s">
        <v>69</v>
      </c>
      <c r="I35" s="1" t="s">
        <v>792</v>
      </c>
      <c r="J35" s="2">
        <v>45416</v>
      </c>
      <c r="K35" s="29">
        <v>0.58333333333333337</v>
      </c>
      <c r="L35" s="2" t="s">
        <v>92</v>
      </c>
      <c r="M35" s="1" t="s">
        <v>73</v>
      </c>
      <c r="N35" s="1"/>
      <c r="O35" s="1" t="s">
        <v>74</v>
      </c>
      <c r="P35" s="1" t="s">
        <v>1239</v>
      </c>
      <c r="Q35" s="1" t="s">
        <v>794</v>
      </c>
      <c r="R35" s="1">
        <v>99204</v>
      </c>
      <c r="S35" s="1" t="s">
        <v>795</v>
      </c>
      <c r="T35" s="1" t="s">
        <v>796</v>
      </c>
      <c r="U35" s="1" t="s">
        <v>57</v>
      </c>
      <c r="V35" s="1" t="s">
        <v>57</v>
      </c>
      <c r="W35" s="1">
        <v>50</v>
      </c>
      <c r="X35" s="17">
        <v>420</v>
      </c>
      <c r="Y35" s="9">
        <v>0.70</v>
      </c>
      <c r="Z35" s="7">
        <v>126</v>
      </c>
      <c r="AA35" s="15">
        <v>65</v>
      </c>
      <c r="AB35" s="16">
        <v>191</v>
      </c>
      <c r="AC35" s="14">
        <v>229</v>
      </c>
      <c r="AD35" s="1" t="s">
        <v>58</v>
      </c>
      <c r="AE35" s="1" t="b">
        <v>1</v>
      </c>
      <c r="AF35" s="1">
        <v>45417</v>
      </c>
      <c r="AG35" s="1" t="b">
        <v>0</v>
      </c>
      <c r="AH35" s="1" t="b">
        <v>0</v>
      </c>
      <c r="AI35" s="1" t="b">
        <v>1</v>
      </c>
      <c r="AJ35" s="1" t="b">
        <v>0</v>
      </c>
      <c r="AK35" s="1" t="s">
        <v>1236</v>
      </c>
      <c r="AL35" s="1">
        <v>4</v>
      </c>
      <c r="AM35" s="1" t="s">
        <v>797</v>
      </c>
      <c r="AN35" s="1">
        <v>90</v>
      </c>
      <c r="AO35" s="1" t="s">
        <v>153</v>
      </c>
      <c r="AP35" s="1" t="s">
        <v>798</v>
      </c>
      <c r="AQ35" s="33">
        <v>608.05999999999995</v>
      </c>
    </row>
    <row r="36" spans="3:43" ht="15">
      <c r="C36" s="3" t="s">
        <v>808</v>
      </c>
      <c r="D36" s="1" t="s">
        <v>1309</v>
      </c>
      <c r="E36" s="2">
        <v>28620</v>
      </c>
      <c r="F36" s="1" t="s">
        <v>67</v>
      </c>
      <c r="G36" s="1" t="s">
        <v>811</v>
      </c>
      <c r="H36" s="1" t="s">
        <v>69</v>
      </c>
      <c r="I36" s="1" t="s">
        <v>812</v>
      </c>
      <c r="J36" s="2">
        <v>45539</v>
      </c>
      <c r="K36" s="29">
        <v>0.64583333333333337</v>
      </c>
      <c r="L36" s="2" t="s">
        <v>144</v>
      </c>
      <c r="M36" s="1" t="s">
        <v>145</v>
      </c>
      <c r="N36" s="1"/>
      <c r="O36" s="1" t="s">
        <v>146</v>
      </c>
      <c r="P36" s="1" t="s">
        <v>147</v>
      </c>
      <c r="Q36" s="1" t="s">
        <v>148</v>
      </c>
      <c r="R36" s="1">
        <v>99222</v>
      </c>
      <c r="S36" s="1" t="s">
        <v>628</v>
      </c>
      <c r="T36" s="1" t="s">
        <v>57</v>
      </c>
      <c r="U36" s="1" t="s">
        <v>150</v>
      </c>
      <c r="V36" s="1">
        <v>44970</v>
      </c>
      <c r="W36" s="1">
        <v>100</v>
      </c>
      <c r="X36" s="17">
        <v>6100</v>
      </c>
      <c r="Y36" s="9">
        <v>0.75</v>
      </c>
      <c r="Z36" s="7">
        <v>1525</v>
      </c>
      <c r="AA36" s="15">
        <v>400</v>
      </c>
      <c r="AB36" s="16">
        <v>1925</v>
      </c>
      <c r="AC36" s="14">
        <v>4175</v>
      </c>
      <c r="AD36" s="1" t="s">
        <v>80</v>
      </c>
      <c r="AE36" s="1" t="b">
        <v>1</v>
      </c>
      <c r="AF36" s="1" t="s">
        <v>813</v>
      </c>
      <c r="AG36" s="1" t="b">
        <v>0</v>
      </c>
      <c r="AH36" s="1" t="b">
        <v>1</v>
      </c>
      <c r="AI36" s="1" t="b">
        <v>1</v>
      </c>
      <c r="AJ36" s="1" t="b">
        <v>0</v>
      </c>
      <c r="AK36" s="1" t="s">
        <v>1236</v>
      </c>
      <c r="AL36" s="1">
        <v>4</v>
      </c>
      <c r="AM36" s="1" t="s">
        <v>814</v>
      </c>
      <c r="AN36" s="1">
        <v>87</v>
      </c>
      <c r="AO36" s="1" t="s">
        <v>153</v>
      </c>
      <c r="AP36" s="1" t="s">
        <v>815</v>
      </c>
      <c r="AQ36" s="33">
        <v>7979.25</v>
      </c>
    </row>
    <row r="37" spans="3:43" ht="15">
      <c r="C37" s="3" t="s">
        <v>816</v>
      </c>
      <c r="D37" s="1" t="s">
        <v>1310</v>
      </c>
      <c r="E37" s="2" t="s">
        <v>819</v>
      </c>
      <c r="F37" s="1" t="s">
        <v>67</v>
      </c>
      <c r="G37" s="1" t="s">
        <v>820</v>
      </c>
      <c r="H37" s="1" t="s">
        <v>89</v>
      </c>
      <c r="I37" s="1" t="s">
        <v>821</v>
      </c>
      <c r="J37" s="2">
        <v>45569</v>
      </c>
      <c r="K37" s="29">
        <v>0.45833333333333331</v>
      </c>
      <c r="L37" s="2" t="s">
        <v>50</v>
      </c>
      <c r="M37" s="1" t="s">
        <v>273</v>
      </c>
      <c r="N37" s="1"/>
      <c r="O37" s="1" t="s">
        <v>274</v>
      </c>
      <c r="P37" s="1" t="s">
        <v>822</v>
      </c>
      <c r="Q37" s="1" t="s">
        <v>823</v>
      </c>
      <c r="R37" s="1">
        <v>99214</v>
      </c>
      <c r="S37" s="1" t="s">
        <v>824</v>
      </c>
      <c r="T37" s="1" t="s">
        <v>825</v>
      </c>
      <c r="U37" s="1" t="s">
        <v>57</v>
      </c>
      <c r="V37" s="1" t="s">
        <v>57</v>
      </c>
      <c r="W37" s="1">
        <v>40</v>
      </c>
      <c r="X37" s="17">
        <v>310</v>
      </c>
      <c r="Y37" s="9">
        <v>1</v>
      </c>
      <c r="Z37" s="7">
        <v>0</v>
      </c>
      <c r="AA37" s="15">
        <v>0</v>
      </c>
      <c r="AB37" s="16">
        <v>0</v>
      </c>
      <c r="AC37" s="14">
        <v>310</v>
      </c>
      <c r="AD37" s="1" t="s">
        <v>89</v>
      </c>
      <c r="AE37" s="1" t="b">
        <v>1</v>
      </c>
      <c r="AF37" s="1">
        <v>45570</v>
      </c>
      <c r="AG37" s="1" t="b">
        <v>0</v>
      </c>
      <c r="AH37" s="1" t="b">
        <v>0</v>
      </c>
      <c r="AI37" s="1" t="b">
        <v>0</v>
      </c>
      <c r="AJ37" s="1" t="b">
        <v>0</v>
      </c>
      <c r="AK37" s="1" t="s">
        <v>1236</v>
      </c>
      <c r="AL37" s="1">
        <v>5</v>
      </c>
      <c r="AM37" s="1" t="s">
        <v>826</v>
      </c>
      <c r="AN37" s="1">
        <v>94</v>
      </c>
      <c r="AO37" s="1" t="s">
        <v>61</v>
      </c>
      <c r="AP37" s="1" t="s">
        <v>827</v>
      </c>
      <c r="AQ37" s="33">
        <v>306.89999999999998</v>
      </c>
    </row>
    <row r="38" spans="3:43" ht="15">
      <c r="C38" s="3" t="s">
        <v>828</v>
      </c>
      <c r="D38" s="1" t="s">
        <v>1311</v>
      </c>
      <c r="E38" s="2" t="s">
        <v>831</v>
      </c>
      <c r="F38" s="1" t="s">
        <v>45</v>
      </c>
      <c r="G38" s="1" t="s">
        <v>832</v>
      </c>
      <c r="H38" s="1" t="s">
        <v>47</v>
      </c>
      <c r="I38" s="1" t="s">
        <v>833</v>
      </c>
      <c r="J38" s="2">
        <v>45600</v>
      </c>
      <c r="K38" s="29">
        <v>0.57291666666666663</v>
      </c>
      <c r="L38" s="2" t="s">
        <v>92</v>
      </c>
      <c r="M38" s="1" t="s">
        <v>258</v>
      </c>
      <c r="N38" s="1"/>
      <c r="O38" s="1" t="s">
        <v>259</v>
      </c>
      <c r="P38" s="1" t="s">
        <v>834</v>
      </c>
      <c r="Q38" s="1" t="s">
        <v>261</v>
      </c>
      <c r="R38" s="1">
        <v>99204</v>
      </c>
      <c r="S38" s="1" t="s">
        <v>835</v>
      </c>
      <c r="T38" s="1" t="s">
        <v>263</v>
      </c>
      <c r="U38" s="1" t="s">
        <v>57</v>
      </c>
      <c r="V38" s="1">
        <v>43235</v>
      </c>
      <c r="W38" s="1">
        <v>60</v>
      </c>
      <c r="X38" s="17">
        <v>950</v>
      </c>
      <c r="Y38" s="9">
        <v>0.80</v>
      </c>
      <c r="Z38" s="7">
        <v>190</v>
      </c>
      <c r="AA38" s="15">
        <v>60</v>
      </c>
      <c r="AB38" s="16">
        <v>250</v>
      </c>
      <c r="AC38" s="14">
        <v>700</v>
      </c>
      <c r="AD38" s="1" t="s">
        <v>118</v>
      </c>
      <c r="AE38" s="1" t="b">
        <v>1</v>
      </c>
      <c r="AF38" s="1">
        <v>45601</v>
      </c>
      <c r="AG38" s="1" t="b">
        <v>0</v>
      </c>
      <c r="AH38" s="1" t="b">
        <v>0</v>
      </c>
      <c r="AI38" s="1" t="b">
        <v>1</v>
      </c>
      <c r="AJ38" s="1" t="b">
        <v>0</v>
      </c>
      <c r="AK38" s="1" t="s">
        <v>1236</v>
      </c>
      <c r="AL38" s="1">
        <v>3</v>
      </c>
      <c r="AM38" s="1" t="s">
        <v>836</v>
      </c>
      <c r="AN38" s="1">
        <v>86</v>
      </c>
      <c r="AO38" s="1" t="s">
        <v>61</v>
      </c>
      <c r="AP38" s="1" t="s">
        <v>837</v>
      </c>
      <c r="AQ38" s="33">
        <v>1192.4000000000001</v>
      </c>
    </row>
    <row r="39" spans="3:43" ht="15">
      <c r="C39" s="3" t="s">
        <v>838</v>
      </c>
      <c r="D39" s="1" t="s">
        <v>1312</v>
      </c>
      <c r="E39" s="2">
        <v>33055</v>
      </c>
      <c r="F39" s="1" t="s">
        <v>67</v>
      </c>
      <c r="G39" s="1" t="s">
        <v>840</v>
      </c>
      <c r="H39" s="1" t="s">
        <v>69</v>
      </c>
      <c r="I39" s="1" t="s">
        <v>841</v>
      </c>
      <c r="J39" s="2">
        <v>45630</v>
      </c>
      <c r="K39" s="29">
        <v>0.35416666666666669</v>
      </c>
      <c r="L39" s="2" t="s">
        <v>111</v>
      </c>
      <c r="M39" s="1" t="s">
        <v>1240</v>
      </c>
      <c r="N39" s="1"/>
      <c r="O39" s="1" t="s">
        <v>214</v>
      </c>
      <c r="P39" s="1" t="s">
        <v>1233</v>
      </c>
      <c r="Q39" s="1" t="s">
        <v>843</v>
      </c>
      <c r="R39" s="1">
        <v>99203</v>
      </c>
      <c r="S39" s="1" t="s">
        <v>398</v>
      </c>
      <c r="T39" s="1" t="s">
        <v>844</v>
      </c>
      <c r="U39" s="1" t="s">
        <v>218</v>
      </c>
      <c r="V39" s="1" t="s">
        <v>57</v>
      </c>
      <c r="W39" s="1">
        <v>50</v>
      </c>
      <c r="X39" s="17">
        <v>380</v>
      </c>
      <c r="Y39" s="9">
        <v>0.70</v>
      </c>
      <c r="Z39" s="7">
        <v>114</v>
      </c>
      <c r="AA39" s="15">
        <v>55</v>
      </c>
      <c r="AB39" s="16">
        <v>169</v>
      </c>
      <c r="AC39" s="14">
        <v>211</v>
      </c>
      <c r="AD39" s="1" t="s">
        <v>80</v>
      </c>
      <c r="AE39" s="1" t="b">
        <v>1</v>
      </c>
      <c r="AF39" s="1" t="s">
        <v>651</v>
      </c>
      <c r="AG39" s="1" t="b">
        <v>0</v>
      </c>
      <c r="AH39" s="1" t="b">
        <v>1</v>
      </c>
      <c r="AI39" s="1" t="b">
        <v>0</v>
      </c>
      <c r="AJ39" s="1" t="b">
        <v>0</v>
      </c>
      <c r="AK39" s="1" t="s">
        <v>1236</v>
      </c>
      <c r="AL39" s="1">
        <v>4</v>
      </c>
      <c r="AM39" s="1" t="s">
        <v>845</v>
      </c>
      <c r="AN39" s="1">
        <v>90</v>
      </c>
      <c r="AO39" s="1" t="s">
        <v>61</v>
      </c>
      <c r="AP39" s="1" t="s">
        <v>846</v>
      </c>
      <c r="AQ39" s="33">
        <v>546.33999999999992</v>
      </c>
    </row>
    <row r="40" spans="3:43" ht="15">
      <c r="C40" s="3" t="s">
        <v>859</v>
      </c>
      <c r="D40" s="1" t="s">
        <v>1314</v>
      </c>
      <c r="E40" s="2" t="s">
        <v>860</v>
      </c>
      <c r="F40" s="1" t="s">
        <v>67</v>
      </c>
      <c r="G40" s="1" t="s">
        <v>861</v>
      </c>
      <c r="H40" s="1" t="s">
        <v>127</v>
      </c>
      <c r="I40" s="1" t="s">
        <v>862</v>
      </c>
      <c r="J40" s="2" t="s">
        <v>863</v>
      </c>
      <c r="K40" s="29">
        <v>0.70833333333333337</v>
      </c>
      <c r="L40" s="2" t="s">
        <v>1238</v>
      </c>
      <c r="M40" s="1" t="s">
        <v>228</v>
      </c>
      <c r="N40" s="1"/>
      <c r="O40" s="1" t="s">
        <v>229</v>
      </c>
      <c r="P40" s="1" t="s">
        <v>230</v>
      </c>
      <c r="Q40" s="1" t="s">
        <v>231</v>
      </c>
      <c r="R40" s="1">
        <v>99215</v>
      </c>
      <c r="S40" s="1" t="s">
        <v>864</v>
      </c>
      <c r="T40" s="1" t="s">
        <v>233</v>
      </c>
      <c r="U40" s="1" t="s">
        <v>57</v>
      </c>
      <c r="V40" s="1" t="s">
        <v>57</v>
      </c>
      <c r="W40" s="1">
        <v>60</v>
      </c>
      <c r="X40" s="17">
        <v>520</v>
      </c>
      <c r="Y40" s="9">
        <v>1</v>
      </c>
      <c r="Z40" s="7">
        <v>0</v>
      </c>
      <c r="AA40" s="15">
        <v>0</v>
      </c>
      <c r="AB40" s="16">
        <v>0</v>
      </c>
      <c r="AC40" s="14">
        <v>520</v>
      </c>
      <c r="AD40" s="1" t="s">
        <v>127</v>
      </c>
      <c r="AE40" s="1" t="b">
        <v>1</v>
      </c>
      <c r="AF40" s="1" t="s">
        <v>865</v>
      </c>
      <c r="AG40" s="1" t="b">
        <v>0</v>
      </c>
      <c r="AH40" s="1" t="b">
        <v>0</v>
      </c>
      <c r="AI40" s="1" t="b">
        <v>0</v>
      </c>
      <c r="AJ40" s="1" t="b">
        <v>0</v>
      </c>
      <c r="AK40" s="1" t="s">
        <v>1236</v>
      </c>
      <c r="AL40" s="1">
        <v>4</v>
      </c>
      <c r="AM40" s="1" t="s">
        <v>866</v>
      </c>
      <c r="AN40" s="1">
        <v>96</v>
      </c>
      <c r="AO40" s="1" t="s">
        <v>61</v>
      </c>
      <c r="AP40" s="1" t="s">
        <v>867</v>
      </c>
      <c r="AQ40" s="33">
        <v>514.79999999999995</v>
      </c>
    </row>
    <row r="41" spans="3:43" ht="15">
      <c r="C41" s="3" t="s">
        <v>868</v>
      </c>
      <c r="D41" s="1" t="s">
        <v>1315</v>
      </c>
      <c r="E41" s="2">
        <v>23047</v>
      </c>
      <c r="F41" s="1" t="s">
        <v>45</v>
      </c>
      <c r="G41" s="1" t="s">
        <v>871</v>
      </c>
      <c r="H41" s="1" t="s">
        <v>89</v>
      </c>
      <c r="I41" s="1" t="s">
        <v>872</v>
      </c>
      <c r="J41" s="2" t="s">
        <v>873</v>
      </c>
      <c r="K41" s="29">
        <v>0.39583333333333331</v>
      </c>
      <c r="L41" s="2" t="s">
        <v>144</v>
      </c>
      <c r="M41" s="1" t="s">
        <v>286</v>
      </c>
      <c r="N41" s="1"/>
      <c r="O41" s="1" t="s">
        <v>287</v>
      </c>
      <c r="P41" s="1" t="s">
        <v>288</v>
      </c>
      <c r="Q41" s="1" t="s">
        <v>289</v>
      </c>
      <c r="R41" s="1">
        <v>99221</v>
      </c>
      <c r="S41" s="1" t="s">
        <v>290</v>
      </c>
      <c r="T41" s="1" t="s">
        <v>57</v>
      </c>
      <c r="U41" s="1" t="s">
        <v>57</v>
      </c>
      <c r="V41" s="1">
        <v>66984</v>
      </c>
      <c r="W41" s="1">
        <v>80</v>
      </c>
      <c r="X41" s="17">
        <v>3550</v>
      </c>
      <c r="Y41" s="9">
        <v>0.80</v>
      </c>
      <c r="Z41" s="7">
        <v>710</v>
      </c>
      <c r="AA41" s="15">
        <v>200</v>
      </c>
      <c r="AB41" s="16">
        <v>910</v>
      </c>
      <c r="AC41" s="14">
        <v>2640</v>
      </c>
      <c r="AD41" s="1" t="s">
        <v>80</v>
      </c>
      <c r="AE41" s="1" t="b">
        <v>1</v>
      </c>
      <c r="AF41" s="1">
        <v>45296</v>
      </c>
      <c r="AG41" s="1" t="b">
        <v>0</v>
      </c>
      <c r="AH41" s="1" t="b">
        <v>1</v>
      </c>
      <c r="AI41" s="1" t="b">
        <v>1</v>
      </c>
      <c r="AJ41" s="1" t="b">
        <v>0</v>
      </c>
      <c r="AK41" s="1" t="s">
        <v>1236</v>
      </c>
      <c r="AL41" s="1">
        <v>5</v>
      </c>
      <c r="AM41" s="1" t="s">
        <v>874</v>
      </c>
      <c r="AN41" s="1">
        <v>91</v>
      </c>
      <c r="AO41" s="1" t="s">
        <v>172</v>
      </c>
      <c r="AP41" s="1" t="s">
        <v>875</v>
      </c>
      <c r="AQ41" s="33">
        <v>4431.6000000000004</v>
      </c>
    </row>
    <row r="42" spans="3:43" ht="15">
      <c r="C42" s="3" t="s">
        <v>892</v>
      </c>
      <c r="D42" s="1" t="s">
        <v>1318</v>
      </c>
      <c r="E42" s="2" t="s">
        <v>895</v>
      </c>
      <c r="F42" s="1" t="s">
        <v>67</v>
      </c>
      <c r="G42" s="1" t="s">
        <v>896</v>
      </c>
      <c r="H42" s="1" t="s">
        <v>69</v>
      </c>
      <c r="I42" s="1" t="s">
        <v>897</v>
      </c>
      <c r="J42" s="2" t="s">
        <v>687</v>
      </c>
      <c r="K42" s="29">
        <v>0.6875</v>
      </c>
      <c r="L42" s="2" t="s">
        <v>111</v>
      </c>
      <c r="M42" s="1" t="s">
        <v>73</v>
      </c>
      <c r="N42" s="1"/>
      <c r="O42" s="1" t="s">
        <v>74</v>
      </c>
      <c r="P42" s="1" t="s">
        <v>898</v>
      </c>
      <c r="Q42" s="1" t="s">
        <v>899</v>
      </c>
      <c r="R42" s="1">
        <v>99203</v>
      </c>
      <c r="S42" s="1" t="s">
        <v>900</v>
      </c>
      <c r="T42" s="1" t="s">
        <v>361</v>
      </c>
      <c r="U42" s="1" t="s">
        <v>57</v>
      </c>
      <c r="V42" s="1" t="s">
        <v>57</v>
      </c>
      <c r="W42" s="1">
        <v>45</v>
      </c>
      <c r="X42" s="17">
        <v>340</v>
      </c>
      <c r="Y42" s="9">
        <v>0.70</v>
      </c>
      <c r="Z42" s="7">
        <v>102</v>
      </c>
      <c r="AA42" s="15">
        <v>50</v>
      </c>
      <c r="AB42" s="16">
        <v>152</v>
      </c>
      <c r="AC42" s="14">
        <v>188</v>
      </c>
      <c r="AD42" s="1" t="s">
        <v>80</v>
      </c>
      <c r="AE42" s="1" t="b">
        <v>1</v>
      </c>
      <c r="AF42" s="1" t="s">
        <v>901</v>
      </c>
      <c r="AG42" s="1" t="b">
        <v>0</v>
      </c>
      <c r="AH42" s="1" t="b">
        <v>1</v>
      </c>
      <c r="AI42" s="1" t="b">
        <v>0</v>
      </c>
      <c r="AJ42" s="1" t="b">
        <v>0</v>
      </c>
      <c r="AK42" s="1" t="s">
        <v>1236</v>
      </c>
      <c r="AL42" s="1">
        <v>3</v>
      </c>
      <c r="AM42" s="1" t="s">
        <v>902</v>
      </c>
      <c r="AN42" s="1">
        <v>87</v>
      </c>
      <c r="AO42" s="1" t="s">
        <v>61</v>
      </c>
      <c r="AP42" s="1" t="s">
        <v>903</v>
      </c>
      <c r="AQ42" s="33">
        <v>489.62</v>
      </c>
    </row>
    <row r="43" spans="3:43" ht="15">
      <c r="C43" s="3" t="s">
        <v>928</v>
      </c>
      <c r="D43" s="1" t="s">
        <v>1321</v>
      </c>
      <c r="E43" s="2">
        <v>24691</v>
      </c>
      <c r="F43" s="1" t="s">
        <v>45</v>
      </c>
      <c r="G43" s="1" t="s">
        <v>931</v>
      </c>
      <c r="H43" s="1" t="s">
        <v>89</v>
      </c>
      <c r="I43" s="1" t="s">
        <v>932</v>
      </c>
      <c r="J43" s="2" t="s">
        <v>933</v>
      </c>
      <c r="K43" s="29">
        <v>0.625</v>
      </c>
      <c r="L43" s="2" t="s">
        <v>144</v>
      </c>
      <c r="M43" s="1" t="s">
        <v>93</v>
      </c>
      <c r="N43" s="1"/>
      <c r="O43" s="1" t="s">
        <v>94</v>
      </c>
      <c r="P43" s="1" t="s">
        <v>934</v>
      </c>
      <c r="Q43" s="1" t="s">
        <v>935</v>
      </c>
      <c r="R43" s="1">
        <v>99222</v>
      </c>
      <c r="S43" s="1" t="s">
        <v>936</v>
      </c>
      <c r="T43" s="1" t="s">
        <v>57</v>
      </c>
      <c r="U43" s="1" t="s">
        <v>937</v>
      </c>
      <c r="V43" s="1">
        <v>29827</v>
      </c>
      <c r="W43" s="1">
        <v>90</v>
      </c>
      <c r="X43" s="17">
        <v>8200</v>
      </c>
      <c r="Y43" s="9">
        <v>0.80</v>
      </c>
      <c r="Z43" s="7">
        <v>1640</v>
      </c>
      <c r="AA43" s="15">
        <v>400</v>
      </c>
      <c r="AB43" s="16">
        <v>2040</v>
      </c>
      <c r="AC43" s="14">
        <v>6160</v>
      </c>
      <c r="AD43" s="1" t="s">
        <v>80</v>
      </c>
      <c r="AE43" s="1" t="b">
        <v>1</v>
      </c>
      <c r="AF43" s="1">
        <v>45540</v>
      </c>
      <c r="AG43" s="1" t="b">
        <v>0</v>
      </c>
      <c r="AH43" s="1" t="b">
        <v>1</v>
      </c>
      <c r="AI43" s="1" t="b">
        <v>1</v>
      </c>
      <c r="AJ43" s="1" t="b">
        <v>0</v>
      </c>
      <c r="AK43" s="1" t="s">
        <v>1236</v>
      </c>
      <c r="AL43" s="1">
        <v>5</v>
      </c>
      <c r="AM43" s="1" t="s">
        <v>938</v>
      </c>
      <c r="AN43" s="1">
        <v>85</v>
      </c>
      <c r="AO43" s="1" t="s">
        <v>172</v>
      </c>
      <c r="AP43" s="1" t="s">
        <v>939</v>
      </c>
      <c r="AQ43" s="33">
        <v>10174.40</v>
      </c>
    </row>
    <row r="44" spans="3:43" ht="15">
      <c r="C44" s="3" t="s">
        <v>951</v>
      </c>
      <c r="D44" s="1" t="s">
        <v>1323</v>
      </c>
      <c r="E44" s="2" t="s">
        <v>954</v>
      </c>
      <c r="F44" s="1" t="s">
        <v>45</v>
      </c>
      <c r="G44" s="1" t="s">
        <v>955</v>
      </c>
      <c r="H44" s="1" t="s">
        <v>47</v>
      </c>
      <c r="I44" s="1" t="s">
        <v>956</v>
      </c>
      <c r="J44" s="2" t="s">
        <v>901</v>
      </c>
      <c r="K44" s="29">
        <v>0.59375</v>
      </c>
      <c r="L44" s="2" t="s">
        <v>50</v>
      </c>
      <c r="M44" s="1" t="s">
        <v>130</v>
      </c>
      <c r="N44" s="1"/>
      <c r="O44" s="1" t="s">
        <v>131</v>
      </c>
      <c r="P44" s="1" t="s">
        <v>957</v>
      </c>
      <c r="Q44" s="1" t="s">
        <v>958</v>
      </c>
      <c r="R44" s="1">
        <v>99215</v>
      </c>
      <c r="S44" s="1" t="s">
        <v>959</v>
      </c>
      <c r="T44" s="1" t="s">
        <v>960</v>
      </c>
      <c r="U44" s="1" t="s">
        <v>57</v>
      </c>
      <c r="V44" s="1" t="s">
        <v>57</v>
      </c>
      <c r="W44" s="1">
        <v>55</v>
      </c>
      <c r="X44" s="17">
        <v>450</v>
      </c>
      <c r="Y44" s="9">
        <v>0.80</v>
      </c>
      <c r="Z44" s="7">
        <v>90</v>
      </c>
      <c r="AA44" s="15">
        <v>50</v>
      </c>
      <c r="AB44" s="16">
        <v>140</v>
      </c>
      <c r="AC44" s="14">
        <v>310</v>
      </c>
      <c r="AD44" s="1" t="s">
        <v>118</v>
      </c>
      <c r="AE44" s="1" t="b">
        <v>1</v>
      </c>
      <c r="AF44" s="1" t="s">
        <v>961</v>
      </c>
      <c r="AG44" s="1" t="b">
        <v>0</v>
      </c>
      <c r="AH44" s="1" t="b">
        <v>0</v>
      </c>
      <c r="AI44" s="1" t="b">
        <v>0</v>
      </c>
      <c r="AJ44" s="1" t="b">
        <v>0</v>
      </c>
      <c r="AK44" s="1" t="s">
        <v>1236</v>
      </c>
      <c r="AL44" s="1">
        <v>4</v>
      </c>
      <c r="AM44" s="1" t="s">
        <v>962</v>
      </c>
      <c r="AN44" s="1">
        <v>94</v>
      </c>
      <c r="AO44" s="1" t="s">
        <v>61</v>
      </c>
      <c r="AP44" s="1" t="s">
        <v>963</v>
      </c>
      <c r="AQ44" s="33">
        <v>586.40</v>
      </c>
    </row>
    <row r="45" spans="3:43" ht="15">
      <c r="C45" s="3" t="s">
        <v>974</v>
      </c>
      <c r="D45" s="1" t="s">
        <v>1325</v>
      </c>
      <c r="E45" s="2" t="s">
        <v>977</v>
      </c>
      <c r="F45" s="1" t="s">
        <v>45</v>
      </c>
      <c r="G45" s="1" t="s">
        <v>978</v>
      </c>
      <c r="H45" s="1" t="s">
        <v>47</v>
      </c>
      <c r="I45" s="1" t="s">
        <v>979</v>
      </c>
      <c r="J45" s="2">
        <v>45296</v>
      </c>
      <c r="K45" s="29">
        <v>0.5625</v>
      </c>
      <c r="L45" s="2" t="s">
        <v>111</v>
      </c>
      <c r="M45" s="1" t="s">
        <v>258</v>
      </c>
      <c r="N45" s="1"/>
      <c r="O45" s="1" t="s">
        <v>259</v>
      </c>
      <c r="P45" s="1" t="s">
        <v>980</v>
      </c>
      <c r="Q45" s="1" t="s">
        <v>981</v>
      </c>
      <c r="R45" s="1">
        <v>99203</v>
      </c>
      <c r="S45" s="1" t="s">
        <v>982</v>
      </c>
      <c r="T45" s="1" t="s">
        <v>983</v>
      </c>
      <c r="U45" s="1" t="s">
        <v>150</v>
      </c>
      <c r="V45" s="1" t="s">
        <v>57</v>
      </c>
      <c r="W45" s="1">
        <v>75</v>
      </c>
      <c r="X45" s="17">
        <v>680</v>
      </c>
      <c r="Y45" s="9">
        <v>0.70</v>
      </c>
      <c r="Z45" s="7">
        <v>204</v>
      </c>
      <c r="AA45" s="15">
        <v>80</v>
      </c>
      <c r="AB45" s="16">
        <v>284</v>
      </c>
      <c r="AC45" s="14">
        <v>396</v>
      </c>
      <c r="AD45" s="1" t="s">
        <v>80</v>
      </c>
      <c r="AE45" s="1" t="b">
        <v>1</v>
      </c>
      <c r="AF45" s="1">
        <v>45509</v>
      </c>
      <c r="AG45" s="1" t="b">
        <v>0</v>
      </c>
      <c r="AH45" s="1" t="b">
        <v>1</v>
      </c>
      <c r="AI45" s="1" t="b">
        <v>0</v>
      </c>
      <c r="AJ45" s="1" t="b">
        <v>0</v>
      </c>
      <c r="AK45" s="1" t="s">
        <v>1236</v>
      </c>
      <c r="AL45" s="1">
        <v>3</v>
      </c>
      <c r="AM45" s="1" t="s">
        <v>984</v>
      </c>
      <c r="AN45" s="1">
        <v>88</v>
      </c>
      <c r="AO45" s="1" t="s">
        <v>61</v>
      </c>
      <c r="AP45" s="1" t="s">
        <v>985</v>
      </c>
      <c r="AQ45" s="33">
        <v>959.24</v>
      </c>
    </row>
    <row r="46" spans="3:43" ht="15">
      <c r="C46" s="3" t="s">
        <v>986</v>
      </c>
      <c r="D46" s="1" t="s">
        <v>1326</v>
      </c>
      <c r="E46" s="2">
        <v>35653</v>
      </c>
      <c r="F46" s="1" t="s">
        <v>67</v>
      </c>
      <c r="G46" s="1" t="s">
        <v>989</v>
      </c>
      <c r="H46" s="1" t="s">
        <v>69</v>
      </c>
      <c r="I46" s="1" t="s">
        <v>990</v>
      </c>
      <c r="J46" s="2">
        <v>45327</v>
      </c>
      <c r="K46" s="29">
        <v>0.36458333333333331</v>
      </c>
      <c r="L46" s="2" t="s">
        <v>92</v>
      </c>
      <c r="M46" s="1" t="s">
        <v>194</v>
      </c>
      <c r="N46" s="1"/>
      <c r="O46" s="1" t="s">
        <v>195</v>
      </c>
      <c r="P46" s="1" t="s">
        <v>427</v>
      </c>
      <c r="Q46" s="1" t="s">
        <v>428</v>
      </c>
      <c r="R46" s="1">
        <v>99204</v>
      </c>
      <c r="S46" s="1" t="s">
        <v>429</v>
      </c>
      <c r="T46" s="1" t="s">
        <v>430</v>
      </c>
      <c r="U46" s="1" t="s">
        <v>57</v>
      </c>
      <c r="V46" s="1" t="s">
        <v>57</v>
      </c>
      <c r="W46" s="1">
        <v>50</v>
      </c>
      <c r="X46" s="17">
        <v>410</v>
      </c>
      <c r="Y46" s="9">
        <v>0.75</v>
      </c>
      <c r="Z46" s="7">
        <v>102.5</v>
      </c>
      <c r="AA46" s="15">
        <v>55</v>
      </c>
      <c r="AB46" s="16">
        <v>157.5</v>
      </c>
      <c r="AC46" s="14">
        <v>252.5</v>
      </c>
      <c r="AD46" s="1" t="s">
        <v>58</v>
      </c>
      <c r="AE46" s="1" t="b">
        <v>1</v>
      </c>
      <c r="AF46" s="1">
        <v>45328</v>
      </c>
      <c r="AG46" s="1" t="b">
        <v>0</v>
      </c>
      <c r="AH46" s="1" t="b">
        <v>0</v>
      </c>
      <c r="AI46" s="1" t="b">
        <v>1</v>
      </c>
      <c r="AJ46" s="1" t="b">
        <v>0</v>
      </c>
      <c r="AK46" s="1" t="s">
        <v>1236</v>
      </c>
      <c r="AL46" s="1">
        <v>4</v>
      </c>
      <c r="AM46" s="1" t="s">
        <v>991</v>
      </c>
      <c r="AN46" s="1">
        <v>89</v>
      </c>
      <c r="AO46" s="1" t="s">
        <v>153</v>
      </c>
      <c r="AP46" s="1" t="s">
        <v>992</v>
      </c>
      <c r="AQ46" s="33">
        <v>564.42499999999995</v>
      </c>
    </row>
    <row r="47" spans="3:43" ht="15">
      <c r="C47" s="3" t="s">
        <v>1001</v>
      </c>
      <c r="D47" s="1" t="s">
        <v>1328</v>
      </c>
      <c r="E47" s="2" t="s">
        <v>1003</v>
      </c>
      <c r="F47" s="1" t="s">
        <v>67</v>
      </c>
      <c r="G47" s="1" t="s">
        <v>1004</v>
      </c>
      <c r="H47" s="1" t="s">
        <v>47</v>
      </c>
      <c r="I47" s="1" t="s">
        <v>1005</v>
      </c>
      <c r="J47" s="2">
        <v>45448</v>
      </c>
      <c r="K47" s="29">
        <v>0.38541666666666669</v>
      </c>
      <c r="L47" s="2" t="s">
        <v>144</v>
      </c>
      <c r="M47" s="1" t="s">
        <v>145</v>
      </c>
      <c r="N47" s="1"/>
      <c r="O47" s="1" t="s">
        <v>146</v>
      </c>
      <c r="P47" s="1" t="s">
        <v>371</v>
      </c>
      <c r="Q47" s="1" t="s">
        <v>372</v>
      </c>
      <c r="R47" s="1">
        <v>99222</v>
      </c>
      <c r="S47" s="1" t="s">
        <v>373</v>
      </c>
      <c r="T47" s="1" t="s">
        <v>57</v>
      </c>
      <c r="U47" s="1" t="s">
        <v>374</v>
      </c>
      <c r="V47" s="1">
        <v>47600</v>
      </c>
      <c r="W47" s="1">
        <v>90</v>
      </c>
      <c r="X47" s="17">
        <v>9500</v>
      </c>
      <c r="Y47" s="9">
        <v>0.75</v>
      </c>
      <c r="Z47" s="7">
        <v>2375</v>
      </c>
      <c r="AA47" s="15">
        <v>600</v>
      </c>
      <c r="AB47" s="16">
        <v>2975</v>
      </c>
      <c r="AC47" s="14">
        <v>6525</v>
      </c>
      <c r="AD47" s="1" t="s">
        <v>80</v>
      </c>
      <c r="AE47" s="1" t="b">
        <v>1</v>
      </c>
      <c r="AF47" s="1" t="s">
        <v>1006</v>
      </c>
      <c r="AG47" s="1" t="b">
        <v>0</v>
      </c>
      <c r="AH47" s="1" t="b">
        <v>1</v>
      </c>
      <c r="AI47" s="1" t="b">
        <v>1</v>
      </c>
      <c r="AJ47" s="1" t="b">
        <v>0</v>
      </c>
      <c r="AK47" s="1" t="s">
        <v>1236</v>
      </c>
      <c r="AL47" s="1">
        <v>4</v>
      </c>
      <c r="AM47" s="1" t="s">
        <v>1007</v>
      </c>
      <c r="AN47" s="1">
        <v>86</v>
      </c>
      <c r="AO47" s="1" t="s">
        <v>153</v>
      </c>
      <c r="AP47" s="1" t="s">
        <v>1008</v>
      </c>
      <c r="AQ47" s="33">
        <v>12403.75</v>
      </c>
    </row>
    <row r="48" spans="3:43" ht="15">
      <c r="C48" s="3" t="s">
        <v>1025</v>
      </c>
      <c r="D48" s="1" t="s">
        <v>1331</v>
      </c>
      <c r="E48" s="2">
        <v>25393</v>
      </c>
      <c r="F48" s="1" t="s">
        <v>45</v>
      </c>
      <c r="G48" s="1" t="s">
        <v>1028</v>
      </c>
      <c r="H48" s="1" t="s">
        <v>127</v>
      </c>
      <c r="I48" s="1" t="s">
        <v>1029</v>
      </c>
      <c r="J48" s="2">
        <v>45540</v>
      </c>
      <c r="K48" s="29">
        <v>0.36458333333333331</v>
      </c>
      <c r="L48" s="2" t="s">
        <v>111</v>
      </c>
      <c r="M48" s="1" t="s">
        <v>130</v>
      </c>
      <c r="N48" s="1"/>
      <c r="O48" s="1" t="s">
        <v>113</v>
      </c>
      <c r="P48" s="1" t="s">
        <v>406</v>
      </c>
      <c r="Q48" s="1" t="s">
        <v>407</v>
      </c>
      <c r="R48" s="1">
        <v>99291</v>
      </c>
      <c r="S48" s="1" t="s">
        <v>1030</v>
      </c>
      <c r="T48" s="1" t="s">
        <v>117</v>
      </c>
      <c r="U48" s="1" t="s">
        <v>117</v>
      </c>
      <c r="V48" s="1" t="s">
        <v>57</v>
      </c>
      <c r="W48" s="1">
        <v>95</v>
      </c>
      <c r="X48" s="17">
        <v>600</v>
      </c>
      <c r="Y48" s="9">
        <v>1</v>
      </c>
      <c r="Z48" s="7">
        <v>0</v>
      </c>
      <c r="AA48" s="15">
        <v>0</v>
      </c>
      <c r="AB48" s="16">
        <v>0</v>
      </c>
      <c r="AC48" s="14">
        <v>600</v>
      </c>
      <c r="AD48" s="1" t="s">
        <v>127</v>
      </c>
      <c r="AE48" s="1" t="b">
        <v>1</v>
      </c>
      <c r="AF48" s="1" t="s">
        <v>865</v>
      </c>
      <c r="AG48" s="1" t="b">
        <v>0</v>
      </c>
      <c r="AH48" s="1" t="b">
        <v>1</v>
      </c>
      <c r="AI48" s="1" t="b">
        <v>0</v>
      </c>
      <c r="AJ48" s="1" t="b">
        <v>0</v>
      </c>
      <c r="AK48" s="1" t="s">
        <v>1236</v>
      </c>
      <c r="AL48" s="1">
        <v>4</v>
      </c>
      <c r="AM48" s="1" t="s">
        <v>1031</v>
      </c>
      <c r="AN48" s="1">
        <v>92</v>
      </c>
      <c r="AO48" s="1" t="s">
        <v>61</v>
      </c>
      <c r="AP48" s="1" t="s">
        <v>1032</v>
      </c>
      <c r="AQ48" s="33">
        <v>594</v>
      </c>
    </row>
    <row r="49" spans="3:43" ht="15">
      <c r="C49" s="3" t="s">
        <v>1041</v>
      </c>
      <c r="D49" s="1" t="s">
        <v>1333</v>
      </c>
      <c r="E49" s="2" t="s">
        <v>1044</v>
      </c>
      <c r="F49" s="1" t="s">
        <v>45</v>
      </c>
      <c r="G49" s="1" t="s">
        <v>1045</v>
      </c>
      <c r="H49" s="1" t="s">
        <v>69</v>
      </c>
      <c r="I49" s="1" t="s">
        <v>1046</v>
      </c>
      <c r="J49" s="2" t="s">
        <v>1047</v>
      </c>
      <c r="K49" s="29">
        <v>0.69791666666666663</v>
      </c>
      <c r="L49" s="2" t="s">
        <v>1238</v>
      </c>
      <c r="M49" s="1" t="s">
        <v>258</v>
      </c>
      <c r="N49" s="1"/>
      <c r="O49" s="1" t="s">
        <v>259</v>
      </c>
      <c r="P49" s="1" t="s">
        <v>1241</v>
      </c>
      <c r="Q49" s="1" t="s">
        <v>647</v>
      </c>
      <c r="R49" s="1">
        <v>99213</v>
      </c>
      <c r="S49" s="1" t="s">
        <v>1049</v>
      </c>
      <c r="T49" s="1" t="s">
        <v>1050</v>
      </c>
      <c r="U49" s="1" t="s">
        <v>57</v>
      </c>
      <c r="V49" s="1" t="s">
        <v>57</v>
      </c>
      <c r="W49" s="1">
        <v>65</v>
      </c>
      <c r="X49" s="17">
        <v>1200</v>
      </c>
      <c r="Y49" s="9">
        <v>0.70</v>
      </c>
      <c r="Z49" s="7">
        <v>360</v>
      </c>
      <c r="AA49" s="15">
        <v>100</v>
      </c>
      <c r="AB49" s="16">
        <v>460</v>
      </c>
      <c r="AC49" s="14">
        <v>740</v>
      </c>
      <c r="AD49" s="1" t="s">
        <v>58</v>
      </c>
      <c r="AE49" s="1" t="b">
        <v>1</v>
      </c>
      <c r="AF49" s="1" t="s">
        <v>1051</v>
      </c>
      <c r="AG49" s="1" t="b">
        <v>0</v>
      </c>
      <c r="AH49" s="1" t="b">
        <v>0</v>
      </c>
      <c r="AI49" s="1" t="b">
        <v>1</v>
      </c>
      <c r="AJ49" s="1" t="b">
        <v>1</v>
      </c>
      <c r="AK49" s="1" t="s">
        <v>1052</v>
      </c>
      <c r="AL49" s="1">
        <v>3</v>
      </c>
      <c r="AM49" s="1" t="s">
        <v>1053</v>
      </c>
      <c r="AN49" s="1">
        <v>85</v>
      </c>
      <c r="AO49" s="1" t="s">
        <v>172</v>
      </c>
      <c r="AP49" s="1" t="s">
        <v>1054</v>
      </c>
      <c r="AQ49" s="33">
        <v>1651.60</v>
      </c>
    </row>
    <row r="50" spans="3:43" ht="15">
      <c r="C50" s="3" t="s">
        <v>1066</v>
      </c>
      <c r="D50" s="1" t="s">
        <v>1335</v>
      </c>
      <c r="E50" s="2">
        <v>18386</v>
      </c>
      <c r="F50" s="1" t="s">
        <v>45</v>
      </c>
      <c r="G50" s="1" t="s">
        <v>1069</v>
      </c>
      <c r="H50" s="1" t="s">
        <v>89</v>
      </c>
      <c r="I50" s="1" t="s">
        <v>1070</v>
      </c>
      <c r="J50" s="2" t="s">
        <v>1071</v>
      </c>
      <c r="K50" s="29">
        <v>0.58333333333333337</v>
      </c>
      <c r="L50" s="2" t="s">
        <v>144</v>
      </c>
      <c r="M50" s="1" t="s">
        <v>286</v>
      </c>
      <c r="N50" s="1"/>
      <c r="O50" s="1" t="s">
        <v>287</v>
      </c>
      <c r="P50" s="1" t="s">
        <v>288</v>
      </c>
      <c r="Q50" s="1" t="s">
        <v>289</v>
      </c>
      <c r="R50" s="1">
        <v>99221</v>
      </c>
      <c r="S50" s="1" t="s">
        <v>290</v>
      </c>
      <c r="T50" s="1" t="s">
        <v>57</v>
      </c>
      <c r="U50" s="1" t="s">
        <v>57</v>
      </c>
      <c r="V50" s="1">
        <v>66984</v>
      </c>
      <c r="W50" s="1">
        <v>85</v>
      </c>
      <c r="X50" s="17">
        <v>3650</v>
      </c>
      <c r="Y50" s="9">
        <v>0.80</v>
      </c>
      <c r="Z50" s="7">
        <v>730</v>
      </c>
      <c r="AA50" s="15">
        <v>200</v>
      </c>
      <c r="AB50" s="16">
        <v>930</v>
      </c>
      <c r="AC50" s="14">
        <v>2720</v>
      </c>
      <c r="AD50" s="1" t="s">
        <v>80</v>
      </c>
      <c r="AE50" s="1" t="b">
        <v>1</v>
      </c>
      <c r="AF50" s="1" t="s">
        <v>961</v>
      </c>
      <c r="AG50" s="1" t="b">
        <v>0</v>
      </c>
      <c r="AH50" s="1" t="b">
        <v>1</v>
      </c>
      <c r="AI50" s="1" t="b">
        <v>1</v>
      </c>
      <c r="AJ50" s="1" t="b">
        <v>0</v>
      </c>
      <c r="AK50" s="1" t="s">
        <v>1236</v>
      </c>
      <c r="AL50" s="1">
        <v>5</v>
      </c>
      <c r="AM50" s="1" t="s">
        <v>1072</v>
      </c>
      <c r="AN50" s="1">
        <v>90</v>
      </c>
      <c r="AO50" s="1" t="s">
        <v>172</v>
      </c>
      <c r="AP50" s="1" t="s">
        <v>1073</v>
      </c>
      <c r="AQ50" s="33">
        <v>4550.80</v>
      </c>
    </row>
    <row r="51" spans="3:43" ht="15">
      <c r="C51" s="3" t="s">
        <v>1074</v>
      </c>
      <c r="D51" s="1" t="s">
        <v>1336</v>
      </c>
      <c r="E51" s="2" t="s">
        <v>1077</v>
      </c>
      <c r="F51" s="1" t="s">
        <v>67</v>
      </c>
      <c r="G51" s="1" t="s">
        <v>1078</v>
      </c>
      <c r="H51" s="1" t="s">
        <v>69</v>
      </c>
      <c r="I51" s="1" t="s">
        <v>1079</v>
      </c>
      <c r="J51" s="2" t="s">
        <v>865</v>
      </c>
      <c r="K51" s="29">
        <v>0.44791666666666669</v>
      </c>
      <c r="L51" s="2" t="s">
        <v>92</v>
      </c>
      <c r="M51" s="1" t="s">
        <v>346</v>
      </c>
      <c r="N51" s="1"/>
      <c r="O51" s="1" t="s">
        <v>347</v>
      </c>
      <c r="P51" s="1" t="s">
        <v>1080</v>
      </c>
      <c r="Q51" s="1" t="s">
        <v>1081</v>
      </c>
      <c r="R51" s="1">
        <v>99204</v>
      </c>
      <c r="S51" s="1" t="s">
        <v>1082</v>
      </c>
      <c r="T51" s="1" t="s">
        <v>351</v>
      </c>
      <c r="U51" s="1" t="s">
        <v>57</v>
      </c>
      <c r="V51" s="1" t="s">
        <v>57</v>
      </c>
      <c r="W51" s="1">
        <v>45</v>
      </c>
      <c r="X51" s="17">
        <v>330</v>
      </c>
      <c r="Y51" s="9">
        <v>0.75</v>
      </c>
      <c r="Z51" s="7">
        <v>82.5</v>
      </c>
      <c r="AA51" s="15">
        <v>50</v>
      </c>
      <c r="AB51" s="16">
        <v>132.5</v>
      </c>
      <c r="AC51" s="14">
        <v>197.5</v>
      </c>
      <c r="AD51" s="1" t="s">
        <v>118</v>
      </c>
      <c r="AE51" s="1" t="b">
        <v>1</v>
      </c>
      <c r="AF51" s="1" t="s">
        <v>1083</v>
      </c>
      <c r="AG51" s="1" t="b">
        <v>0</v>
      </c>
      <c r="AH51" s="1" t="b">
        <v>0</v>
      </c>
      <c r="AI51" s="1" t="b">
        <v>1</v>
      </c>
      <c r="AJ51" s="1" t="b">
        <v>0</v>
      </c>
      <c r="AK51" s="1" t="s">
        <v>1236</v>
      </c>
      <c r="AL51" s="1">
        <v>4</v>
      </c>
      <c r="AM51" s="1" t="s">
        <v>1084</v>
      </c>
      <c r="AN51" s="1">
        <v>91</v>
      </c>
      <c r="AO51" s="1" t="s">
        <v>61</v>
      </c>
      <c r="AP51" s="1" t="s">
        <v>1085</v>
      </c>
      <c r="AQ51" s="33">
        <v>460.02500000000003</v>
      </c>
    </row>
    <row r="52" spans="3:43" ht="15">
      <c r="C52" s="3" t="s">
        <v>1086</v>
      </c>
      <c r="D52" s="1" t="s">
        <v>1337</v>
      </c>
      <c r="E52" s="2" t="s">
        <v>1089</v>
      </c>
      <c r="F52" s="1" t="s">
        <v>45</v>
      </c>
      <c r="G52" s="1" t="s">
        <v>1090</v>
      </c>
      <c r="H52" s="1" t="s">
        <v>47</v>
      </c>
      <c r="I52" s="1" t="s">
        <v>1091</v>
      </c>
      <c r="J52" s="2" t="s">
        <v>1092</v>
      </c>
      <c r="K52" s="29">
        <v>0.33333333333333331</v>
      </c>
      <c r="L52" s="2" t="s">
        <v>50</v>
      </c>
      <c r="M52" s="1" t="s">
        <v>309</v>
      </c>
      <c r="N52" s="1"/>
      <c r="O52" s="1" t="s">
        <v>310</v>
      </c>
      <c r="P52" s="1" t="s">
        <v>469</v>
      </c>
      <c r="Q52" s="1" t="s">
        <v>470</v>
      </c>
      <c r="R52" s="1">
        <v>99214</v>
      </c>
      <c r="S52" s="1" t="s">
        <v>1093</v>
      </c>
      <c r="T52" s="1" t="s">
        <v>471</v>
      </c>
      <c r="U52" s="1" t="s">
        <v>234</v>
      </c>
      <c r="V52" s="1" t="s">
        <v>57</v>
      </c>
      <c r="W52" s="1">
        <v>40</v>
      </c>
      <c r="X52" s="17">
        <v>560</v>
      </c>
      <c r="Y52" s="9">
        <v>0.80</v>
      </c>
      <c r="Z52" s="7">
        <v>112</v>
      </c>
      <c r="AA52" s="15">
        <v>50</v>
      </c>
      <c r="AB52" s="16">
        <v>162</v>
      </c>
      <c r="AC52" s="14">
        <v>398</v>
      </c>
      <c r="AD52" s="1" t="s">
        <v>58</v>
      </c>
      <c r="AE52" s="1" t="b">
        <v>1</v>
      </c>
      <c r="AF52" s="1" t="s">
        <v>1094</v>
      </c>
      <c r="AG52" s="1" t="b">
        <v>0</v>
      </c>
      <c r="AH52" s="1" t="b">
        <v>0</v>
      </c>
      <c r="AI52" s="1" t="b">
        <v>0</v>
      </c>
      <c r="AJ52" s="1" t="b">
        <v>0</v>
      </c>
      <c r="AK52" s="1" t="s">
        <v>1236</v>
      </c>
      <c r="AL52" s="1">
        <v>3</v>
      </c>
      <c r="AM52" s="1" t="s">
        <v>1095</v>
      </c>
      <c r="AN52" s="1">
        <v>88</v>
      </c>
      <c r="AO52" s="1" t="s">
        <v>153</v>
      </c>
      <c r="AP52" s="1" t="s">
        <v>1096</v>
      </c>
      <c r="AQ52" s="33">
        <v>717.52</v>
      </c>
    </row>
    <row r="53" spans="3:43" ht="45">
      <c r="C53" s="3" t="s">
        <v>1097</v>
      </c>
      <c r="D53" s="1" t="s">
        <v>1338</v>
      </c>
      <c r="E53" s="2" t="s">
        <v>1100</v>
      </c>
      <c r="F53" s="1" t="s">
        <v>67</v>
      </c>
      <c r="G53" s="1" t="s">
        <v>1101</v>
      </c>
      <c r="H53" s="1" t="s">
        <v>69</v>
      </c>
      <c r="I53" s="1" t="s">
        <v>1102</v>
      </c>
      <c r="J53" s="2" t="s">
        <v>1006</v>
      </c>
      <c r="K53" s="29">
        <v>0.5625</v>
      </c>
      <c r="L53" s="2" t="s">
        <v>111</v>
      </c>
      <c r="M53" s="1" t="s">
        <v>162</v>
      </c>
      <c r="N53" s="1"/>
      <c r="O53" s="1" t="s">
        <v>163</v>
      </c>
      <c r="P53" s="10" t="s">
        <v>1242</v>
      </c>
      <c r="Q53" s="1" t="s">
        <v>548</v>
      </c>
      <c r="R53" s="1">
        <v>99203</v>
      </c>
      <c r="S53" s="1" t="s">
        <v>1104</v>
      </c>
      <c r="T53" s="1" t="s">
        <v>117</v>
      </c>
      <c r="U53" s="1" t="s">
        <v>57</v>
      </c>
      <c r="V53" s="1" t="s">
        <v>57</v>
      </c>
      <c r="W53" s="1">
        <v>50</v>
      </c>
      <c r="X53" s="17">
        <v>320</v>
      </c>
      <c r="Y53" s="9">
        <v>0.70</v>
      </c>
      <c r="Z53" s="7">
        <v>96</v>
      </c>
      <c r="AA53" s="15">
        <v>55</v>
      </c>
      <c r="AB53" s="16">
        <v>151</v>
      </c>
      <c r="AC53" s="14">
        <v>169</v>
      </c>
      <c r="AD53" s="1" t="s">
        <v>80</v>
      </c>
      <c r="AE53" s="1" t="b">
        <v>1</v>
      </c>
      <c r="AF53" s="1" t="s">
        <v>1105</v>
      </c>
      <c r="AG53" s="1" t="b">
        <v>0</v>
      </c>
      <c r="AH53" s="1" t="b">
        <v>1</v>
      </c>
      <c r="AI53" s="1" t="b">
        <v>0</v>
      </c>
      <c r="AJ53" s="1" t="b">
        <v>0</v>
      </c>
      <c r="AK53" s="1" t="s">
        <v>1236</v>
      </c>
      <c r="AL53" s="1">
        <v>3</v>
      </c>
      <c r="AM53" s="1" t="s">
        <v>1106</v>
      </c>
      <c r="AN53" s="1">
        <v>87</v>
      </c>
      <c r="AO53" s="1" t="s">
        <v>61</v>
      </c>
      <c r="AP53" s="1" t="s">
        <v>1107</v>
      </c>
      <c r="AQ53" s="33">
        <v>468.76</v>
      </c>
    </row>
    <row r="54" spans="3:43" ht="15">
      <c r="C54" s="3" t="s">
        <v>1108</v>
      </c>
      <c r="D54" s="1" t="s">
        <v>1339</v>
      </c>
      <c r="E54" s="2">
        <v>26796</v>
      </c>
      <c r="F54" s="1" t="s">
        <v>45</v>
      </c>
      <c r="G54" s="1" t="s">
        <v>1111</v>
      </c>
      <c r="H54" s="1" t="s">
        <v>127</v>
      </c>
      <c r="I54" s="1" t="s">
        <v>1112</v>
      </c>
      <c r="J54" s="2" t="s">
        <v>1113</v>
      </c>
      <c r="K54" s="29">
        <v>0.38541666666666669</v>
      </c>
      <c r="L54" s="2" t="s">
        <v>1238</v>
      </c>
      <c r="M54" s="1" t="s">
        <v>228</v>
      </c>
      <c r="N54" s="1"/>
      <c r="O54" s="1" t="s">
        <v>229</v>
      </c>
      <c r="P54" s="1" t="s">
        <v>493</v>
      </c>
      <c r="Q54" s="1" t="s">
        <v>494</v>
      </c>
      <c r="R54" s="1">
        <v>99215</v>
      </c>
      <c r="S54" s="1" t="s">
        <v>1114</v>
      </c>
      <c r="T54" s="1" t="s">
        <v>496</v>
      </c>
      <c r="U54" s="1" t="s">
        <v>150</v>
      </c>
      <c r="V54" s="1" t="s">
        <v>57</v>
      </c>
      <c r="W54" s="1">
        <v>70</v>
      </c>
      <c r="X54" s="17">
        <v>1500</v>
      </c>
      <c r="Y54" s="9">
        <v>1</v>
      </c>
      <c r="Z54" s="7">
        <v>0</v>
      </c>
      <c r="AA54" s="15">
        <v>0</v>
      </c>
      <c r="AB54" s="16">
        <v>0</v>
      </c>
      <c r="AC54" s="14">
        <v>1500</v>
      </c>
      <c r="AD54" s="1" t="s">
        <v>127</v>
      </c>
      <c r="AE54" s="1" t="b">
        <v>1</v>
      </c>
      <c r="AF54" s="1" t="s">
        <v>1115</v>
      </c>
      <c r="AG54" s="1" t="b">
        <v>0</v>
      </c>
      <c r="AH54" s="1" t="b">
        <v>0</v>
      </c>
      <c r="AI54" s="1" t="b">
        <v>0</v>
      </c>
      <c r="AJ54" s="1" t="b">
        <v>0</v>
      </c>
      <c r="AK54" s="1" t="s">
        <v>1236</v>
      </c>
      <c r="AL54" s="1">
        <v>4</v>
      </c>
      <c r="AM54" s="1" t="s">
        <v>1116</v>
      </c>
      <c r="AN54" s="1">
        <v>95</v>
      </c>
      <c r="AO54" s="1" t="s">
        <v>61</v>
      </c>
      <c r="AP54" s="1" t="s">
        <v>1117</v>
      </c>
      <c r="AQ54" s="33">
        <v>1485</v>
      </c>
    </row>
    <row r="55" spans="3:43" ht="15">
      <c r="C55" s="3" t="s">
        <v>1118</v>
      </c>
      <c r="D55" s="1" t="s">
        <v>1340</v>
      </c>
      <c r="E55" s="2" t="s">
        <v>1121</v>
      </c>
      <c r="F55" s="1" t="s">
        <v>67</v>
      </c>
      <c r="G55" s="1" t="s">
        <v>1122</v>
      </c>
      <c r="H55" s="1" t="s">
        <v>47</v>
      </c>
      <c r="I55" s="1" t="s">
        <v>1123</v>
      </c>
      <c r="J55" s="2" t="s">
        <v>1124</v>
      </c>
      <c r="K55" s="29">
        <v>0.5</v>
      </c>
      <c r="L55" s="2" t="s">
        <v>92</v>
      </c>
      <c r="M55" s="1" t="s">
        <v>321</v>
      </c>
      <c r="N55" s="1"/>
      <c r="O55" s="1" t="s">
        <v>322</v>
      </c>
      <c r="P55" s="1" t="s">
        <v>323</v>
      </c>
      <c r="Q55" s="1" t="s">
        <v>324</v>
      </c>
      <c r="R55" s="1">
        <v>99204</v>
      </c>
      <c r="S55" s="1" t="s">
        <v>1125</v>
      </c>
      <c r="T55" s="1" t="s">
        <v>57</v>
      </c>
      <c r="U55" s="1" t="s">
        <v>57</v>
      </c>
      <c r="V55" s="1" t="s">
        <v>57</v>
      </c>
      <c r="W55" s="1">
        <v>50</v>
      </c>
      <c r="X55" s="17">
        <v>310</v>
      </c>
      <c r="Y55" s="9">
        <v>0.85</v>
      </c>
      <c r="Z55" s="7">
        <v>46.5</v>
      </c>
      <c r="AA55" s="15">
        <v>30</v>
      </c>
      <c r="AB55" s="16">
        <v>76.5</v>
      </c>
      <c r="AC55" s="14">
        <v>233.5</v>
      </c>
      <c r="AD55" s="1" t="s">
        <v>58</v>
      </c>
      <c r="AE55" s="1" t="b">
        <v>1</v>
      </c>
      <c r="AF55" s="1" t="s">
        <v>1126</v>
      </c>
      <c r="AG55" s="1" t="b">
        <v>0</v>
      </c>
      <c r="AH55" s="1" t="b">
        <v>0</v>
      </c>
      <c r="AI55" s="1" t="b">
        <v>1</v>
      </c>
      <c r="AJ55" s="1" t="b">
        <v>0</v>
      </c>
      <c r="AK55" s="1" t="s">
        <v>1236</v>
      </c>
      <c r="AL55" s="1">
        <v>4</v>
      </c>
      <c r="AM55" s="1" t="s">
        <v>1127</v>
      </c>
      <c r="AN55" s="1">
        <v>89</v>
      </c>
      <c r="AO55" s="1" t="s">
        <v>61</v>
      </c>
      <c r="AP55" s="1" t="s">
        <v>1128</v>
      </c>
      <c r="AQ55" s="33">
        <v>383.865</v>
      </c>
    </row>
    <row r="56" spans="3:43" ht="15">
      <c r="C56" s="3" t="s">
        <v>1129</v>
      </c>
      <c r="D56" s="1" t="s">
        <v>1341</v>
      </c>
      <c r="E56" s="2">
        <v>21499</v>
      </c>
      <c r="F56" s="1" t="s">
        <v>45</v>
      </c>
      <c r="G56" s="1" t="s">
        <v>1132</v>
      </c>
      <c r="H56" s="1" t="s">
        <v>89</v>
      </c>
      <c r="I56" s="1" t="s">
        <v>1133</v>
      </c>
      <c r="J56" s="2" t="s">
        <v>1134</v>
      </c>
      <c r="K56" s="29">
        <v>0.65625</v>
      </c>
      <c r="L56" s="2" t="s">
        <v>144</v>
      </c>
      <c r="M56" s="1" t="s">
        <v>93</v>
      </c>
      <c r="N56" s="1"/>
      <c r="O56" s="1" t="s">
        <v>94</v>
      </c>
      <c r="P56" s="1" t="s">
        <v>1135</v>
      </c>
      <c r="Q56" s="1" t="s">
        <v>1136</v>
      </c>
      <c r="R56" s="1">
        <v>99223</v>
      </c>
      <c r="S56" s="1" t="s">
        <v>1137</v>
      </c>
      <c r="T56" s="1" t="s">
        <v>57</v>
      </c>
      <c r="U56" s="1" t="s">
        <v>519</v>
      </c>
      <c r="V56" s="1">
        <v>27244</v>
      </c>
      <c r="W56" s="1">
        <v>120</v>
      </c>
      <c r="X56" s="17">
        <v>14200</v>
      </c>
      <c r="Y56" s="9">
        <v>0.80</v>
      </c>
      <c r="Z56" s="7">
        <v>2840</v>
      </c>
      <c r="AA56" s="15">
        <v>800</v>
      </c>
      <c r="AB56" s="16">
        <v>3640</v>
      </c>
      <c r="AC56" s="14">
        <v>10560</v>
      </c>
      <c r="AD56" s="1" t="s">
        <v>80</v>
      </c>
      <c r="AE56" s="1" t="b">
        <v>1</v>
      </c>
      <c r="AF56" s="1">
        <v>45449</v>
      </c>
      <c r="AG56" s="1" t="b">
        <v>0</v>
      </c>
      <c r="AH56" s="1" t="b">
        <v>1</v>
      </c>
      <c r="AI56" s="1" t="b">
        <v>1</v>
      </c>
      <c r="AJ56" s="1" t="b">
        <v>0</v>
      </c>
      <c r="AK56" s="1" t="s">
        <v>1236</v>
      </c>
      <c r="AL56" s="1">
        <v>5</v>
      </c>
      <c r="AM56" s="1" t="s">
        <v>1138</v>
      </c>
      <c r="AN56" s="1">
        <v>83</v>
      </c>
      <c r="AO56" s="1" t="s">
        <v>172</v>
      </c>
      <c r="AP56" s="1" t="s">
        <v>1139</v>
      </c>
      <c r="AQ56" s="33">
        <v>17726.400000000001</v>
      </c>
    </row>
    <row r="57" spans="3:43" ht="15">
      <c r="C57" s="3" t="s">
        <v>1174</v>
      </c>
      <c r="D57" s="1" t="s">
        <v>1346</v>
      </c>
      <c r="E57" s="2">
        <v>35410</v>
      </c>
      <c r="F57" s="1" t="s">
        <v>67</v>
      </c>
      <c r="G57" s="1" t="s">
        <v>1176</v>
      </c>
      <c r="H57" s="1" t="s">
        <v>69</v>
      </c>
      <c r="I57" s="1" t="s">
        <v>1177</v>
      </c>
      <c r="J57" s="2" t="s">
        <v>1178</v>
      </c>
      <c r="K57" s="29">
        <v>0.58333333333333337</v>
      </c>
      <c r="L57" s="2" t="s">
        <v>92</v>
      </c>
      <c r="M57" s="1" t="s">
        <v>194</v>
      </c>
      <c r="N57" s="1"/>
      <c r="O57" s="1" t="s">
        <v>195</v>
      </c>
      <c r="P57" s="1" t="s">
        <v>1179</v>
      </c>
      <c r="Q57" s="1" t="s">
        <v>1180</v>
      </c>
      <c r="R57" s="1">
        <v>99204</v>
      </c>
      <c r="S57" s="1" t="s">
        <v>1181</v>
      </c>
      <c r="T57" s="1" t="s">
        <v>57</v>
      </c>
      <c r="U57" s="1" t="s">
        <v>1182</v>
      </c>
      <c r="V57" s="1" t="s">
        <v>57</v>
      </c>
      <c r="W57" s="1">
        <v>60</v>
      </c>
      <c r="X57" s="17">
        <v>850</v>
      </c>
      <c r="Y57" s="9">
        <v>0.70</v>
      </c>
      <c r="Z57" s="7">
        <v>255</v>
      </c>
      <c r="AA57" s="15">
        <v>90</v>
      </c>
      <c r="AB57" s="16">
        <v>345</v>
      </c>
      <c r="AC57" s="14">
        <v>505</v>
      </c>
      <c r="AD57" s="1" t="s">
        <v>58</v>
      </c>
      <c r="AE57" s="1" t="b">
        <v>1</v>
      </c>
      <c r="AF57" s="1" t="s">
        <v>1183</v>
      </c>
      <c r="AG57" s="1" t="b">
        <v>0</v>
      </c>
      <c r="AH57" s="1" t="b">
        <v>0</v>
      </c>
      <c r="AI57" s="1" t="b">
        <v>1</v>
      </c>
      <c r="AJ57" s="1" t="b">
        <v>0</v>
      </c>
      <c r="AK57" s="1" t="s">
        <v>1236</v>
      </c>
      <c r="AL57" s="1">
        <v>4</v>
      </c>
      <c r="AM57" s="1" t="s">
        <v>1184</v>
      </c>
      <c r="AN57" s="1">
        <v>90</v>
      </c>
      <c r="AO57" s="1" t="s">
        <v>153</v>
      </c>
      <c r="AP57" s="1" t="s">
        <v>1185</v>
      </c>
      <c r="AQ57" s="33">
        <v>1189.05</v>
      </c>
    </row>
    <row r="58" spans="3:43" ht="15">
      <c r="C58" s="37" t="s">
        <v>1186</v>
      </c>
      <c r="D58" s="30" t="s">
        <v>1347</v>
      </c>
      <c r="E58" s="38" t="s">
        <v>1189</v>
      </c>
      <c r="F58" s="30" t="s">
        <v>45</v>
      </c>
      <c r="G58" s="30" t="s">
        <v>1190</v>
      </c>
      <c r="H58" s="30" t="s">
        <v>47</v>
      </c>
      <c r="I58" s="30" t="s">
        <v>1191</v>
      </c>
      <c r="J58" s="38" t="s">
        <v>1192</v>
      </c>
      <c r="K58" s="39">
        <v>0.40625</v>
      </c>
      <c r="L58" s="38" t="s">
        <v>1238</v>
      </c>
      <c r="M58" s="30" t="s">
        <v>258</v>
      </c>
      <c r="N58" s="30"/>
      <c r="O58" s="30" t="s">
        <v>259</v>
      </c>
      <c r="P58" s="30" t="s">
        <v>1232</v>
      </c>
      <c r="Q58" s="30" t="s">
        <v>647</v>
      </c>
      <c r="R58" s="30">
        <v>99213</v>
      </c>
      <c r="S58" s="30" t="s">
        <v>648</v>
      </c>
      <c r="T58" s="30" t="s">
        <v>57</v>
      </c>
      <c r="U58" s="30" t="s">
        <v>57</v>
      </c>
      <c r="V58" s="30" t="s">
        <v>57</v>
      </c>
      <c r="W58" s="30">
        <v>40</v>
      </c>
      <c r="X58" s="40">
        <v>310</v>
      </c>
      <c r="Y58" s="41">
        <v>0.80</v>
      </c>
      <c r="Z58" s="42">
        <v>62</v>
      </c>
      <c r="AA58" s="43">
        <v>35</v>
      </c>
      <c r="AB58" s="44">
        <v>97</v>
      </c>
      <c r="AC58" s="45">
        <v>213</v>
      </c>
      <c r="AD58" s="30" t="s">
        <v>80</v>
      </c>
      <c r="AE58" s="30" t="b">
        <v>0</v>
      </c>
      <c r="AF58" s="30" t="s">
        <v>1235</v>
      </c>
      <c r="AG58" s="30" t="b">
        <v>0</v>
      </c>
      <c r="AH58" s="30" t="b">
        <v>0</v>
      </c>
      <c r="AI58" s="30" t="b">
        <v>0</v>
      </c>
      <c r="AJ58" s="30" t="b">
        <v>0</v>
      </c>
      <c r="AK58" s="30" t="s">
        <v>1236</v>
      </c>
      <c r="AL58" s="30">
        <v>4</v>
      </c>
      <c r="AM58" s="30" t="s">
        <v>1193</v>
      </c>
      <c r="AN58" s="30">
        <v>92</v>
      </c>
      <c r="AO58" s="30" t="s">
        <v>61</v>
      </c>
      <c r="AP58" s="30" t="s">
        <v>1194</v>
      </c>
      <c r="AQ58" s="46">
        <v>404.52</v>
      </c>
    </row>
    <row r="63" spans="3:7" ht="18.75" customHeight="1">
      <c r="C63" s="67" t="s">
        <v>1244</v>
      </c>
      <c r="D63" s="67"/>
      <c r="E63" s="67"/>
      <c r="F63" s="67"/>
      <c r="G63" s="67"/>
    </row>
    <row r="64" spans="3:7" ht="15">
      <c r="C64" s="67"/>
      <c r="D64" s="67"/>
      <c r="E64" s="67"/>
      <c r="F64" s="67"/>
      <c r="G64" s="67"/>
    </row>
    <row r="68" spans="3:43" ht="15">
      <c r="C68" s="4" t="s">
        <v>1195</v>
      </c>
      <c r="D68" s="4" t="s">
        <v>1247</v>
      </c>
      <c r="E68" s="5" t="s">
        <v>5</v>
      </c>
      <c r="F68" s="5" t="s">
        <v>6</v>
      </c>
      <c r="G68" s="5" t="s">
        <v>1196</v>
      </c>
      <c r="H68" s="5" t="s">
        <v>1199</v>
      </c>
      <c r="I68" s="5" t="s">
        <v>1197</v>
      </c>
      <c r="J68" s="5" t="s">
        <v>1200</v>
      </c>
      <c r="K68" s="5" t="s">
        <v>1201</v>
      </c>
      <c r="L68" s="5" t="s">
        <v>1202</v>
      </c>
      <c r="M68" s="5" t="s">
        <v>13</v>
      </c>
      <c r="N68" s="5" t="s">
        <v>1198</v>
      </c>
      <c r="O68" s="5" t="s">
        <v>1203</v>
      </c>
      <c r="P68" s="5" t="s">
        <v>1213</v>
      </c>
      <c r="Q68" s="5" t="s">
        <v>1214</v>
      </c>
      <c r="R68" s="5" t="s">
        <v>1215</v>
      </c>
      <c r="S68" s="5" t="s">
        <v>1223</v>
      </c>
      <c r="T68" s="5" t="s">
        <v>1204</v>
      </c>
      <c r="U68" s="5" t="s">
        <v>1205</v>
      </c>
      <c r="V68" s="5" t="s">
        <v>1224</v>
      </c>
      <c r="W68" s="5" t="s">
        <v>1206</v>
      </c>
      <c r="X68" s="5" t="s">
        <v>1229</v>
      </c>
      <c r="Y68" s="5" t="s">
        <v>1225</v>
      </c>
      <c r="Z68" s="5" t="s">
        <v>1207</v>
      </c>
      <c r="AA68" s="5" t="s">
        <v>1208</v>
      </c>
      <c r="AB68" s="5" t="s">
        <v>1226</v>
      </c>
      <c r="AC68" s="5" t="s">
        <v>1209</v>
      </c>
      <c r="AD68" s="5" t="s">
        <v>1210</v>
      </c>
      <c r="AE68" s="5" t="s">
        <v>1211</v>
      </c>
      <c r="AF68" s="5" t="s">
        <v>1216</v>
      </c>
      <c r="AG68" s="5" t="s">
        <v>1217</v>
      </c>
      <c r="AH68" s="5" t="s">
        <v>1218</v>
      </c>
      <c r="AI68" s="5" t="s">
        <v>1219</v>
      </c>
      <c r="AJ68" s="5" t="s">
        <v>1227</v>
      </c>
      <c r="AK68" s="5" t="s">
        <v>1220</v>
      </c>
      <c r="AL68" s="5" t="s">
        <v>1221</v>
      </c>
      <c r="AM68" s="5" t="s">
        <v>38</v>
      </c>
      <c r="AN68" s="5" t="s">
        <v>1</v>
      </c>
      <c r="AO68" s="5" t="s">
        <v>1222</v>
      </c>
      <c r="AP68" s="5" t="s">
        <v>1212</v>
      </c>
      <c r="AQ68" s="47" t="s">
        <v>1237</v>
      </c>
    </row>
    <row r="69" spans="3:43" ht="15">
      <c r="C69" s="49" t="s">
        <v>85</v>
      </c>
      <c r="D69" s="49" t="s">
        <v>1250</v>
      </c>
      <c r="E69" s="51">
        <v>23957</v>
      </c>
      <c r="F69" s="50" t="s">
        <v>45</v>
      </c>
      <c r="G69" s="50" t="s">
        <v>88</v>
      </c>
      <c r="H69" s="50" t="s">
        <v>89</v>
      </c>
      <c r="I69" s="50" t="s">
        <v>90</v>
      </c>
      <c r="J69" s="51" t="s">
        <v>91</v>
      </c>
      <c r="K69" s="53">
        <v>0.41666666666666669</v>
      </c>
      <c r="L69" s="51" t="s">
        <v>92</v>
      </c>
      <c r="M69" s="50" t="s">
        <v>93</v>
      </c>
      <c r="N69" s="50" t="s">
        <v>94</v>
      </c>
      <c r="O69" s="50" t="s">
        <v>95</v>
      </c>
      <c r="P69" s="50" t="s">
        <v>96</v>
      </c>
      <c r="Q69" s="50">
        <v>99204</v>
      </c>
      <c r="R69" s="50" t="s">
        <v>97</v>
      </c>
      <c r="S69" s="50" t="s">
        <v>98</v>
      </c>
      <c r="T69" s="50" t="s">
        <v>99</v>
      </c>
      <c r="U69" s="50" t="s">
        <v>57</v>
      </c>
      <c r="V69" s="50">
        <v>30</v>
      </c>
      <c r="W69" s="54">
        <v>350</v>
      </c>
      <c r="X69" s="55">
        <v>100</v>
      </c>
      <c r="Y69" s="56">
        <v>0.85</v>
      </c>
      <c r="Z69" s="57">
        <v>52.5</v>
      </c>
      <c r="AA69" s="58">
        <v>30</v>
      </c>
      <c r="AB69" s="59">
        <v>82.5</v>
      </c>
      <c r="AC69" s="60">
        <v>267.5</v>
      </c>
      <c r="AD69" s="50" t="s">
        <v>58</v>
      </c>
      <c r="AE69" s="50" t="b">
        <v>0</v>
      </c>
      <c r="AF69" s="50" t="s">
        <v>1235</v>
      </c>
      <c r="AG69" s="50" t="b">
        <v>1</v>
      </c>
      <c r="AH69" s="50" t="b">
        <v>1</v>
      </c>
      <c r="AI69" s="50" t="b">
        <v>0</v>
      </c>
      <c r="AJ69" s="50" t="b">
        <v>0</v>
      </c>
      <c r="AK69" s="50" t="s">
        <v>100</v>
      </c>
      <c r="AL69" s="50">
        <v>5</v>
      </c>
      <c r="AM69" s="50" t="s">
        <v>101</v>
      </c>
      <c r="AN69" s="50">
        <v>88</v>
      </c>
      <c r="AO69" s="50" t="s">
        <v>102</v>
      </c>
      <c r="AP69" s="50" t="s">
        <v>103</v>
      </c>
      <c r="AQ69" s="61">
        <v>429.52500000000003</v>
      </c>
    </row>
    <row r="73" spans="3:7" ht="15" customHeight="1">
      <c r="C73" s="67" t="s">
        <v>1245</v>
      </c>
      <c r="D73" s="67"/>
      <c r="E73" s="67"/>
      <c r="F73" s="67"/>
      <c r="G73" s="67"/>
    </row>
    <row r="74" spans="3:7" ht="18.75" customHeight="1">
      <c r="C74" s="67"/>
      <c r="D74" s="67"/>
      <c r="E74" s="67"/>
      <c r="F74" s="67"/>
      <c r="G74" s="67"/>
    </row>
    <row r="77" spans="3:46" ht="15">
      <c r="C77" s="4" t="s">
        <v>1195</v>
      </c>
      <c r="D77" s="4" t="s">
        <v>1247</v>
      </c>
      <c r="E77" s="5" t="s">
        <v>5</v>
      </c>
      <c r="F77" s="5" t="s">
        <v>6</v>
      </c>
      <c r="G77" s="5" t="s">
        <v>1196</v>
      </c>
      <c r="H77" s="5" t="s">
        <v>1199</v>
      </c>
      <c r="I77" s="5" t="s">
        <v>1197</v>
      </c>
      <c r="J77" s="5" t="s">
        <v>1200</v>
      </c>
      <c r="K77" s="5" t="s">
        <v>1201</v>
      </c>
      <c r="L77" s="5" t="s">
        <v>1202</v>
      </c>
      <c r="M77" s="5" t="s">
        <v>1230</v>
      </c>
      <c r="N77" s="5" t="s">
        <v>1228</v>
      </c>
      <c r="O77" s="5" t="s">
        <v>13</v>
      </c>
      <c r="P77" s="5" t="s">
        <v>1198</v>
      </c>
      <c r="Q77" s="5" t="s">
        <v>1203</v>
      </c>
      <c r="R77" s="5" t="s">
        <v>1234</v>
      </c>
      <c r="S77" s="5" t="s">
        <v>1213</v>
      </c>
      <c r="T77" s="5" t="s">
        <v>1214</v>
      </c>
      <c r="U77" s="5" t="s">
        <v>1215</v>
      </c>
      <c r="V77" s="5" t="s">
        <v>1223</v>
      </c>
      <c r="W77" s="5" t="s">
        <v>1204</v>
      </c>
      <c r="X77" s="5" t="s">
        <v>1205</v>
      </c>
      <c r="Y77" s="5" t="s">
        <v>1224</v>
      </c>
      <c r="Z77" s="5" t="s">
        <v>1206</v>
      </c>
      <c r="AA77" s="5" t="s">
        <v>1229</v>
      </c>
      <c r="AB77" s="5" t="s">
        <v>1225</v>
      </c>
      <c r="AC77" s="5" t="s">
        <v>1207</v>
      </c>
      <c r="AD77" s="5" t="s">
        <v>1208</v>
      </c>
      <c r="AE77" s="5" t="s">
        <v>1226</v>
      </c>
      <c r="AF77" s="5" t="s">
        <v>1209</v>
      </c>
      <c r="AG77" s="5" t="s">
        <v>1210</v>
      </c>
      <c r="AH77" s="5" t="s">
        <v>1211</v>
      </c>
      <c r="AI77" s="5" t="s">
        <v>1216</v>
      </c>
      <c r="AJ77" s="5" t="s">
        <v>1217</v>
      </c>
      <c r="AK77" s="5" t="s">
        <v>1218</v>
      </c>
      <c r="AL77" s="5" t="s">
        <v>1219</v>
      </c>
      <c r="AM77" s="5" t="s">
        <v>1227</v>
      </c>
      <c r="AN77" s="5" t="s">
        <v>1220</v>
      </c>
      <c r="AO77" s="5" t="s">
        <v>1221</v>
      </c>
      <c r="AP77" s="5" t="s">
        <v>38</v>
      </c>
      <c r="AQ77" s="5" t="s">
        <v>1</v>
      </c>
      <c r="AR77" s="5" t="s">
        <v>1222</v>
      </c>
      <c r="AS77" s="5" t="s">
        <v>1212</v>
      </c>
      <c r="AT77" s="47" t="s">
        <v>1237</v>
      </c>
    </row>
    <row r="78" spans="3:46" ht="15">
      <c r="C78" s="19" t="s">
        <v>63</v>
      </c>
      <c r="D78" s="19" t="s">
        <v>1348</v>
      </c>
      <c r="E78" s="20" t="s">
        <v>66</v>
      </c>
      <c r="F78" s="18" t="s">
        <v>67</v>
      </c>
      <c r="G78" s="18" t="s">
        <v>68</v>
      </c>
      <c r="H78" s="18" t="s">
        <v>69</v>
      </c>
      <c r="I78" s="18" t="s">
        <v>70</v>
      </c>
      <c r="J78" s="32" t="s">
        <v>71</v>
      </c>
      <c r="K78" s="31">
        <v>0.59375</v>
      </c>
      <c r="L78" s="20" t="s">
        <v>1238</v>
      </c>
      <c r="M78" s="18" t="s">
        <v>72</v>
      </c>
      <c r="N78" s="18" t="s">
        <v>73</v>
      </c>
      <c r="O78" s="18" t="s">
        <v>73</v>
      </c>
      <c r="P78" s="18" t="s">
        <v>74</v>
      </c>
      <c r="Q78" s="18" t="s">
        <v>1246</v>
      </c>
      <c r="R78" s="18" t="s">
        <v>75</v>
      </c>
      <c r="S78" s="18" t="s">
        <v>76</v>
      </c>
      <c r="T78" s="18">
        <v>99213</v>
      </c>
      <c r="U78" s="18" t="s">
        <v>77</v>
      </c>
      <c r="V78" s="18" t="s">
        <v>78</v>
      </c>
      <c r="W78" s="18" t="s">
        <v>79</v>
      </c>
      <c r="X78" s="18" t="s">
        <v>57</v>
      </c>
      <c r="Y78" s="18">
        <v>60</v>
      </c>
      <c r="Z78" s="21">
        <v>225</v>
      </c>
      <c r="AA78" s="22">
        <v>100</v>
      </c>
      <c r="AB78" s="23">
        <v>0.70</v>
      </c>
      <c r="AC78" s="24">
        <v>67.5</v>
      </c>
      <c r="AD78" s="25">
        <v>40</v>
      </c>
      <c r="AE78" s="26">
        <v>107.5</v>
      </c>
      <c r="AF78" s="27">
        <v>117.5</v>
      </c>
      <c r="AG78" s="18" t="s">
        <v>80</v>
      </c>
      <c r="AH78" s="18" t="b">
        <v>1</v>
      </c>
      <c r="AI78" s="18" t="s">
        <v>81</v>
      </c>
      <c r="AJ78" s="18" t="b">
        <v>0</v>
      </c>
      <c r="AK78" s="18" t="b">
        <v>0</v>
      </c>
      <c r="AL78" s="18" t="b">
        <v>1</v>
      </c>
      <c r="AM78" s="18" t="b">
        <v>0</v>
      </c>
      <c r="AN78" s="18" t="s">
        <v>1236</v>
      </c>
      <c r="AO78" s="18">
        <v>3</v>
      </c>
      <c r="AP78" s="18" t="s">
        <v>82</v>
      </c>
      <c r="AQ78" s="18">
        <v>92</v>
      </c>
      <c r="AR78" s="18" t="s">
        <v>83</v>
      </c>
      <c r="AS78" s="18" t="s">
        <v>84</v>
      </c>
      <c r="AT78" s="48">
        <v>330.925</v>
      </c>
    </row>
    <row r="79" spans="3:46" ht="15">
      <c r="C79" s="3" t="s">
        <v>138</v>
      </c>
      <c r="D79" s="3" t="s">
        <v>1349</v>
      </c>
      <c r="E79" s="2">
        <v>32275</v>
      </c>
      <c r="F79" s="1" t="s">
        <v>67</v>
      </c>
      <c r="G79" s="1" t="s">
        <v>141</v>
      </c>
      <c r="H79" s="1" t="s">
        <v>47</v>
      </c>
      <c r="I79" s="1" t="s">
        <v>142</v>
      </c>
      <c r="J79" s="28" t="s">
        <v>143</v>
      </c>
      <c r="K79" s="29">
        <v>0.5625</v>
      </c>
      <c r="L79" s="2" t="s">
        <v>144</v>
      </c>
      <c r="M79" s="1" t="s">
        <v>144</v>
      </c>
      <c r="N79" s="1" t="s">
        <v>145</v>
      </c>
      <c r="O79" s="1" t="s">
        <v>145</v>
      </c>
      <c r="P79" s="1" t="s">
        <v>146</v>
      </c>
      <c r="Q79" s="1" t="s">
        <v>147</v>
      </c>
      <c r="R79" s="1" t="s">
        <v>147</v>
      </c>
      <c r="S79" s="1" t="s">
        <v>148</v>
      </c>
      <c r="T79" s="1">
        <v>99223</v>
      </c>
      <c r="U79" s="1" t="s">
        <v>149</v>
      </c>
      <c r="V79" s="1" t="s">
        <v>57</v>
      </c>
      <c r="W79" s="1" t="s">
        <v>150</v>
      </c>
      <c r="X79" s="1">
        <v>44970</v>
      </c>
      <c r="Y79" s="1">
        <v>120</v>
      </c>
      <c r="Z79" s="17">
        <v>12500</v>
      </c>
      <c r="AA79" s="8">
        <v>100</v>
      </c>
      <c r="AB79" s="9">
        <v>0.80</v>
      </c>
      <c r="AC79" s="7">
        <v>2500</v>
      </c>
      <c r="AD79" s="15">
        <v>500</v>
      </c>
      <c r="AE79" s="16">
        <v>3000</v>
      </c>
      <c r="AF79" s="14">
        <v>9500</v>
      </c>
      <c r="AG79" s="1" t="s">
        <v>80</v>
      </c>
      <c r="AH79" s="1" t="b">
        <v>1</v>
      </c>
      <c r="AI79" s="1" t="s">
        <v>151</v>
      </c>
      <c r="AJ79" s="1" t="b">
        <v>0</v>
      </c>
      <c r="AK79" s="1" t="b">
        <v>1</v>
      </c>
      <c r="AL79" s="1" t="b">
        <v>1</v>
      </c>
      <c r="AM79" s="1" t="b">
        <v>0</v>
      </c>
      <c r="AN79" s="1" t="s">
        <v>1236</v>
      </c>
      <c r="AO79" s="1">
        <v>4</v>
      </c>
      <c r="AP79" s="1" t="s">
        <v>152</v>
      </c>
      <c r="AQ79" s="1">
        <v>85</v>
      </c>
      <c r="AR79" s="1" t="s">
        <v>153</v>
      </c>
      <c r="AS79" s="1" t="s">
        <v>154</v>
      </c>
      <c r="AT79" s="33">
        <v>15400</v>
      </c>
    </row>
    <row r="80" spans="3:46" ht="15">
      <c r="C80" s="19" t="s">
        <v>188</v>
      </c>
      <c r="D80" s="19" t="s">
        <v>1350</v>
      </c>
      <c r="E80" s="20" t="s">
        <v>191</v>
      </c>
      <c r="F80" s="18" t="s">
        <v>45</v>
      </c>
      <c r="G80" s="18" t="s">
        <v>192</v>
      </c>
      <c r="H80" s="18" t="s">
        <v>89</v>
      </c>
      <c r="I80" s="18" t="s">
        <v>193</v>
      </c>
      <c r="J80" s="32" t="s">
        <v>119</v>
      </c>
      <c r="K80" s="31">
        <v>0.61458333333333337</v>
      </c>
      <c r="L80" s="20" t="s">
        <v>92</v>
      </c>
      <c r="M80" s="18" t="s">
        <v>92</v>
      </c>
      <c r="N80" s="18" t="s">
        <v>194</v>
      </c>
      <c r="O80" s="18" t="s">
        <v>194</v>
      </c>
      <c r="P80" s="18" t="s">
        <v>195</v>
      </c>
      <c r="Q80" s="18" t="s">
        <v>196</v>
      </c>
      <c r="R80" s="18" t="s">
        <v>196</v>
      </c>
      <c r="S80" s="18" t="s">
        <v>197</v>
      </c>
      <c r="T80" s="18">
        <v>99204</v>
      </c>
      <c r="U80" s="18" t="s">
        <v>198</v>
      </c>
      <c r="V80" s="18" t="s">
        <v>199</v>
      </c>
      <c r="W80" s="18" t="s">
        <v>200</v>
      </c>
      <c r="X80" s="18" t="s">
        <v>57</v>
      </c>
      <c r="Y80" s="18">
        <v>50</v>
      </c>
      <c r="Z80" s="21">
        <v>450</v>
      </c>
      <c r="AA80" s="22">
        <v>100</v>
      </c>
      <c r="AB80" s="23">
        <v>0.80</v>
      </c>
      <c r="AC80" s="24">
        <v>90</v>
      </c>
      <c r="AD80" s="25">
        <v>50</v>
      </c>
      <c r="AE80" s="26">
        <v>140</v>
      </c>
      <c r="AF80" s="27">
        <v>310</v>
      </c>
      <c r="AG80" s="18" t="s">
        <v>58</v>
      </c>
      <c r="AH80" s="18" t="b">
        <v>1</v>
      </c>
      <c r="AI80" s="18" t="s">
        <v>201</v>
      </c>
      <c r="AJ80" s="18" t="b">
        <v>0</v>
      </c>
      <c r="AK80" s="18" t="b">
        <v>0</v>
      </c>
      <c r="AL80" s="18" t="b">
        <v>1</v>
      </c>
      <c r="AM80" s="18" t="b">
        <v>0</v>
      </c>
      <c r="AN80" s="18" t="s">
        <v>1236</v>
      </c>
      <c r="AO80" s="18">
        <v>3</v>
      </c>
      <c r="AP80" s="18" t="s">
        <v>202</v>
      </c>
      <c r="AQ80" s="18">
        <v>89</v>
      </c>
      <c r="AR80" s="18" t="s">
        <v>203</v>
      </c>
      <c r="AS80" s="18" t="s">
        <v>204</v>
      </c>
      <c r="AT80" s="48">
        <v>586.40</v>
      </c>
    </row>
    <row r="81" spans="3:46" ht="15">
      <c r="C81" s="3" t="s">
        <v>252</v>
      </c>
      <c r="D81" s="3" t="s">
        <v>1351</v>
      </c>
      <c r="E81" s="2">
        <v>28313</v>
      </c>
      <c r="F81" s="1" t="s">
        <v>45</v>
      </c>
      <c r="G81" s="1" t="s">
        <v>255</v>
      </c>
      <c r="H81" s="1" t="s">
        <v>69</v>
      </c>
      <c r="I81" s="1" t="s">
        <v>256</v>
      </c>
      <c r="J81" s="28" t="s">
        <v>257</v>
      </c>
      <c r="K81" s="29">
        <v>0.54166666666666663</v>
      </c>
      <c r="L81" s="2" t="s">
        <v>1238</v>
      </c>
      <c r="M81" s="1" t="s">
        <v>72</v>
      </c>
      <c r="N81" s="1" t="s">
        <v>258</v>
      </c>
      <c r="O81" s="1" t="s">
        <v>258</v>
      </c>
      <c r="P81" s="1" t="s">
        <v>259</v>
      </c>
      <c r="Q81" s="1" t="s">
        <v>1231</v>
      </c>
      <c r="R81" s="1" t="s">
        <v>260</v>
      </c>
      <c r="S81" s="1" t="s">
        <v>261</v>
      </c>
      <c r="T81" s="1">
        <v>99213</v>
      </c>
      <c r="U81" s="1" t="s">
        <v>262</v>
      </c>
      <c r="V81" s="1" t="s">
        <v>263</v>
      </c>
      <c r="W81" s="1" t="s">
        <v>57</v>
      </c>
      <c r="X81" s="1">
        <v>43239</v>
      </c>
      <c r="Y81" s="1">
        <v>45</v>
      </c>
      <c r="Z81" s="17">
        <v>800</v>
      </c>
      <c r="AA81" s="8">
        <v>100</v>
      </c>
      <c r="AB81" s="9">
        <v>0.70</v>
      </c>
      <c r="AC81" s="7">
        <v>240</v>
      </c>
      <c r="AD81" s="15">
        <v>80</v>
      </c>
      <c r="AE81" s="16">
        <v>320</v>
      </c>
      <c r="AF81" s="14">
        <v>480</v>
      </c>
      <c r="AG81" s="1" t="s">
        <v>80</v>
      </c>
      <c r="AH81" s="1" t="b">
        <v>1</v>
      </c>
      <c r="AI81" s="1" t="s">
        <v>264</v>
      </c>
      <c r="AJ81" s="1" t="b">
        <v>0</v>
      </c>
      <c r="AK81" s="1" t="b">
        <v>0</v>
      </c>
      <c r="AL81" s="1" t="b">
        <v>1</v>
      </c>
      <c r="AM81" s="1" t="b">
        <v>0</v>
      </c>
      <c r="AN81" s="1" t="s">
        <v>1236</v>
      </c>
      <c r="AO81" s="1">
        <v>3</v>
      </c>
      <c r="AP81" s="1" t="s">
        <v>265</v>
      </c>
      <c r="AQ81" s="1">
        <v>87</v>
      </c>
      <c r="AR81" s="1" t="s">
        <v>153</v>
      </c>
      <c r="AS81" s="1" t="s">
        <v>266</v>
      </c>
      <c r="AT81" s="33">
        <v>1114.4000000000001</v>
      </c>
    </row>
    <row r="82" spans="3:46" ht="15">
      <c r="C82" s="19" t="s">
        <v>267</v>
      </c>
      <c r="D82" s="19" t="s">
        <v>1352</v>
      </c>
      <c r="E82" s="20" t="s">
        <v>270</v>
      </c>
      <c r="F82" s="18" t="s">
        <v>67</v>
      </c>
      <c r="G82" s="18" t="s">
        <v>271</v>
      </c>
      <c r="H82" s="18" t="s">
        <v>47</v>
      </c>
      <c r="I82" s="18" t="s">
        <v>272</v>
      </c>
      <c r="J82" s="32">
        <v>45293</v>
      </c>
      <c r="K82" s="31">
        <v>0.40625</v>
      </c>
      <c r="L82" s="20" t="s">
        <v>92</v>
      </c>
      <c r="M82" s="18" t="s">
        <v>92</v>
      </c>
      <c r="N82" s="18" t="s">
        <v>273</v>
      </c>
      <c r="O82" s="18" t="s">
        <v>273</v>
      </c>
      <c r="P82" s="18" t="s">
        <v>274</v>
      </c>
      <c r="Q82" s="18" t="s">
        <v>275</v>
      </c>
      <c r="R82" s="18" t="s">
        <v>275</v>
      </c>
      <c r="S82" s="18" t="s">
        <v>276</v>
      </c>
      <c r="T82" s="18">
        <v>99204</v>
      </c>
      <c r="U82" s="18" t="s">
        <v>277</v>
      </c>
      <c r="V82" s="18" t="s">
        <v>278</v>
      </c>
      <c r="W82" s="18" t="s">
        <v>57</v>
      </c>
      <c r="X82" s="18" t="s">
        <v>57</v>
      </c>
      <c r="Y82" s="18">
        <v>50</v>
      </c>
      <c r="Z82" s="21">
        <v>400</v>
      </c>
      <c r="AA82" s="22">
        <v>100</v>
      </c>
      <c r="AB82" s="23">
        <v>0.80</v>
      </c>
      <c r="AC82" s="24">
        <v>80</v>
      </c>
      <c r="AD82" s="25">
        <v>45</v>
      </c>
      <c r="AE82" s="26">
        <v>125</v>
      </c>
      <c r="AF82" s="27">
        <v>275</v>
      </c>
      <c r="AG82" s="18" t="s">
        <v>118</v>
      </c>
      <c r="AH82" s="18" t="b">
        <v>1</v>
      </c>
      <c r="AI82" s="18">
        <v>45294</v>
      </c>
      <c r="AJ82" s="18" t="b">
        <v>0</v>
      </c>
      <c r="AK82" s="18" t="b">
        <v>0</v>
      </c>
      <c r="AL82" s="18" t="b">
        <v>1</v>
      </c>
      <c r="AM82" s="18" t="b">
        <v>0</v>
      </c>
      <c r="AN82" s="18" t="s">
        <v>1236</v>
      </c>
      <c r="AO82" s="18">
        <v>4</v>
      </c>
      <c r="AP82" s="18" t="s">
        <v>279</v>
      </c>
      <c r="AQ82" s="18">
        <v>90</v>
      </c>
      <c r="AR82" s="18" t="s">
        <v>61</v>
      </c>
      <c r="AS82" s="18" t="s">
        <v>280</v>
      </c>
      <c r="AT82" s="48">
        <v>521.79999999999995</v>
      </c>
    </row>
    <row r="83" spans="3:46" ht="15">
      <c r="C83" s="3" t="s">
        <v>281</v>
      </c>
      <c r="D83" s="3" t="s">
        <v>1353</v>
      </c>
      <c r="E83" s="2">
        <v>21531</v>
      </c>
      <c r="F83" s="1" t="s">
        <v>45</v>
      </c>
      <c r="G83" s="1" t="s">
        <v>284</v>
      </c>
      <c r="H83" s="1" t="s">
        <v>89</v>
      </c>
      <c r="I83" s="1" t="s">
        <v>285</v>
      </c>
      <c r="J83" s="28">
        <v>45324</v>
      </c>
      <c r="K83" s="29">
        <v>0.60416666666666663</v>
      </c>
      <c r="L83" s="2" t="s">
        <v>144</v>
      </c>
      <c r="M83" s="1" t="s">
        <v>144</v>
      </c>
      <c r="N83" s="1" t="s">
        <v>286</v>
      </c>
      <c r="O83" s="1" t="s">
        <v>286</v>
      </c>
      <c r="P83" s="1" t="s">
        <v>287</v>
      </c>
      <c r="Q83" s="1" t="s">
        <v>288</v>
      </c>
      <c r="R83" s="1" t="s">
        <v>288</v>
      </c>
      <c r="S83" s="1" t="s">
        <v>289</v>
      </c>
      <c r="T83" s="1">
        <v>99221</v>
      </c>
      <c r="U83" s="1" t="s">
        <v>290</v>
      </c>
      <c r="V83" s="1" t="s">
        <v>57</v>
      </c>
      <c r="W83" s="1" t="s">
        <v>57</v>
      </c>
      <c r="X83" s="1">
        <v>66984</v>
      </c>
      <c r="Y83" s="1">
        <v>75</v>
      </c>
      <c r="Z83" s="17">
        <v>3500</v>
      </c>
      <c r="AA83" s="8">
        <v>100</v>
      </c>
      <c r="AB83" s="9">
        <v>0.80</v>
      </c>
      <c r="AC83" s="7">
        <v>700</v>
      </c>
      <c r="AD83" s="15">
        <v>200</v>
      </c>
      <c r="AE83" s="16">
        <v>900</v>
      </c>
      <c r="AF83" s="14">
        <v>2600</v>
      </c>
      <c r="AG83" s="1" t="s">
        <v>80</v>
      </c>
      <c r="AH83" s="1" t="b">
        <v>1</v>
      </c>
      <c r="AI83" s="1" t="s">
        <v>81</v>
      </c>
      <c r="AJ83" s="1" t="b">
        <v>0</v>
      </c>
      <c r="AK83" s="1" t="b">
        <v>1</v>
      </c>
      <c r="AL83" s="1" t="b">
        <v>1</v>
      </c>
      <c r="AM83" s="1" t="b">
        <v>0</v>
      </c>
      <c r="AN83" s="1" t="s">
        <v>1236</v>
      </c>
      <c r="AO83" s="1">
        <v>5</v>
      </c>
      <c r="AP83" s="1" t="s">
        <v>291</v>
      </c>
      <c r="AQ83" s="1">
        <v>92</v>
      </c>
      <c r="AR83" s="1" t="s">
        <v>172</v>
      </c>
      <c r="AS83" s="1" t="s">
        <v>292</v>
      </c>
      <c r="AT83" s="33">
        <v>4372</v>
      </c>
    </row>
    <row r="84" spans="3:46" ht="15">
      <c r="C84" s="19" t="s">
        <v>340</v>
      </c>
      <c r="D84" s="19" t="s">
        <v>1354</v>
      </c>
      <c r="E84" s="20" t="s">
        <v>343</v>
      </c>
      <c r="F84" s="18" t="s">
        <v>67</v>
      </c>
      <c r="G84" s="18" t="s">
        <v>344</v>
      </c>
      <c r="H84" s="18" t="s">
        <v>69</v>
      </c>
      <c r="I84" s="18" t="s">
        <v>345</v>
      </c>
      <c r="J84" s="32">
        <v>45537</v>
      </c>
      <c r="K84" s="31">
        <v>0.64583333333333337</v>
      </c>
      <c r="L84" s="20" t="s">
        <v>92</v>
      </c>
      <c r="M84" s="18" t="s">
        <v>92</v>
      </c>
      <c r="N84" s="18" t="s">
        <v>346</v>
      </c>
      <c r="O84" s="18" t="s">
        <v>346</v>
      </c>
      <c r="P84" s="18" t="s">
        <v>347</v>
      </c>
      <c r="Q84" s="18" t="s">
        <v>348</v>
      </c>
      <c r="R84" s="18" t="s">
        <v>348</v>
      </c>
      <c r="S84" s="18" t="s">
        <v>349</v>
      </c>
      <c r="T84" s="18">
        <v>99202</v>
      </c>
      <c r="U84" s="18" t="s">
        <v>350</v>
      </c>
      <c r="V84" s="18" t="s">
        <v>351</v>
      </c>
      <c r="W84" s="18" t="s">
        <v>57</v>
      </c>
      <c r="X84" s="18" t="s">
        <v>57</v>
      </c>
      <c r="Y84" s="18">
        <v>35</v>
      </c>
      <c r="Z84" s="21">
        <v>175</v>
      </c>
      <c r="AA84" s="22">
        <v>100</v>
      </c>
      <c r="AB84" s="23">
        <v>0.80</v>
      </c>
      <c r="AC84" s="24">
        <v>35</v>
      </c>
      <c r="AD84" s="25">
        <v>25</v>
      </c>
      <c r="AE84" s="26">
        <v>60</v>
      </c>
      <c r="AF84" s="27">
        <v>115</v>
      </c>
      <c r="AG84" s="18" t="s">
        <v>58</v>
      </c>
      <c r="AH84" s="18" t="b">
        <v>1</v>
      </c>
      <c r="AI84" s="18">
        <v>45538</v>
      </c>
      <c r="AJ84" s="18" t="b">
        <v>0</v>
      </c>
      <c r="AK84" s="18" t="b">
        <v>0</v>
      </c>
      <c r="AL84" s="18" t="b">
        <v>1</v>
      </c>
      <c r="AM84" s="18" t="b">
        <v>0</v>
      </c>
      <c r="AN84" s="18" t="s">
        <v>1236</v>
      </c>
      <c r="AO84" s="18">
        <v>4</v>
      </c>
      <c r="AP84" s="18" t="s">
        <v>352</v>
      </c>
      <c r="AQ84" s="18">
        <v>91</v>
      </c>
      <c r="AR84" s="18" t="s">
        <v>153</v>
      </c>
      <c r="AS84" s="18" t="s">
        <v>353</v>
      </c>
      <c r="AT84" s="48">
        <v>233.60</v>
      </c>
    </row>
    <row r="85" spans="3:46" ht="15">
      <c r="C85" s="3" t="s">
        <v>364</v>
      </c>
      <c r="D85" s="3" t="s">
        <v>1355</v>
      </c>
      <c r="E85" s="2" t="s">
        <v>367</v>
      </c>
      <c r="F85" s="1" t="s">
        <v>67</v>
      </c>
      <c r="G85" s="1" t="s">
        <v>368</v>
      </c>
      <c r="H85" s="1" t="s">
        <v>69</v>
      </c>
      <c r="I85" s="1" t="s">
        <v>369</v>
      </c>
      <c r="J85" s="28" t="s">
        <v>370</v>
      </c>
      <c r="K85" s="29">
        <v>0.61458333333333337</v>
      </c>
      <c r="L85" s="2" t="s">
        <v>144</v>
      </c>
      <c r="M85" s="1" t="s">
        <v>144</v>
      </c>
      <c r="N85" s="1" t="s">
        <v>145</v>
      </c>
      <c r="O85" s="1" t="s">
        <v>145</v>
      </c>
      <c r="P85" s="1" t="s">
        <v>146</v>
      </c>
      <c r="Q85" s="1" t="s">
        <v>371</v>
      </c>
      <c r="R85" s="1" t="s">
        <v>371</v>
      </c>
      <c r="S85" s="1" t="s">
        <v>372</v>
      </c>
      <c r="T85" s="1">
        <v>99222</v>
      </c>
      <c r="U85" s="1" t="s">
        <v>373</v>
      </c>
      <c r="V85" s="1" t="s">
        <v>57</v>
      </c>
      <c r="W85" s="1" t="s">
        <v>374</v>
      </c>
      <c r="X85" s="1">
        <v>47600</v>
      </c>
      <c r="Y85" s="1">
        <v>95</v>
      </c>
      <c r="Z85" s="17">
        <v>9800</v>
      </c>
      <c r="AA85" s="8">
        <v>100</v>
      </c>
      <c r="AB85" s="9">
        <v>0.75</v>
      </c>
      <c r="AC85" s="7">
        <v>2450</v>
      </c>
      <c r="AD85" s="15">
        <v>600</v>
      </c>
      <c r="AE85" s="16">
        <v>3050</v>
      </c>
      <c r="AF85" s="14">
        <v>6750</v>
      </c>
      <c r="AG85" s="1" t="s">
        <v>80</v>
      </c>
      <c r="AH85" s="1" t="b">
        <v>1</v>
      </c>
      <c r="AI85" s="1" t="s">
        <v>375</v>
      </c>
      <c r="AJ85" s="1" t="b">
        <v>0</v>
      </c>
      <c r="AK85" s="1" t="b">
        <v>1</v>
      </c>
      <c r="AL85" s="1" t="b">
        <v>1</v>
      </c>
      <c r="AM85" s="1" t="b">
        <v>0</v>
      </c>
      <c r="AN85" s="1" t="s">
        <v>1236</v>
      </c>
      <c r="AO85" s="1">
        <v>4</v>
      </c>
      <c r="AP85" s="1" t="s">
        <v>376</v>
      </c>
      <c r="AQ85" s="1">
        <v>86</v>
      </c>
      <c r="AR85" s="1" t="s">
        <v>153</v>
      </c>
      <c r="AS85" s="1" t="s">
        <v>377</v>
      </c>
      <c r="AT85" s="33">
        <v>12776.5</v>
      </c>
    </row>
    <row r="86" spans="3:46" ht="15">
      <c r="C86" s="19" t="s">
        <v>390</v>
      </c>
      <c r="D86" s="19" t="s">
        <v>1356</v>
      </c>
      <c r="E86" s="20" t="s">
        <v>393</v>
      </c>
      <c r="F86" s="18" t="s">
        <v>67</v>
      </c>
      <c r="G86" s="18" t="s">
        <v>394</v>
      </c>
      <c r="H86" s="18" t="s">
        <v>47</v>
      </c>
      <c r="I86" s="18" t="s">
        <v>395</v>
      </c>
      <c r="J86" s="32" t="s">
        <v>59</v>
      </c>
      <c r="K86" s="31">
        <v>0.42708333333333331</v>
      </c>
      <c r="L86" s="20" t="s">
        <v>92</v>
      </c>
      <c r="M86" s="18" t="s">
        <v>92</v>
      </c>
      <c r="N86" s="18" t="s">
        <v>245</v>
      </c>
      <c r="O86" s="18" t="s">
        <v>245</v>
      </c>
      <c r="P86" s="18" t="s">
        <v>246</v>
      </c>
      <c r="Q86" s="18" t="s">
        <v>396</v>
      </c>
      <c r="R86" s="18" t="s">
        <v>396</v>
      </c>
      <c r="S86" s="18" t="s">
        <v>397</v>
      </c>
      <c r="T86" s="18">
        <v>99203</v>
      </c>
      <c r="U86" s="18" t="s">
        <v>398</v>
      </c>
      <c r="V86" s="18" t="s">
        <v>57</v>
      </c>
      <c r="W86" s="18" t="s">
        <v>57</v>
      </c>
      <c r="X86" s="18" t="s">
        <v>57</v>
      </c>
      <c r="Y86" s="18">
        <v>25</v>
      </c>
      <c r="Z86" s="21">
        <v>200</v>
      </c>
      <c r="AA86" s="22">
        <v>100</v>
      </c>
      <c r="AB86" s="23">
        <v>0.85</v>
      </c>
      <c r="AC86" s="24">
        <v>30</v>
      </c>
      <c r="AD86" s="25">
        <v>20</v>
      </c>
      <c r="AE86" s="26">
        <v>50</v>
      </c>
      <c r="AF86" s="27">
        <v>150</v>
      </c>
      <c r="AG86" s="18" t="s">
        <v>118</v>
      </c>
      <c r="AH86" s="18" t="b">
        <v>1</v>
      </c>
      <c r="AI86" s="18" t="s">
        <v>264</v>
      </c>
      <c r="AJ86" s="18" t="b">
        <v>0</v>
      </c>
      <c r="AK86" s="18" t="b">
        <v>0</v>
      </c>
      <c r="AL86" s="18" t="b">
        <v>1</v>
      </c>
      <c r="AM86" s="18" t="b">
        <v>0</v>
      </c>
      <c r="AN86" s="18" t="s">
        <v>1236</v>
      </c>
      <c r="AO86" s="18">
        <v>3</v>
      </c>
      <c r="AP86" s="18" t="s">
        <v>399</v>
      </c>
      <c r="AQ86" s="18">
        <v>89</v>
      </c>
      <c r="AR86" s="18" t="s">
        <v>61</v>
      </c>
      <c r="AS86" s="18" t="s">
        <v>400</v>
      </c>
      <c r="AT86" s="48">
        <v>248.30</v>
      </c>
    </row>
    <row r="87" spans="3:46" ht="15">
      <c r="C87" s="3" t="s">
        <v>443</v>
      </c>
      <c r="D87" s="3" t="s">
        <v>1357</v>
      </c>
      <c r="E87" s="2" t="s">
        <v>446</v>
      </c>
      <c r="F87" s="1" t="s">
        <v>45</v>
      </c>
      <c r="G87" s="1" t="s">
        <v>447</v>
      </c>
      <c r="H87" s="1" t="s">
        <v>89</v>
      </c>
      <c r="I87" s="1" t="s">
        <v>448</v>
      </c>
      <c r="J87" s="28" t="s">
        <v>151</v>
      </c>
      <c r="K87" s="29">
        <v>0.51041666666666663</v>
      </c>
      <c r="L87" s="2" t="s">
        <v>144</v>
      </c>
      <c r="M87" s="1" t="s">
        <v>144</v>
      </c>
      <c r="N87" s="1" t="s">
        <v>286</v>
      </c>
      <c r="O87" s="1" t="s">
        <v>286</v>
      </c>
      <c r="P87" s="1" t="s">
        <v>287</v>
      </c>
      <c r="Q87" s="1" t="s">
        <v>288</v>
      </c>
      <c r="R87" s="1" t="s">
        <v>288</v>
      </c>
      <c r="S87" s="1" t="s">
        <v>289</v>
      </c>
      <c r="T87" s="1">
        <v>99221</v>
      </c>
      <c r="U87" s="1" t="s">
        <v>290</v>
      </c>
      <c r="V87" s="1" t="s">
        <v>57</v>
      </c>
      <c r="W87" s="1" t="s">
        <v>57</v>
      </c>
      <c r="X87" s="1">
        <v>66984</v>
      </c>
      <c r="Y87" s="1">
        <v>80</v>
      </c>
      <c r="Z87" s="17">
        <v>3600</v>
      </c>
      <c r="AA87" s="8">
        <v>100</v>
      </c>
      <c r="AB87" s="9">
        <v>0.80</v>
      </c>
      <c r="AC87" s="7">
        <v>720</v>
      </c>
      <c r="AD87" s="15">
        <v>200</v>
      </c>
      <c r="AE87" s="16">
        <v>920</v>
      </c>
      <c r="AF87" s="14">
        <v>2680</v>
      </c>
      <c r="AG87" s="1" t="s">
        <v>80</v>
      </c>
      <c r="AH87" s="1" t="b">
        <v>1</v>
      </c>
      <c r="AI87" s="1">
        <v>45507</v>
      </c>
      <c r="AJ87" s="1" t="b">
        <v>0</v>
      </c>
      <c r="AK87" s="1" t="b">
        <v>1</v>
      </c>
      <c r="AL87" s="1" t="b">
        <v>1</v>
      </c>
      <c r="AM87" s="1" t="b">
        <v>0</v>
      </c>
      <c r="AN87" s="1" t="s">
        <v>1236</v>
      </c>
      <c r="AO87" s="1">
        <v>5</v>
      </c>
      <c r="AP87" s="1" t="s">
        <v>449</v>
      </c>
      <c r="AQ87" s="1">
        <v>90</v>
      </c>
      <c r="AR87" s="1" t="s">
        <v>172</v>
      </c>
      <c r="AS87" s="1" t="s">
        <v>450</v>
      </c>
      <c r="AT87" s="33">
        <v>4491.20</v>
      </c>
    </row>
    <row r="88" spans="3:46" ht="15">
      <c r="C88" s="19" t="s">
        <v>451</v>
      </c>
      <c r="D88" s="19" t="s">
        <v>1358</v>
      </c>
      <c r="E88" s="20" t="s">
        <v>454</v>
      </c>
      <c r="F88" s="18" t="s">
        <v>67</v>
      </c>
      <c r="G88" s="18" t="s">
        <v>455</v>
      </c>
      <c r="H88" s="18" t="s">
        <v>69</v>
      </c>
      <c r="I88" s="18" t="s">
        <v>456</v>
      </c>
      <c r="J88" s="32" t="s">
        <v>168</v>
      </c>
      <c r="K88" s="31">
        <v>0.6875</v>
      </c>
      <c r="L88" s="20" t="s">
        <v>92</v>
      </c>
      <c r="M88" s="18" t="s">
        <v>92</v>
      </c>
      <c r="N88" s="18" t="s">
        <v>273</v>
      </c>
      <c r="O88" s="18" t="s">
        <v>273</v>
      </c>
      <c r="P88" s="18" t="s">
        <v>274</v>
      </c>
      <c r="Q88" s="18" t="s">
        <v>457</v>
      </c>
      <c r="R88" s="18" t="s">
        <v>457</v>
      </c>
      <c r="S88" s="18" t="s">
        <v>458</v>
      </c>
      <c r="T88" s="18">
        <v>99204</v>
      </c>
      <c r="U88" s="18" t="s">
        <v>459</v>
      </c>
      <c r="V88" s="18" t="s">
        <v>460</v>
      </c>
      <c r="W88" s="18" t="s">
        <v>57</v>
      </c>
      <c r="X88" s="18" t="s">
        <v>57</v>
      </c>
      <c r="Y88" s="18">
        <v>55</v>
      </c>
      <c r="Z88" s="21">
        <v>420</v>
      </c>
      <c r="AA88" s="22">
        <v>100</v>
      </c>
      <c r="AB88" s="23">
        <v>0.75</v>
      </c>
      <c r="AC88" s="24">
        <v>105</v>
      </c>
      <c r="AD88" s="25">
        <v>60</v>
      </c>
      <c r="AE88" s="26">
        <v>165</v>
      </c>
      <c r="AF88" s="27">
        <v>255</v>
      </c>
      <c r="AG88" s="18" t="s">
        <v>118</v>
      </c>
      <c r="AH88" s="18" t="b">
        <v>1</v>
      </c>
      <c r="AI88" s="18" t="s">
        <v>461</v>
      </c>
      <c r="AJ88" s="18" t="b">
        <v>0</v>
      </c>
      <c r="AK88" s="18" t="b">
        <v>0</v>
      </c>
      <c r="AL88" s="18" t="b">
        <v>1</v>
      </c>
      <c r="AM88" s="18" t="b">
        <v>0</v>
      </c>
      <c r="AN88" s="18" t="s">
        <v>1236</v>
      </c>
      <c r="AO88" s="18">
        <v>4</v>
      </c>
      <c r="AP88" s="18" t="s">
        <v>462</v>
      </c>
      <c r="AQ88" s="18">
        <v>87</v>
      </c>
      <c r="AR88" s="18" t="s">
        <v>61</v>
      </c>
      <c r="AS88" s="18" t="s">
        <v>463</v>
      </c>
      <c r="AT88" s="48">
        <v>581.85</v>
      </c>
    </row>
    <row r="89" spans="3:46" ht="15">
      <c r="C89" s="3" t="s">
        <v>500</v>
      </c>
      <c r="D89" s="3" t="s">
        <v>1359</v>
      </c>
      <c r="E89" s="2">
        <v>34457</v>
      </c>
      <c r="F89" s="1" t="s">
        <v>67</v>
      </c>
      <c r="G89" s="1" t="s">
        <v>503</v>
      </c>
      <c r="H89" s="1" t="s">
        <v>47</v>
      </c>
      <c r="I89" s="1" t="s">
        <v>504</v>
      </c>
      <c r="J89" s="28" t="s">
        <v>235</v>
      </c>
      <c r="K89" s="29">
        <v>0.47916666666666669</v>
      </c>
      <c r="L89" s="2" t="s">
        <v>92</v>
      </c>
      <c r="M89" s="1" t="s">
        <v>92</v>
      </c>
      <c r="N89" s="1" t="s">
        <v>346</v>
      </c>
      <c r="O89" s="1" t="s">
        <v>346</v>
      </c>
      <c r="P89" s="1" t="s">
        <v>347</v>
      </c>
      <c r="Q89" s="1" t="s">
        <v>505</v>
      </c>
      <c r="R89" s="1" t="s">
        <v>505</v>
      </c>
      <c r="S89" s="1" t="s">
        <v>506</v>
      </c>
      <c r="T89" s="1">
        <v>99203</v>
      </c>
      <c r="U89" s="1" t="s">
        <v>507</v>
      </c>
      <c r="V89" s="1" t="s">
        <v>351</v>
      </c>
      <c r="W89" s="1" t="s">
        <v>57</v>
      </c>
      <c r="X89" s="1" t="s">
        <v>57</v>
      </c>
      <c r="Y89" s="1">
        <v>40</v>
      </c>
      <c r="Z89" s="17">
        <v>220</v>
      </c>
      <c r="AA89" s="8">
        <v>100</v>
      </c>
      <c r="AB89" s="9">
        <v>0.85</v>
      </c>
      <c r="AC89" s="7">
        <v>33</v>
      </c>
      <c r="AD89" s="15">
        <v>25</v>
      </c>
      <c r="AE89" s="16">
        <v>58</v>
      </c>
      <c r="AF89" s="14">
        <v>162</v>
      </c>
      <c r="AG89" s="1" t="s">
        <v>58</v>
      </c>
      <c r="AH89" s="1" t="b">
        <v>1</v>
      </c>
      <c r="AI89" s="1" t="s">
        <v>508</v>
      </c>
      <c r="AJ89" s="1" t="b">
        <v>0</v>
      </c>
      <c r="AK89" s="1" t="b">
        <v>0</v>
      </c>
      <c r="AL89" s="1" t="b">
        <v>1</v>
      </c>
      <c r="AM89" s="1" t="b">
        <v>0</v>
      </c>
      <c r="AN89" s="1" t="s">
        <v>1236</v>
      </c>
      <c r="AO89" s="1">
        <v>4</v>
      </c>
      <c r="AP89" s="1" t="s">
        <v>509</v>
      </c>
      <c r="AQ89" s="1">
        <v>90</v>
      </c>
      <c r="AR89" s="1" t="s">
        <v>61</v>
      </c>
      <c r="AS89" s="1" t="s">
        <v>510</v>
      </c>
      <c r="AT89" s="33">
        <v>276.13</v>
      </c>
    </row>
    <row r="90" spans="3:46" ht="15">
      <c r="C90" s="19" t="s">
        <v>511</v>
      </c>
      <c r="D90" s="19" t="s">
        <v>1360</v>
      </c>
      <c r="E90" s="20">
        <v>21769</v>
      </c>
      <c r="F90" s="18" t="s">
        <v>45</v>
      </c>
      <c r="G90" s="18" t="s">
        <v>514</v>
      </c>
      <c r="H90" s="18" t="s">
        <v>89</v>
      </c>
      <c r="I90" s="18" t="s">
        <v>515</v>
      </c>
      <c r="J90" s="32">
        <v>45294</v>
      </c>
      <c r="K90" s="31">
        <v>0.54166666666666663</v>
      </c>
      <c r="L90" s="20" t="s">
        <v>144</v>
      </c>
      <c r="M90" s="18" t="s">
        <v>144</v>
      </c>
      <c r="N90" s="18" t="s">
        <v>93</v>
      </c>
      <c r="O90" s="18" t="s">
        <v>93</v>
      </c>
      <c r="P90" s="18" t="s">
        <v>94</v>
      </c>
      <c r="Q90" s="18" t="s">
        <v>516</v>
      </c>
      <c r="R90" s="18" t="s">
        <v>516</v>
      </c>
      <c r="S90" s="18" t="s">
        <v>517</v>
      </c>
      <c r="T90" s="18">
        <v>99223</v>
      </c>
      <c r="U90" s="18" t="s">
        <v>518</v>
      </c>
      <c r="V90" s="18" t="s">
        <v>57</v>
      </c>
      <c r="W90" s="18" t="s">
        <v>519</v>
      </c>
      <c r="X90" s="18">
        <v>27130</v>
      </c>
      <c r="Y90" s="18">
        <v>120</v>
      </c>
      <c r="Z90" s="21">
        <v>18500</v>
      </c>
      <c r="AA90" s="22">
        <v>100</v>
      </c>
      <c r="AB90" s="23">
        <v>0.80</v>
      </c>
      <c r="AC90" s="24">
        <v>3700</v>
      </c>
      <c r="AD90" s="25">
        <v>800</v>
      </c>
      <c r="AE90" s="26">
        <v>4500</v>
      </c>
      <c r="AF90" s="27">
        <v>14000</v>
      </c>
      <c r="AG90" s="18" t="s">
        <v>80</v>
      </c>
      <c r="AH90" s="18" t="b">
        <v>1</v>
      </c>
      <c r="AI90" s="18" t="s">
        <v>264</v>
      </c>
      <c r="AJ90" s="18" t="b">
        <v>0</v>
      </c>
      <c r="AK90" s="18" t="b">
        <v>1</v>
      </c>
      <c r="AL90" s="18" t="b">
        <v>1</v>
      </c>
      <c r="AM90" s="18" t="b">
        <v>0</v>
      </c>
      <c r="AN90" s="18" t="s">
        <v>1236</v>
      </c>
      <c r="AO90" s="18">
        <v>5</v>
      </c>
      <c r="AP90" s="18" t="s">
        <v>520</v>
      </c>
      <c r="AQ90" s="18">
        <v>85</v>
      </c>
      <c r="AR90" s="18" t="s">
        <v>172</v>
      </c>
      <c r="AS90" s="18" t="s">
        <v>521</v>
      </c>
      <c r="AT90" s="48">
        <v>22852</v>
      </c>
    </row>
    <row r="91" spans="3:46" ht="15">
      <c r="C91" s="3" t="s">
        <v>564</v>
      </c>
      <c r="D91" s="3" t="s">
        <v>1361</v>
      </c>
      <c r="E91" s="2">
        <v>34948</v>
      </c>
      <c r="F91" s="1" t="s">
        <v>67</v>
      </c>
      <c r="G91" s="1" t="s">
        <v>567</v>
      </c>
      <c r="H91" s="1" t="s">
        <v>69</v>
      </c>
      <c r="I91" s="1" t="s">
        <v>568</v>
      </c>
      <c r="J91" s="28">
        <v>45507</v>
      </c>
      <c r="K91" s="29">
        <v>0.70833333333333337</v>
      </c>
      <c r="L91" s="2" t="s">
        <v>92</v>
      </c>
      <c r="M91" s="1" t="s">
        <v>92</v>
      </c>
      <c r="N91" s="1" t="s">
        <v>130</v>
      </c>
      <c r="O91" s="1" t="s">
        <v>130</v>
      </c>
      <c r="P91" s="1" t="s">
        <v>131</v>
      </c>
      <c r="Q91" s="1" t="s">
        <v>569</v>
      </c>
      <c r="R91" s="1" t="s">
        <v>569</v>
      </c>
      <c r="S91" s="1" t="s">
        <v>570</v>
      </c>
      <c r="T91" s="1">
        <v>99204</v>
      </c>
      <c r="U91" s="1" t="s">
        <v>571</v>
      </c>
      <c r="V91" s="1" t="s">
        <v>572</v>
      </c>
      <c r="W91" s="1" t="s">
        <v>57</v>
      </c>
      <c r="X91" s="1" t="s">
        <v>57</v>
      </c>
      <c r="Y91" s="1">
        <v>50</v>
      </c>
      <c r="Z91" s="17">
        <v>380</v>
      </c>
      <c r="AA91" s="8">
        <v>100</v>
      </c>
      <c r="AB91" s="9">
        <v>0.70</v>
      </c>
      <c r="AC91" s="7">
        <v>114</v>
      </c>
      <c r="AD91" s="15">
        <v>60</v>
      </c>
      <c r="AE91" s="16">
        <v>174</v>
      </c>
      <c r="AF91" s="14">
        <v>206</v>
      </c>
      <c r="AG91" s="1" t="s">
        <v>58</v>
      </c>
      <c r="AH91" s="1" t="b">
        <v>1</v>
      </c>
      <c r="AI91" s="1">
        <v>45508</v>
      </c>
      <c r="AJ91" s="1" t="b">
        <v>0</v>
      </c>
      <c r="AK91" s="1" t="b">
        <v>0</v>
      </c>
      <c r="AL91" s="1" t="b">
        <v>1</v>
      </c>
      <c r="AM91" s="1" t="b">
        <v>0</v>
      </c>
      <c r="AN91" s="1" t="s">
        <v>1236</v>
      </c>
      <c r="AO91" s="1">
        <v>4</v>
      </c>
      <c r="AP91" s="1" t="s">
        <v>573</v>
      </c>
      <c r="AQ91" s="1">
        <v>91</v>
      </c>
      <c r="AR91" s="1" t="s">
        <v>153</v>
      </c>
      <c r="AS91" s="1" t="s">
        <v>574</v>
      </c>
      <c r="AT91" s="33">
        <v>551.33999999999992</v>
      </c>
    </row>
    <row r="92" spans="3:46" ht="15">
      <c r="C92" s="19" t="s">
        <v>588</v>
      </c>
      <c r="D92" s="19" t="s">
        <v>1362</v>
      </c>
      <c r="E92" s="20">
        <v>28348</v>
      </c>
      <c r="F92" s="18" t="s">
        <v>67</v>
      </c>
      <c r="G92" s="18" t="s">
        <v>591</v>
      </c>
      <c r="H92" s="18" t="s">
        <v>69</v>
      </c>
      <c r="I92" s="18" t="s">
        <v>592</v>
      </c>
      <c r="J92" s="32">
        <v>45629</v>
      </c>
      <c r="K92" s="31">
        <v>0.59375</v>
      </c>
      <c r="L92" s="20" t="s">
        <v>144</v>
      </c>
      <c r="M92" s="18" t="s">
        <v>144</v>
      </c>
      <c r="N92" s="18" t="s">
        <v>145</v>
      </c>
      <c r="O92" s="18" t="s">
        <v>145</v>
      </c>
      <c r="P92" s="18" t="s">
        <v>146</v>
      </c>
      <c r="Q92" s="18" t="s">
        <v>593</v>
      </c>
      <c r="R92" s="18" t="s">
        <v>593</v>
      </c>
      <c r="S92" s="18" t="s">
        <v>594</v>
      </c>
      <c r="T92" s="18">
        <v>99221</v>
      </c>
      <c r="U92" s="18" t="s">
        <v>595</v>
      </c>
      <c r="V92" s="18" t="s">
        <v>57</v>
      </c>
      <c r="W92" s="18" t="s">
        <v>57</v>
      </c>
      <c r="X92" s="18">
        <v>49560</v>
      </c>
      <c r="Y92" s="18">
        <v>85</v>
      </c>
      <c r="Z92" s="21">
        <v>7500</v>
      </c>
      <c r="AA92" s="22">
        <v>100</v>
      </c>
      <c r="AB92" s="23">
        <v>0.75</v>
      </c>
      <c r="AC92" s="24">
        <v>1875</v>
      </c>
      <c r="AD92" s="25">
        <v>450</v>
      </c>
      <c r="AE92" s="26">
        <v>2325</v>
      </c>
      <c r="AF92" s="27">
        <v>5175</v>
      </c>
      <c r="AG92" s="18" t="s">
        <v>80</v>
      </c>
      <c r="AH92" s="18" t="b">
        <v>1</v>
      </c>
      <c r="AI92" s="18" t="s">
        <v>472</v>
      </c>
      <c r="AJ92" s="18" t="b">
        <v>0</v>
      </c>
      <c r="AK92" s="18" t="b">
        <v>1</v>
      </c>
      <c r="AL92" s="18" t="b">
        <v>1</v>
      </c>
      <c r="AM92" s="18" t="b">
        <v>0</v>
      </c>
      <c r="AN92" s="18" t="s">
        <v>1236</v>
      </c>
      <c r="AO92" s="18">
        <v>5</v>
      </c>
      <c r="AP92" s="18" t="s">
        <v>596</v>
      </c>
      <c r="AQ92" s="18">
        <v>87</v>
      </c>
      <c r="AR92" s="18" t="s">
        <v>153</v>
      </c>
      <c r="AS92" s="18" t="s">
        <v>597</v>
      </c>
      <c r="AT92" s="48">
        <v>9768.75</v>
      </c>
    </row>
    <row r="93" spans="3:46" ht="15">
      <c r="C93" s="3" t="s">
        <v>610</v>
      </c>
      <c r="D93" s="3" t="s">
        <v>1363</v>
      </c>
      <c r="E93" s="2" t="s">
        <v>613</v>
      </c>
      <c r="F93" s="1" t="s">
        <v>67</v>
      </c>
      <c r="G93" s="1" t="s">
        <v>614</v>
      </c>
      <c r="H93" s="1" t="s">
        <v>47</v>
      </c>
      <c r="I93" s="1" t="s">
        <v>615</v>
      </c>
      <c r="J93" s="28" t="s">
        <v>387</v>
      </c>
      <c r="K93" s="29">
        <v>0.5</v>
      </c>
      <c r="L93" s="2" t="s">
        <v>92</v>
      </c>
      <c r="M93" s="1" t="s">
        <v>92</v>
      </c>
      <c r="N93" s="1" t="s">
        <v>245</v>
      </c>
      <c r="O93" s="1" t="s">
        <v>245</v>
      </c>
      <c r="P93" s="1" t="s">
        <v>246</v>
      </c>
      <c r="Q93" s="1" t="s">
        <v>616</v>
      </c>
      <c r="R93" s="1" t="s">
        <v>616</v>
      </c>
      <c r="S93" s="1" t="s">
        <v>617</v>
      </c>
      <c r="T93" s="1">
        <v>99204</v>
      </c>
      <c r="U93" s="1" t="s">
        <v>618</v>
      </c>
      <c r="V93" s="1" t="s">
        <v>57</v>
      </c>
      <c r="W93" s="1" t="s">
        <v>57</v>
      </c>
      <c r="X93" s="1" t="s">
        <v>57</v>
      </c>
      <c r="Y93" s="1">
        <v>40</v>
      </c>
      <c r="Z93" s="17">
        <v>310</v>
      </c>
      <c r="AA93" s="8">
        <v>100</v>
      </c>
      <c r="AB93" s="9">
        <v>0.85</v>
      </c>
      <c r="AC93" s="7">
        <v>46.5</v>
      </c>
      <c r="AD93" s="15">
        <v>30</v>
      </c>
      <c r="AE93" s="16">
        <v>76.5</v>
      </c>
      <c r="AF93" s="14">
        <v>233.5</v>
      </c>
      <c r="AG93" s="1" t="s">
        <v>118</v>
      </c>
      <c r="AH93" s="1" t="b">
        <v>1</v>
      </c>
      <c r="AI93" s="1" t="s">
        <v>619</v>
      </c>
      <c r="AJ93" s="1" t="b">
        <v>0</v>
      </c>
      <c r="AK93" s="1" t="b">
        <v>0</v>
      </c>
      <c r="AL93" s="1" t="b">
        <v>1</v>
      </c>
      <c r="AM93" s="1" t="b">
        <v>0</v>
      </c>
      <c r="AN93" s="1" t="s">
        <v>1236</v>
      </c>
      <c r="AO93" s="1">
        <v>3</v>
      </c>
      <c r="AP93" s="1" t="s">
        <v>620</v>
      </c>
      <c r="AQ93" s="1">
        <v>88</v>
      </c>
      <c r="AR93" s="1" t="s">
        <v>61</v>
      </c>
      <c r="AS93" s="1" t="s">
        <v>621</v>
      </c>
      <c r="AT93" s="33">
        <v>383.865</v>
      </c>
    </row>
    <row r="94" spans="3:46" ht="15">
      <c r="C94" s="19" t="s">
        <v>642</v>
      </c>
      <c r="D94" s="19" t="s">
        <v>1364</v>
      </c>
      <c r="E94" s="20">
        <v>25146</v>
      </c>
      <c r="F94" s="18" t="s">
        <v>45</v>
      </c>
      <c r="G94" s="18" t="s">
        <v>644</v>
      </c>
      <c r="H94" s="18" t="s">
        <v>69</v>
      </c>
      <c r="I94" s="18" t="s">
        <v>645</v>
      </c>
      <c r="J94" s="32" t="s">
        <v>418</v>
      </c>
      <c r="K94" s="31">
        <v>0.69791666666666663</v>
      </c>
      <c r="L94" s="20" t="s">
        <v>1238</v>
      </c>
      <c r="M94" s="18" t="s">
        <v>72</v>
      </c>
      <c r="N94" s="18" t="s">
        <v>258</v>
      </c>
      <c r="O94" s="18" t="s">
        <v>258</v>
      </c>
      <c r="P94" s="18" t="s">
        <v>259</v>
      </c>
      <c r="Q94" s="18" t="s">
        <v>1232</v>
      </c>
      <c r="R94" s="18" t="s">
        <v>646</v>
      </c>
      <c r="S94" s="18" t="s">
        <v>647</v>
      </c>
      <c r="T94" s="18">
        <v>99213</v>
      </c>
      <c r="U94" s="18" t="s">
        <v>648</v>
      </c>
      <c r="V94" s="18" t="s">
        <v>649</v>
      </c>
      <c r="W94" s="18" t="s">
        <v>650</v>
      </c>
      <c r="X94" s="18" t="s">
        <v>57</v>
      </c>
      <c r="Y94" s="18">
        <v>60</v>
      </c>
      <c r="Z94" s="21">
        <v>850</v>
      </c>
      <c r="AA94" s="22">
        <v>100</v>
      </c>
      <c r="AB94" s="23">
        <v>0.70</v>
      </c>
      <c r="AC94" s="24">
        <v>255</v>
      </c>
      <c r="AD94" s="25">
        <v>90</v>
      </c>
      <c r="AE94" s="26">
        <v>345</v>
      </c>
      <c r="AF94" s="27">
        <v>505</v>
      </c>
      <c r="AG94" s="18" t="s">
        <v>58</v>
      </c>
      <c r="AH94" s="18" t="b">
        <v>1</v>
      </c>
      <c r="AI94" s="18" t="s">
        <v>651</v>
      </c>
      <c r="AJ94" s="18" t="b">
        <v>0</v>
      </c>
      <c r="AK94" s="18" t="b">
        <v>0</v>
      </c>
      <c r="AL94" s="18" t="b">
        <v>1</v>
      </c>
      <c r="AM94" s="18" t="b">
        <v>1</v>
      </c>
      <c r="AN94" s="18" t="s">
        <v>652</v>
      </c>
      <c r="AO94" s="18">
        <v>3</v>
      </c>
      <c r="AP94" s="18" t="s">
        <v>653</v>
      </c>
      <c r="AQ94" s="18">
        <v>86</v>
      </c>
      <c r="AR94" s="18" t="s">
        <v>172</v>
      </c>
      <c r="AS94" s="18" t="s">
        <v>654</v>
      </c>
      <c r="AT94" s="48">
        <v>1189.05</v>
      </c>
    </row>
    <row r="95" spans="3:46" ht="15">
      <c r="C95" s="3" t="s">
        <v>665</v>
      </c>
      <c r="D95" s="3" t="s">
        <v>1365</v>
      </c>
      <c r="E95" s="2" t="s">
        <v>668</v>
      </c>
      <c r="F95" s="1" t="s">
        <v>45</v>
      </c>
      <c r="G95" s="1" t="s">
        <v>669</v>
      </c>
      <c r="H95" s="1" t="s">
        <v>89</v>
      </c>
      <c r="I95" s="1" t="s">
        <v>670</v>
      </c>
      <c r="J95" s="28" t="s">
        <v>671</v>
      </c>
      <c r="K95" s="29">
        <v>0.60416666666666663</v>
      </c>
      <c r="L95" s="2" t="s">
        <v>144</v>
      </c>
      <c r="M95" s="1" t="s">
        <v>144</v>
      </c>
      <c r="N95" s="1" t="s">
        <v>286</v>
      </c>
      <c r="O95" s="1" t="s">
        <v>286</v>
      </c>
      <c r="P95" s="1" t="s">
        <v>287</v>
      </c>
      <c r="Q95" s="1" t="s">
        <v>672</v>
      </c>
      <c r="R95" s="1" t="s">
        <v>672</v>
      </c>
      <c r="S95" s="1" t="s">
        <v>673</v>
      </c>
      <c r="T95" s="1">
        <v>99222</v>
      </c>
      <c r="U95" s="1" t="s">
        <v>674</v>
      </c>
      <c r="V95" s="1" t="s">
        <v>57</v>
      </c>
      <c r="W95" s="1" t="s">
        <v>57</v>
      </c>
      <c r="X95" s="1">
        <v>66170</v>
      </c>
      <c r="Y95" s="1">
        <v>95</v>
      </c>
      <c r="Z95" s="17">
        <v>4200</v>
      </c>
      <c r="AA95" s="8">
        <v>100</v>
      </c>
      <c r="AB95" s="9">
        <v>0.80</v>
      </c>
      <c r="AC95" s="7">
        <v>840</v>
      </c>
      <c r="AD95" s="15">
        <v>200</v>
      </c>
      <c r="AE95" s="16">
        <v>1040</v>
      </c>
      <c r="AF95" s="14">
        <v>3160</v>
      </c>
      <c r="AG95" s="1" t="s">
        <v>80</v>
      </c>
      <c r="AH95" s="1" t="b">
        <v>1</v>
      </c>
      <c r="AI95" s="1">
        <v>45386</v>
      </c>
      <c r="AJ95" s="1" t="b">
        <v>0</v>
      </c>
      <c r="AK95" s="1" t="b">
        <v>1</v>
      </c>
      <c r="AL95" s="1" t="b">
        <v>1</v>
      </c>
      <c r="AM95" s="1" t="b">
        <v>0</v>
      </c>
      <c r="AN95" s="1" t="s">
        <v>1236</v>
      </c>
      <c r="AO95" s="1">
        <v>5</v>
      </c>
      <c r="AP95" s="1" t="s">
        <v>675</v>
      </c>
      <c r="AQ95" s="1">
        <v>89</v>
      </c>
      <c r="AR95" s="1" t="s">
        <v>172</v>
      </c>
      <c r="AS95" s="1" t="s">
        <v>676</v>
      </c>
      <c r="AT95" s="33">
        <v>5206.3999999999996</v>
      </c>
    </row>
    <row r="96" spans="3:46" ht="15">
      <c r="C96" s="19" t="s">
        <v>677</v>
      </c>
      <c r="D96" s="19" t="s">
        <v>1366</v>
      </c>
      <c r="E96" s="20" t="s">
        <v>680</v>
      </c>
      <c r="F96" s="18" t="s">
        <v>67</v>
      </c>
      <c r="G96" s="18" t="s">
        <v>681</v>
      </c>
      <c r="H96" s="18" t="s">
        <v>69</v>
      </c>
      <c r="I96" s="18" t="s">
        <v>682</v>
      </c>
      <c r="J96" s="32" t="s">
        <v>629</v>
      </c>
      <c r="K96" s="31">
        <v>0.42708333333333331</v>
      </c>
      <c r="L96" s="20" t="s">
        <v>92</v>
      </c>
      <c r="M96" s="18" t="s">
        <v>92</v>
      </c>
      <c r="N96" s="18" t="s">
        <v>273</v>
      </c>
      <c r="O96" s="18" t="s">
        <v>273</v>
      </c>
      <c r="P96" s="18" t="s">
        <v>274</v>
      </c>
      <c r="Q96" s="18" t="s">
        <v>683</v>
      </c>
      <c r="R96" s="18" t="s">
        <v>683</v>
      </c>
      <c r="S96" s="18" t="s">
        <v>684</v>
      </c>
      <c r="T96" s="18">
        <v>99204</v>
      </c>
      <c r="U96" s="18" t="s">
        <v>685</v>
      </c>
      <c r="V96" s="18" t="s">
        <v>686</v>
      </c>
      <c r="W96" s="18" t="s">
        <v>57</v>
      </c>
      <c r="X96" s="18" t="s">
        <v>57</v>
      </c>
      <c r="Y96" s="18">
        <v>45</v>
      </c>
      <c r="Z96" s="21">
        <v>340</v>
      </c>
      <c r="AA96" s="22">
        <v>100</v>
      </c>
      <c r="AB96" s="23">
        <v>0.75</v>
      </c>
      <c r="AC96" s="24">
        <v>85</v>
      </c>
      <c r="AD96" s="25">
        <v>50</v>
      </c>
      <c r="AE96" s="26">
        <v>135</v>
      </c>
      <c r="AF96" s="27">
        <v>205</v>
      </c>
      <c r="AG96" s="18" t="s">
        <v>118</v>
      </c>
      <c r="AH96" s="18" t="b">
        <v>1</v>
      </c>
      <c r="AI96" s="18" t="s">
        <v>687</v>
      </c>
      <c r="AJ96" s="18" t="b">
        <v>0</v>
      </c>
      <c r="AK96" s="18" t="b">
        <v>0</v>
      </c>
      <c r="AL96" s="18" t="b">
        <v>1</v>
      </c>
      <c r="AM96" s="18" t="b">
        <v>0</v>
      </c>
      <c r="AN96" s="18" t="s">
        <v>1236</v>
      </c>
      <c r="AO96" s="18">
        <v>4</v>
      </c>
      <c r="AP96" s="18" t="s">
        <v>688</v>
      </c>
      <c r="AQ96" s="18">
        <v>90</v>
      </c>
      <c r="AR96" s="18" t="s">
        <v>61</v>
      </c>
      <c r="AS96" s="18" t="s">
        <v>689</v>
      </c>
      <c r="AT96" s="48">
        <v>472.45</v>
      </c>
    </row>
    <row r="97" spans="3:46" ht="15">
      <c r="C97" s="3" t="s">
        <v>726</v>
      </c>
      <c r="D97" s="3" t="s">
        <v>1367</v>
      </c>
      <c r="E97" s="2">
        <v>34158</v>
      </c>
      <c r="F97" s="1" t="s">
        <v>67</v>
      </c>
      <c r="G97" s="1" t="s">
        <v>729</v>
      </c>
      <c r="H97" s="1" t="s">
        <v>47</v>
      </c>
      <c r="I97" s="1" t="s">
        <v>730</v>
      </c>
      <c r="J97" s="28" t="s">
        <v>497</v>
      </c>
      <c r="K97" s="29">
        <v>0.5</v>
      </c>
      <c r="L97" s="2" t="s">
        <v>92</v>
      </c>
      <c r="M97" s="1" t="s">
        <v>92</v>
      </c>
      <c r="N97" s="1" t="s">
        <v>162</v>
      </c>
      <c r="O97" s="1" t="s">
        <v>162</v>
      </c>
      <c r="P97" s="1" t="s">
        <v>163</v>
      </c>
      <c r="Q97" s="1" t="s">
        <v>164</v>
      </c>
      <c r="R97" s="1" t="s">
        <v>164</v>
      </c>
      <c r="S97" s="1" t="s">
        <v>165</v>
      </c>
      <c r="T97" s="1">
        <v>99203</v>
      </c>
      <c r="U97" s="1" t="s">
        <v>731</v>
      </c>
      <c r="V97" s="1" t="s">
        <v>167</v>
      </c>
      <c r="W97" s="1" t="s">
        <v>57</v>
      </c>
      <c r="X97" s="1" t="s">
        <v>57</v>
      </c>
      <c r="Y97" s="1">
        <v>35</v>
      </c>
      <c r="Z97" s="17">
        <v>230</v>
      </c>
      <c r="AA97" s="8">
        <v>100</v>
      </c>
      <c r="AB97" s="9">
        <v>0.85</v>
      </c>
      <c r="AC97" s="7">
        <v>34.5</v>
      </c>
      <c r="AD97" s="15">
        <v>25</v>
      </c>
      <c r="AE97" s="16">
        <v>59.5</v>
      </c>
      <c r="AF97" s="14">
        <v>170.5</v>
      </c>
      <c r="AG97" s="1" t="s">
        <v>58</v>
      </c>
      <c r="AH97" s="1" t="b">
        <v>1</v>
      </c>
      <c r="AI97" s="1" t="s">
        <v>732</v>
      </c>
      <c r="AJ97" s="1" t="b">
        <v>0</v>
      </c>
      <c r="AK97" s="1" t="b">
        <v>0</v>
      </c>
      <c r="AL97" s="1" t="b">
        <v>1</v>
      </c>
      <c r="AM97" s="1" t="b">
        <v>0</v>
      </c>
      <c r="AN97" s="1" t="s">
        <v>1236</v>
      </c>
      <c r="AO97" s="1">
        <v>4</v>
      </c>
      <c r="AP97" s="1" t="s">
        <v>733</v>
      </c>
      <c r="AQ97" s="1">
        <v>89</v>
      </c>
      <c r="AR97" s="1" t="s">
        <v>61</v>
      </c>
      <c r="AS97" s="1" t="s">
        <v>734</v>
      </c>
      <c r="AT97" s="33">
        <v>287.545</v>
      </c>
    </row>
    <row r="98" spans="3:46" ht="15">
      <c r="C98" s="19" t="s">
        <v>735</v>
      </c>
      <c r="D98" s="19" t="s">
        <v>1368</v>
      </c>
      <c r="E98" s="20" t="s">
        <v>738</v>
      </c>
      <c r="F98" s="18" t="s">
        <v>45</v>
      </c>
      <c r="G98" s="18" t="s">
        <v>739</v>
      </c>
      <c r="H98" s="18" t="s">
        <v>89</v>
      </c>
      <c r="I98" s="18" t="s">
        <v>740</v>
      </c>
      <c r="J98" s="32" t="s">
        <v>508</v>
      </c>
      <c r="K98" s="31">
        <v>0.63541666666666663</v>
      </c>
      <c r="L98" s="20" t="s">
        <v>144</v>
      </c>
      <c r="M98" s="18" t="s">
        <v>144</v>
      </c>
      <c r="N98" s="18" t="s">
        <v>93</v>
      </c>
      <c r="O98" s="18" t="s">
        <v>93</v>
      </c>
      <c r="P98" s="18" t="s">
        <v>94</v>
      </c>
      <c r="Q98" s="18" t="s">
        <v>741</v>
      </c>
      <c r="R98" s="18" t="s">
        <v>741</v>
      </c>
      <c r="S98" s="18" t="s">
        <v>742</v>
      </c>
      <c r="T98" s="18">
        <v>99223</v>
      </c>
      <c r="U98" s="18" t="s">
        <v>743</v>
      </c>
      <c r="V98" s="18" t="s">
        <v>57</v>
      </c>
      <c r="W98" s="18" t="s">
        <v>98</v>
      </c>
      <c r="X98" s="18">
        <v>27447</v>
      </c>
      <c r="Y98" s="18">
        <v>115</v>
      </c>
      <c r="Z98" s="21">
        <v>16500</v>
      </c>
      <c r="AA98" s="22">
        <v>100</v>
      </c>
      <c r="AB98" s="23">
        <v>0.80</v>
      </c>
      <c r="AC98" s="24">
        <v>3300</v>
      </c>
      <c r="AD98" s="25">
        <v>800</v>
      </c>
      <c r="AE98" s="26">
        <v>4100</v>
      </c>
      <c r="AF98" s="27">
        <v>12400</v>
      </c>
      <c r="AG98" s="18" t="s">
        <v>80</v>
      </c>
      <c r="AH98" s="18" t="b">
        <v>1</v>
      </c>
      <c r="AI98" s="18">
        <v>45630</v>
      </c>
      <c r="AJ98" s="18" t="b">
        <v>0</v>
      </c>
      <c r="AK98" s="18" t="b">
        <v>1</v>
      </c>
      <c r="AL98" s="18" t="b">
        <v>1</v>
      </c>
      <c r="AM98" s="18" t="b">
        <v>0</v>
      </c>
      <c r="AN98" s="18" t="s">
        <v>1236</v>
      </c>
      <c r="AO98" s="18">
        <v>5</v>
      </c>
      <c r="AP98" s="18" t="s">
        <v>744</v>
      </c>
      <c r="AQ98" s="18">
        <v>84</v>
      </c>
      <c r="AR98" s="18" t="s">
        <v>172</v>
      </c>
      <c r="AS98" s="18" t="s">
        <v>745</v>
      </c>
      <c r="AT98" s="48">
        <v>20468</v>
      </c>
    </row>
    <row r="99" spans="3:46" ht="15">
      <c r="C99" s="3" t="s">
        <v>788</v>
      </c>
      <c r="D99" s="3" t="s">
        <v>1369</v>
      </c>
      <c r="E99" s="2">
        <v>35381</v>
      </c>
      <c r="F99" s="1" t="s">
        <v>67</v>
      </c>
      <c r="G99" s="1" t="s">
        <v>791</v>
      </c>
      <c r="H99" s="1" t="s">
        <v>69</v>
      </c>
      <c r="I99" s="1" t="s">
        <v>792</v>
      </c>
      <c r="J99" s="28">
        <v>45416</v>
      </c>
      <c r="K99" s="29">
        <v>0.58333333333333337</v>
      </c>
      <c r="L99" s="2" t="s">
        <v>92</v>
      </c>
      <c r="M99" s="1" t="s">
        <v>92</v>
      </c>
      <c r="N99" s="1" t="s">
        <v>73</v>
      </c>
      <c r="O99" s="1" t="s">
        <v>73</v>
      </c>
      <c r="P99" s="1" t="s">
        <v>74</v>
      </c>
      <c r="Q99" s="1" t="s">
        <v>1239</v>
      </c>
      <c r="R99" s="1" t="s">
        <v>793</v>
      </c>
      <c r="S99" s="1" t="s">
        <v>794</v>
      </c>
      <c r="T99" s="1">
        <v>99204</v>
      </c>
      <c r="U99" s="1" t="s">
        <v>795</v>
      </c>
      <c r="V99" s="1" t="s">
        <v>796</v>
      </c>
      <c r="W99" s="1" t="s">
        <v>57</v>
      </c>
      <c r="X99" s="1" t="s">
        <v>57</v>
      </c>
      <c r="Y99" s="1">
        <v>50</v>
      </c>
      <c r="Z99" s="17">
        <v>420</v>
      </c>
      <c r="AA99" s="8">
        <v>100</v>
      </c>
      <c r="AB99" s="9">
        <v>0.70</v>
      </c>
      <c r="AC99" s="7">
        <v>126</v>
      </c>
      <c r="AD99" s="15">
        <v>65</v>
      </c>
      <c r="AE99" s="16">
        <v>191</v>
      </c>
      <c r="AF99" s="14">
        <v>229</v>
      </c>
      <c r="AG99" s="1" t="s">
        <v>58</v>
      </c>
      <c r="AH99" s="1" t="b">
        <v>1</v>
      </c>
      <c r="AI99" s="1">
        <v>45417</v>
      </c>
      <c r="AJ99" s="1" t="b">
        <v>0</v>
      </c>
      <c r="AK99" s="1" t="b">
        <v>0</v>
      </c>
      <c r="AL99" s="1" t="b">
        <v>1</v>
      </c>
      <c r="AM99" s="1" t="b">
        <v>0</v>
      </c>
      <c r="AN99" s="1" t="s">
        <v>1236</v>
      </c>
      <c r="AO99" s="1">
        <v>4</v>
      </c>
      <c r="AP99" s="1" t="s">
        <v>797</v>
      </c>
      <c r="AQ99" s="1">
        <v>90</v>
      </c>
      <c r="AR99" s="1" t="s">
        <v>153</v>
      </c>
      <c r="AS99" s="1" t="s">
        <v>798</v>
      </c>
      <c r="AT99" s="33">
        <v>608.05999999999995</v>
      </c>
    </row>
    <row r="100" spans="3:46" ht="15">
      <c r="C100" s="19" t="s">
        <v>808</v>
      </c>
      <c r="D100" s="19" t="s">
        <v>1370</v>
      </c>
      <c r="E100" s="20">
        <v>28620</v>
      </c>
      <c r="F100" s="18" t="s">
        <v>67</v>
      </c>
      <c r="G100" s="18" t="s">
        <v>811</v>
      </c>
      <c r="H100" s="18" t="s">
        <v>69</v>
      </c>
      <c r="I100" s="18" t="s">
        <v>812</v>
      </c>
      <c r="J100" s="32">
        <v>45539</v>
      </c>
      <c r="K100" s="31">
        <v>0.64583333333333337</v>
      </c>
      <c r="L100" s="20" t="s">
        <v>144</v>
      </c>
      <c r="M100" s="18" t="s">
        <v>144</v>
      </c>
      <c r="N100" s="18" t="s">
        <v>145</v>
      </c>
      <c r="O100" s="18" t="s">
        <v>145</v>
      </c>
      <c r="P100" s="18" t="s">
        <v>146</v>
      </c>
      <c r="Q100" s="18" t="s">
        <v>147</v>
      </c>
      <c r="R100" s="18" t="s">
        <v>147</v>
      </c>
      <c r="S100" s="18" t="s">
        <v>148</v>
      </c>
      <c r="T100" s="18">
        <v>99222</v>
      </c>
      <c r="U100" s="18" t="s">
        <v>628</v>
      </c>
      <c r="V100" s="18" t="s">
        <v>57</v>
      </c>
      <c r="W100" s="18" t="s">
        <v>150</v>
      </c>
      <c r="X100" s="18">
        <v>44970</v>
      </c>
      <c r="Y100" s="18">
        <v>100</v>
      </c>
      <c r="Z100" s="21">
        <v>6100</v>
      </c>
      <c r="AA100" s="22">
        <v>100</v>
      </c>
      <c r="AB100" s="23">
        <v>0.75</v>
      </c>
      <c r="AC100" s="24">
        <v>1525</v>
      </c>
      <c r="AD100" s="25">
        <v>400</v>
      </c>
      <c r="AE100" s="26">
        <v>1925</v>
      </c>
      <c r="AF100" s="27">
        <v>4175</v>
      </c>
      <c r="AG100" s="18" t="s">
        <v>80</v>
      </c>
      <c r="AH100" s="18" t="b">
        <v>1</v>
      </c>
      <c r="AI100" s="18" t="s">
        <v>813</v>
      </c>
      <c r="AJ100" s="18" t="b">
        <v>0</v>
      </c>
      <c r="AK100" s="18" t="b">
        <v>1</v>
      </c>
      <c r="AL100" s="18" t="b">
        <v>1</v>
      </c>
      <c r="AM100" s="18" t="b">
        <v>0</v>
      </c>
      <c r="AN100" s="18" t="s">
        <v>1236</v>
      </c>
      <c r="AO100" s="18">
        <v>4</v>
      </c>
      <c r="AP100" s="18" t="s">
        <v>814</v>
      </c>
      <c r="AQ100" s="18">
        <v>87</v>
      </c>
      <c r="AR100" s="18" t="s">
        <v>153</v>
      </c>
      <c r="AS100" s="18" t="s">
        <v>815</v>
      </c>
      <c r="AT100" s="48">
        <v>7979.25</v>
      </c>
    </row>
    <row r="101" spans="3:46" ht="15">
      <c r="C101" s="3" t="s">
        <v>828</v>
      </c>
      <c r="D101" s="3" t="s">
        <v>1371</v>
      </c>
      <c r="E101" s="2" t="s">
        <v>831</v>
      </c>
      <c r="F101" s="1" t="s">
        <v>45</v>
      </c>
      <c r="G101" s="1" t="s">
        <v>832</v>
      </c>
      <c r="H101" s="1" t="s">
        <v>47</v>
      </c>
      <c r="I101" s="1" t="s">
        <v>833</v>
      </c>
      <c r="J101" s="28">
        <v>45600</v>
      </c>
      <c r="K101" s="29">
        <v>0.57291666666666663</v>
      </c>
      <c r="L101" s="2" t="s">
        <v>92</v>
      </c>
      <c r="M101" s="1" t="s">
        <v>92</v>
      </c>
      <c r="N101" s="1" t="s">
        <v>258</v>
      </c>
      <c r="O101" s="1" t="s">
        <v>258</v>
      </c>
      <c r="P101" s="1" t="s">
        <v>259</v>
      </c>
      <c r="Q101" s="1" t="s">
        <v>834</v>
      </c>
      <c r="R101" s="1" t="s">
        <v>834</v>
      </c>
      <c r="S101" s="1" t="s">
        <v>261</v>
      </c>
      <c r="T101" s="1">
        <v>99204</v>
      </c>
      <c r="U101" s="1" t="s">
        <v>835</v>
      </c>
      <c r="V101" s="1" t="s">
        <v>263</v>
      </c>
      <c r="W101" s="1" t="s">
        <v>57</v>
      </c>
      <c r="X101" s="1">
        <v>43235</v>
      </c>
      <c r="Y101" s="1">
        <v>60</v>
      </c>
      <c r="Z101" s="17">
        <v>950</v>
      </c>
      <c r="AA101" s="8">
        <v>100</v>
      </c>
      <c r="AB101" s="9">
        <v>0.80</v>
      </c>
      <c r="AC101" s="7">
        <v>190</v>
      </c>
      <c r="AD101" s="15">
        <v>60</v>
      </c>
      <c r="AE101" s="16">
        <v>250</v>
      </c>
      <c r="AF101" s="14">
        <v>700</v>
      </c>
      <c r="AG101" s="1" t="s">
        <v>118</v>
      </c>
      <c r="AH101" s="1" t="b">
        <v>1</v>
      </c>
      <c r="AI101" s="1">
        <v>45601</v>
      </c>
      <c r="AJ101" s="1" t="b">
        <v>0</v>
      </c>
      <c r="AK101" s="1" t="b">
        <v>0</v>
      </c>
      <c r="AL101" s="1" t="b">
        <v>1</v>
      </c>
      <c r="AM101" s="1" t="b">
        <v>0</v>
      </c>
      <c r="AN101" s="1" t="s">
        <v>1236</v>
      </c>
      <c r="AO101" s="1">
        <v>3</v>
      </c>
      <c r="AP101" s="1" t="s">
        <v>836</v>
      </c>
      <c r="AQ101" s="1">
        <v>86</v>
      </c>
      <c r="AR101" s="1" t="s">
        <v>61</v>
      </c>
      <c r="AS101" s="1" t="s">
        <v>837</v>
      </c>
      <c r="AT101" s="33">
        <v>1192.4000000000001</v>
      </c>
    </row>
    <row r="102" spans="3:46" ht="15">
      <c r="C102" s="19" t="s">
        <v>868</v>
      </c>
      <c r="D102" s="19" t="s">
        <v>1372</v>
      </c>
      <c r="E102" s="20">
        <v>23047</v>
      </c>
      <c r="F102" s="18" t="s">
        <v>45</v>
      </c>
      <c r="G102" s="18" t="s">
        <v>871</v>
      </c>
      <c r="H102" s="18" t="s">
        <v>89</v>
      </c>
      <c r="I102" s="18" t="s">
        <v>872</v>
      </c>
      <c r="J102" s="32" t="s">
        <v>873</v>
      </c>
      <c r="K102" s="31">
        <v>0.39583333333333331</v>
      </c>
      <c r="L102" s="20" t="s">
        <v>144</v>
      </c>
      <c r="M102" s="18" t="s">
        <v>144</v>
      </c>
      <c r="N102" s="18" t="s">
        <v>286</v>
      </c>
      <c r="O102" s="18" t="s">
        <v>286</v>
      </c>
      <c r="P102" s="18" t="s">
        <v>287</v>
      </c>
      <c r="Q102" s="18" t="s">
        <v>288</v>
      </c>
      <c r="R102" s="18" t="s">
        <v>288</v>
      </c>
      <c r="S102" s="18" t="s">
        <v>289</v>
      </c>
      <c r="T102" s="18">
        <v>99221</v>
      </c>
      <c r="U102" s="18" t="s">
        <v>290</v>
      </c>
      <c r="V102" s="18" t="s">
        <v>57</v>
      </c>
      <c r="W102" s="18" t="s">
        <v>57</v>
      </c>
      <c r="X102" s="18">
        <v>66984</v>
      </c>
      <c r="Y102" s="18">
        <v>80</v>
      </c>
      <c r="Z102" s="21">
        <v>3550</v>
      </c>
      <c r="AA102" s="22">
        <v>100</v>
      </c>
      <c r="AB102" s="23">
        <v>0.80</v>
      </c>
      <c r="AC102" s="24">
        <v>710</v>
      </c>
      <c r="AD102" s="25">
        <v>200</v>
      </c>
      <c r="AE102" s="26">
        <v>910</v>
      </c>
      <c r="AF102" s="27">
        <v>2640</v>
      </c>
      <c r="AG102" s="18" t="s">
        <v>80</v>
      </c>
      <c r="AH102" s="18" t="b">
        <v>1</v>
      </c>
      <c r="AI102" s="18">
        <v>45296</v>
      </c>
      <c r="AJ102" s="18" t="b">
        <v>0</v>
      </c>
      <c r="AK102" s="18" t="b">
        <v>1</v>
      </c>
      <c r="AL102" s="18" t="b">
        <v>1</v>
      </c>
      <c r="AM102" s="18" t="b">
        <v>0</v>
      </c>
      <c r="AN102" s="18" t="s">
        <v>1236</v>
      </c>
      <c r="AO102" s="18">
        <v>5</v>
      </c>
      <c r="AP102" s="18" t="s">
        <v>874</v>
      </c>
      <c r="AQ102" s="18">
        <v>91</v>
      </c>
      <c r="AR102" s="18" t="s">
        <v>172</v>
      </c>
      <c r="AS102" s="18" t="s">
        <v>875</v>
      </c>
      <c r="AT102" s="48">
        <v>4431.6000000000004</v>
      </c>
    </row>
    <row r="103" spans="3:46" ht="15">
      <c r="C103" s="3" t="s">
        <v>876</v>
      </c>
      <c r="D103" s="3" t="s">
        <v>1373</v>
      </c>
      <c r="E103" s="2" t="s">
        <v>879</v>
      </c>
      <c r="F103" s="1" t="s">
        <v>67</v>
      </c>
      <c r="G103" s="1" t="s">
        <v>880</v>
      </c>
      <c r="H103" s="1" t="s">
        <v>69</v>
      </c>
      <c r="I103" s="1" t="s">
        <v>881</v>
      </c>
      <c r="J103" s="28" t="s">
        <v>639</v>
      </c>
      <c r="K103" s="29">
        <v>0.61458333333333337</v>
      </c>
      <c r="L103" s="2" t="s">
        <v>92</v>
      </c>
      <c r="M103" s="1" t="s">
        <v>92</v>
      </c>
      <c r="N103" s="1" t="s">
        <v>346</v>
      </c>
      <c r="O103" s="1" t="s">
        <v>346</v>
      </c>
      <c r="P103" s="1" t="s">
        <v>347</v>
      </c>
      <c r="Q103" s="1" t="s">
        <v>348</v>
      </c>
      <c r="R103" s="1" t="s">
        <v>348</v>
      </c>
      <c r="S103" s="1" t="s">
        <v>349</v>
      </c>
      <c r="T103" s="1">
        <v>99203</v>
      </c>
      <c r="U103" s="1" t="s">
        <v>882</v>
      </c>
      <c r="V103" s="1" t="s">
        <v>351</v>
      </c>
      <c r="W103" s="1" t="s">
        <v>57</v>
      </c>
      <c r="X103" s="1" t="s">
        <v>57</v>
      </c>
      <c r="Y103" s="1">
        <v>35</v>
      </c>
      <c r="Z103" s="17">
        <v>210</v>
      </c>
      <c r="AA103" s="8">
        <v>100</v>
      </c>
      <c r="AB103" s="9">
        <v>0.75</v>
      </c>
      <c r="AC103" s="7">
        <v>52.5</v>
      </c>
      <c r="AD103" s="15">
        <v>35</v>
      </c>
      <c r="AE103" s="16">
        <v>87.5</v>
      </c>
      <c r="AF103" s="14">
        <v>122.5</v>
      </c>
      <c r="AG103" s="1" t="s">
        <v>58</v>
      </c>
      <c r="AH103" s="1" t="b">
        <v>1</v>
      </c>
      <c r="AI103" s="1" t="s">
        <v>883</v>
      </c>
      <c r="AJ103" s="1" t="b">
        <v>0</v>
      </c>
      <c r="AK103" s="1" t="b">
        <v>0</v>
      </c>
      <c r="AL103" s="1" t="b">
        <v>1</v>
      </c>
      <c r="AM103" s="1" t="b">
        <v>0</v>
      </c>
      <c r="AN103" s="1" t="s">
        <v>1236</v>
      </c>
      <c r="AO103" s="1">
        <v>4</v>
      </c>
      <c r="AP103" s="1" t="s">
        <v>884</v>
      </c>
      <c r="AQ103" s="1">
        <v>89</v>
      </c>
      <c r="AR103" s="1" t="s">
        <v>61</v>
      </c>
      <c r="AS103" s="1" t="s">
        <v>885</v>
      </c>
      <c r="AT103" s="33">
        <v>295.925</v>
      </c>
    </row>
    <row r="104" spans="3:46" ht="15">
      <c r="C104" s="19" t="s">
        <v>915</v>
      </c>
      <c r="D104" s="19" t="s">
        <v>1374</v>
      </c>
      <c r="E104" s="20" t="s">
        <v>918</v>
      </c>
      <c r="F104" s="18" t="s">
        <v>67</v>
      </c>
      <c r="G104" s="18" t="s">
        <v>919</v>
      </c>
      <c r="H104" s="18" t="s">
        <v>47</v>
      </c>
      <c r="I104" s="18" t="s">
        <v>920</v>
      </c>
      <c r="J104" s="32" t="s">
        <v>921</v>
      </c>
      <c r="K104" s="31">
        <v>0.53125</v>
      </c>
      <c r="L104" s="20" t="s">
        <v>92</v>
      </c>
      <c r="M104" s="18" t="s">
        <v>92</v>
      </c>
      <c r="N104" s="18" t="s">
        <v>245</v>
      </c>
      <c r="O104" s="18" t="s">
        <v>245</v>
      </c>
      <c r="P104" s="18" t="s">
        <v>246</v>
      </c>
      <c r="Q104" s="18" t="s">
        <v>922</v>
      </c>
      <c r="R104" s="18" t="s">
        <v>922</v>
      </c>
      <c r="S104" s="18" t="s">
        <v>923</v>
      </c>
      <c r="T104" s="18">
        <v>99204</v>
      </c>
      <c r="U104" s="18" t="s">
        <v>924</v>
      </c>
      <c r="V104" s="18" t="s">
        <v>57</v>
      </c>
      <c r="W104" s="18" t="s">
        <v>57</v>
      </c>
      <c r="X104" s="18" t="s">
        <v>57</v>
      </c>
      <c r="Y104" s="18">
        <v>40</v>
      </c>
      <c r="Z104" s="21">
        <v>290</v>
      </c>
      <c r="AA104" s="22">
        <v>100</v>
      </c>
      <c r="AB104" s="23">
        <v>0.85</v>
      </c>
      <c r="AC104" s="24">
        <v>43.5</v>
      </c>
      <c r="AD104" s="25">
        <v>30</v>
      </c>
      <c r="AE104" s="26">
        <v>73.5</v>
      </c>
      <c r="AF104" s="27">
        <v>216.5</v>
      </c>
      <c r="AG104" s="18" t="s">
        <v>58</v>
      </c>
      <c r="AH104" s="18" t="b">
        <v>1</v>
      </c>
      <c r="AI104" s="18" t="s">
        <v>925</v>
      </c>
      <c r="AJ104" s="18" t="b">
        <v>0</v>
      </c>
      <c r="AK104" s="18" t="b">
        <v>0</v>
      </c>
      <c r="AL104" s="18" t="b">
        <v>1</v>
      </c>
      <c r="AM104" s="18" t="b">
        <v>0</v>
      </c>
      <c r="AN104" s="18" t="s">
        <v>1236</v>
      </c>
      <c r="AO104" s="18">
        <v>4</v>
      </c>
      <c r="AP104" s="18" t="s">
        <v>926</v>
      </c>
      <c r="AQ104" s="18">
        <v>90</v>
      </c>
      <c r="AR104" s="18" t="s">
        <v>61</v>
      </c>
      <c r="AS104" s="18" t="s">
        <v>927</v>
      </c>
      <c r="AT104" s="48">
        <v>361.035</v>
      </c>
    </row>
    <row r="105" spans="3:46" ht="15">
      <c r="C105" s="3" t="s">
        <v>928</v>
      </c>
      <c r="D105" s="3" t="s">
        <v>1375</v>
      </c>
      <c r="E105" s="2">
        <v>24691</v>
      </c>
      <c r="F105" s="1" t="s">
        <v>45</v>
      </c>
      <c r="G105" s="1" t="s">
        <v>931</v>
      </c>
      <c r="H105" s="1" t="s">
        <v>89</v>
      </c>
      <c r="I105" s="1" t="s">
        <v>932</v>
      </c>
      <c r="J105" s="28" t="s">
        <v>933</v>
      </c>
      <c r="K105" s="29">
        <v>0.625</v>
      </c>
      <c r="L105" s="2" t="s">
        <v>144</v>
      </c>
      <c r="M105" s="1" t="s">
        <v>144</v>
      </c>
      <c r="N105" s="1" t="s">
        <v>93</v>
      </c>
      <c r="O105" s="1" t="s">
        <v>93</v>
      </c>
      <c r="P105" s="1" t="s">
        <v>94</v>
      </c>
      <c r="Q105" s="1" t="s">
        <v>934</v>
      </c>
      <c r="R105" s="1" t="s">
        <v>934</v>
      </c>
      <c r="S105" s="1" t="s">
        <v>935</v>
      </c>
      <c r="T105" s="1">
        <v>99222</v>
      </c>
      <c r="U105" s="1" t="s">
        <v>936</v>
      </c>
      <c r="V105" s="1" t="s">
        <v>57</v>
      </c>
      <c r="W105" s="1" t="s">
        <v>937</v>
      </c>
      <c r="X105" s="1">
        <v>29827</v>
      </c>
      <c r="Y105" s="1">
        <v>90</v>
      </c>
      <c r="Z105" s="17">
        <v>8200</v>
      </c>
      <c r="AA105" s="8">
        <v>100</v>
      </c>
      <c r="AB105" s="9">
        <v>0.80</v>
      </c>
      <c r="AC105" s="7">
        <v>1640</v>
      </c>
      <c r="AD105" s="15">
        <v>400</v>
      </c>
      <c r="AE105" s="16">
        <v>2040</v>
      </c>
      <c r="AF105" s="14">
        <v>6160</v>
      </c>
      <c r="AG105" s="1" t="s">
        <v>80</v>
      </c>
      <c r="AH105" s="1" t="b">
        <v>1</v>
      </c>
      <c r="AI105" s="1">
        <v>45540</v>
      </c>
      <c r="AJ105" s="1" t="b">
        <v>0</v>
      </c>
      <c r="AK105" s="1" t="b">
        <v>1</v>
      </c>
      <c r="AL105" s="1" t="b">
        <v>1</v>
      </c>
      <c r="AM105" s="1" t="b">
        <v>0</v>
      </c>
      <c r="AN105" s="1" t="s">
        <v>1236</v>
      </c>
      <c r="AO105" s="1">
        <v>5</v>
      </c>
      <c r="AP105" s="1" t="s">
        <v>938</v>
      </c>
      <c r="AQ105" s="1">
        <v>85</v>
      </c>
      <c r="AR105" s="1" t="s">
        <v>172</v>
      </c>
      <c r="AS105" s="1" t="s">
        <v>939</v>
      </c>
      <c r="AT105" s="33">
        <v>10174.40</v>
      </c>
    </row>
    <row r="106" spans="3:46" ht="15">
      <c r="C106" s="19" t="s">
        <v>986</v>
      </c>
      <c r="D106" s="19" t="s">
        <v>1376</v>
      </c>
      <c r="E106" s="20">
        <v>35653</v>
      </c>
      <c r="F106" s="18" t="s">
        <v>67</v>
      </c>
      <c r="G106" s="18" t="s">
        <v>989</v>
      </c>
      <c r="H106" s="18" t="s">
        <v>69</v>
      </c>
      <c r="I106" s="18" t="s">
        <v>990</v>
      </c>
      <c r="J106" s="32">
        <v>45327</v>
      </c>
      <c r="K106" s="31">
        <v>0.36458333333333331</v>
      </c>
      <c r="L106" s="20" t="s">
        <v>92</v>
      </c>
      <c r="M106" s="18" t="s">
        <v>92</v>
      </c>
      <c r="N106" s="18" t="s">
        <v>194</v>
      </c>
      <c r="O106" s="18" t="s">
        <v>194</v>
      </c>
      <c r="P106" s="18" t="s">
        <v>195</v>
      </c>
      <c r="Q106" s="18" t="s">
        <v>427</v>
      </c>
      <c r="R106" s="18" t="s">
        <v>427</v>
      </c>
      <c r="S106" s="18" t="s">
        <v>428</v>
      </c>
      <c r="T106" s="18">
        <v>99204</v>
      </c>
      <c r="U106" s="18" t="s">
        <v>429</v>
      </c>
      <c r="V106" s="18" t="s">
        <v>430</v>
      </c>
      <c r="W106" s="18" t="s">
        <v>57</v>
      </c>
      <c r="X106" s="18" t="s">
        <v>57</v>
      </c>
      <c r="Y106" s="18">
        <v>50</v>
      </c>
      <c r="Z106" s="21">
        <v>410</v>
      </c>
      <c r="AA106" s="22">
        <v>100</v>
      </c>
      <c r="AB106" s="23">
        <v>0.75</v>
      </c>
      <c r="AC106" s="24">
        <v>102.5</v>
      </c>
      <c r="AD106" s="25">
        <v>55</v>
      </c>
      <c r="AE106" s="26">
        <v>157.5</v>
      </c>
      <c r="AF106" s="27">
        <v>252.5</v>
      </c>
      <c r="AG106" s="18" t="s">
        <v>58</v>
      </c>
      <c r="AH106" s="18" t="b">
        <v>1</v>
      </c>
      <c r="AI106" s="18">
        <v>45328</v>
      </c>
      <c r="AJ106" s="18" t="b">
        <v>0</v>
      </c>
      <c r="AK106" s="18" t="b">
        <v>0</v>
      </c>
      <c r="AL106" s="18" t="b">
        <v>1</v>
      </c>
      <c r="AM106" s="18" t="b">
        <v>0</v>
      </c>
      <c r="AN106" s="18" t="s">
        <v>1236</v>
      </c>
      <c r="AO106" s="18">
        <v>4</v>
      </c>
      <c r="AP106" s="18" t="s">
        <v>991</v>
      </c>
      <c r="AQ106" s="18">
        <v>89</v>
      </c>
      <c r="AR106" s="18" t="s">
        <v>153</v>
      </c>
      <c r="AS106" s="18" t="s">
        <v>992</v>
      </c>
      <c r="AT106" s="48">
        <v>564.42499999999995</v>
      </c>
    </row>
    <row r="107" spans="3:46" ht="15">
      <c r="C107" s="3" t="s">
        <v>1001</v>
      </c>
      <c r="D107" s="3" t="s">
        <v>1377</v>
      </c>
      <c r="E107" s="2" t="s">
        <v>1003</v>
      </c>
      <c r="F107" s="1" t="s">
        <v>67</v>
      </c>
      <c r="G107" s="1" t="s">
        <v>1004</v>
      </c>
      <c r="H107" s="1" t="s">
        <v>47</v>
      </c>
      <c r="I107" s="1" t="s">
        <v>1005</v>
      </c>
      <c r="J107" s="28">
        <v>45448</v>
      </c>
      <c r="K107" s="29">
        <v>0.38541666666666669</v>
      </c>
      <c r="L107" s="2" t="s">
        <v>144</v>
      </c>
      <c r="M107" s="1" t="s">
        <v>144</v>
      </c>
      <c r="N107" s="1" t="s">
        <v>145</v>
      </c>
      <c r="O107" s="1" t="s">
        <v>145</v>
      </c>
      <c r="P107" s="1" t="s">
        <v>146</v>
      </c>
      <c r="Q107" s="1" t="s">
        <v>371</v>
      </c>
      <c r="R107" s="1" t="s">
        <v>371</v>
      </c>
      <c r="S107" s="1" t="s">
        <v>372</v>
      </c>
      <c r="T107" s="1">
        <v>99222</v>
      </c>
      <c r="U107" s="1" t="s">
        <v>373</v>
      </c>
      <c r="V107" s="1" t="s">
        <v>57</v>
      </c>
      <c r="W107" s="1" t="s">
        <v>374</v>
      </c>
      <c r="X107" s="1">
        <v>47600</v>
      </c>
      <c r="Y107" s="1">
        <v>90</v>
      </c>
      <c r="Z107" s="17">
        <v>9500</v>
      </c>
      <c r="AA107" s="8">
        <v>100</v>
      </c>
      <c r="AB107" s="9">
        <v>0.75</v>
      </c>
      <c r="AC107" s="7">
        <v>2375</v>
      </c>
      <c r="AD107" s="15">
        <v>600</v>
      </c>
      <c r="AE107" s="16">
        <v>2975</v>
      </c>
      <c r="AF107" s="14">
        <v>6525</v>
      </c>
      <c r="AG107" s="1" t="s">
        <v>80</v>
      </c>
      <c r="AH107" s="1" t="b">
        <v>1</v>
      </c>
      <c r="AI107" s="1" t="s">
        <v>1006</v>
      </c>
      <c r="AJ107" s="1" t="b">
        <v>0</v>
      </c>
      <c r="AK107" s="1" t="b">
        <v>1</v>
      </c>
      <c r="AL107" s="1" t="b">
        <v>1</v>
      </c>
      <c r="AM107" s="1" t="b">
        <v>0</v>
      </c>
      <c r="AN107" s="1" t="s">
        <v>1236</v>
      </c>
      <c r="AO107" s="1">
        <v>4</v>
      </c>
      <c r="AP107" s="1" t="s">
        <v>1007</v>
      </c>
      <c r="AQ107" s="1">
        <v>86</v>
      </c>
      <c r="AR107" s="1" t="s">
        <v>153</v>
      </c>
      <c r="AS107" s="1" t="s">
        <v>1008</v>
      </c>
      <c r="AT107" s="33">
        <v>12403.75</v>
      </c>
    </row>
    <row r="108" spans="3:46" ht="15">
      <c r="C108" s="19" t="s">
        <v>1017</v>
      </c>
      <c r="D108" s="19" t="s">
        <v>1378</v>
      </c>
      <c r="E108" s="20">
        <v>33912</v>
      </c>
      <c r="F108" s="18" t="s">
        <v>67</v>
      </c>
      <c r="G108" s="18" t="s">
        <v>1020</v>
      </c>
      <c r="H108" s="18" t="s">
        <v>69</v>
      </c>
      <c r="I108" s="18" t="s">
        <v>1021</v>
      </c>
      <c r="J108" s="32">
        <v>45509</v>
      </c>
      <c r="K108" s="31">
        <v>0.45833333333333331</v>
      </c>
      <c r="L108" s="20" t="s">
        <v>92</v>
      </c>
      <c r="M108" s="18" t="s">
        <v>92</v>
      </c>
      <c r="N108" s="18" t="s">
        <v>245</v>
      </c>
      <c r="O108" s="18" t="s">
        <v>245</v>
      </c>
      <c r="P108" s="18" t="s">
        <v>246</v>
      </c>
      <c r="Q108" s="18" t="s">
        <v>396</v>
      </c>
      <c r="R108" s="18" t="s">
        <v>396</v>
      </c>
      <c r="S108" s="18" t="s">
        <v>397</v>
      </c>
      <c r="T108" s="18">
        <v>99203</v>
      </c>
      <c r="U108" s="18" t="s">
        <v>1022</v>
      </c>
      <c r="V108" s="18" t="s">
        <v>57</v>
      </c>
      <c r="W108" s="18" t="s">
        <v>57</v>
      </c>
      <c r="X108" s="18" t="s">
        <v>57</v>
      </c>
      <c r="Y108" s="18">
        <v>30</v>
      </c>
      <c r="Z108" s="21">
        <v>220</v>
      </c>
      <c r="AA108" s="22">
        <v>100</v>
      </c>
      <c r="AB108" s="23">
        <v>0.85</v>
      </c>
      <c r="AC108" s="24">
        <v>33</v>
      </c>
      <c r="AD108" s="25">
        <v>25</v>
      </c>
      <c r="AE108" s="26">
        <v>58</v>
      </c>
      <c r="AF108" s="27">
        <v>162</v>
      </c>
      <c r="AG108" s="18" t="s">
        <v>118</v>
      </c>
      <c r="AH108" s="18" t="b">
        <v>1</v>
      </c>
      <c r="AI108" s="18">
        <v>45510</v>
      </c>
      <c r="AJ108" s="18" t="b">
        <v>0</v>
      </c>
      <c r="AK108" s="18" t="b">
        <v>0</v>
      </c>
      <c r="AL108" s="18" t="b">
        <v>1</v>
      </c>
      <c r="AM108" s="18" t="b">
        <v>0</v>
      </c>
      <c r="AN108" s="18" t="s">
        <v>1236</v>
      </c>
      <c r="AO108" s="18">
        <v>3</v>
      </c>
      <c r="AP108" s="18" t="s">
        <v>1023</v>
      </c>
      <c r="AQ108" s="18">
        <v>89</v>
      </c>
      <c r="AR108" s="18" t="s">
        <v>61</v>
      </c>
      <c r="AS108" s="18" t="s">
        <v>1024</v>
      </c>
      <c r="AT108" s="48">
        <v>276.13</v>
      </c>
    </row>
    <row r="109" spans="3:46" ht="15">
      <c r="C109" s="3" t="s">
        <v>1041</v>
      </c>
      <c r="D109" s="3" t="s">
        <v>1379</v>
      </c>
      <c r="E109" s="2" t="s">
        <v>1044</v>
      </c>
      <c r="F109" s="1" t="s">
        <v>45</v>
      </c>
      <c r="G109" s="1" t="s">
        <v>1045</v>
      </c>
      <c r="H109" s="1" t="s">
        <v>69</v>
      </c>
      <c r="I109" s="1" t="s">
        <v>1046</v>
      </c>
      <c r="J109" s="28" t="s">
        <v>1047</v>
      </c>
      <c r="K109" s="29">
        <v>0.69791666666666663</v>
      </c>
      <c r="L109" s="2" t="s">
        <v>1238</v>
      </c>
      <c r="M109" s="1" t="s">
        <v>72</v>
      </c>
      <c r="N109" s="1" t="s">
        <v>258</v>
      </c>
      <c r="O109" s="1" t="s">
        <v>258</v>
      </c>
      <c r="P109" s="1" t="s">
        <v>259</v>
      </c>
      <c r="Q109" s="1" t="s">
        <v>1241</v>
      </c>
      <c r="R109" s="1" t="s">
        <v>1048</v>
      </c>
      <c r="S109" s="1" t="s">
        <v>647</v>
      </c>
      <c r="T109" s="1">
        <v>99213</v>
      </c>
      <c r="U109" s="1" t="s">
        <v>1049</v>
      </c>
      <c r="V109" s="1" t="s">
        <v>1050</v>
      </c>
      <c r="W109" s="1" t="s">
        <v>57</v>
      </c>
      <c r="X109" s="1" t="s">
        <v>57</v>
      </c>
      <c r="Y109" s="1">
        <v>65</v>
      </c>
      <c r="Z109" s="17">
        <v>1200</v>
      </c>
      <c r="AA109" s="8">
        <v>100</v>
      </c>
      <c r="AB109" s="9">
        <v>0.70</v>
      </c>
      <c r="AC109" s="7">
        <v>360</v>
      </c>
      <c r="AD109" s="15">
        <v>100</v>
      </c>
      <c r="AE109" s="16">
        <v>460</v>
      </c>
      <c r="AF109" s="14">
        <v>740</v>
      </c>
      <c r="AG109" s="1" t="s">
        <v>58</v>
      </c>
      <c r="AH109" s="1" t="b">
        <v>1</v>
      </c>
      <c r="AI109" s="1" t="s">
        <v>1051</v>
      </c>
      <c r="AJ109" s="1" t="b">
        <v>0</v>
      </c>
      <c r="AK109" s="1" t="b">
        <v>0</v>
      </c>
      <c r="AL109" s="1" t="b">
        <v>1</v>
      </c>
      <c r="AM109" s="1" t="b">
        <v>1</v>
      </c>
      <c r="AN109" s="1" t="s">
        <v>1052</v>
      </c>
      <c r="AO109" s="1">
        <v>3</v>
      </c>
      <c r="AP109" s="1" t="s">
        <v>1053</v>
      </c>
      <c r="AQ109" s="1">
        <v>85</v>
      </c>
      <c r="AR109" s="1" t="s">
        <v>172</v>
      </c>
      <c r="AS109" s="1" t="s">
        <v>1054</v>
      </c>
      <c r="AT109" s="33">
        <v>1651.60</v>
      </c>
    </row>
    <row r="110" spans="3:46" ht="15">
      <c r="C110" s="19" t="s">
        <v>1066</v>
      </c>
      <c r="D110" s="19" t="s">
        <v>1380</v>
      </c>
      <c r="E110" s="20">
        <v>18386</v>
      </c>
      <c r="F110" s="18" t="s">
        <v>45</v>
      </c>
      <c r="G110" s="18" t="s">
        <v>1069</v>
      </c>
      <c r="H110" s="18" t="s">
        <v>89</v>
      </c>
      <c r="I110" s="18" t="s">
        <v>1070</v>
      </c>
      <c r="J110" s="32" t="s">
        <v>1071</v>
      </c>
      <c r="K110" s="31">
        <v>0.58333333333333337</v>
      </c>
      <c r="L110" s="20" t="s">
        <v>144</v>
      </c>
      <c r="M110" s="18" t="s">
        <v>144</v>
      </c>
      <c r="N110" s="18" t="s">
        <v>286</v>
      </c>
      <c r="O110" s="18" t="s">
        <v>286</v>
      </c>
      <c r="P110" s="18" t="s">
        <v>287</v>
      </c>
      <c r="Q110" s="18" t="s">
        <v>288</v>
      </c>
      <c r="R110" s="18" t="s">
        <v>288</v>
      </c>
      <c r="S110" s="18" t="s">
        <v>289</v>
      </c>
      <c r="T110" s="18">
        <v>99221</v>
      </c>
      <c r="U110" s="18" t="s">
        <v>290</v>
      </c>
      <c r="V110" s="18" t="s">
        <v>57</v>
      </c>
      <c r="W110" s="18" t="s">
        <v>57</v>
      </c>
      <c r="X110" s="18">
        <v>66984</v>
      </c>
      <c r="Y110" s="18">
        <v>85</v>
      </c>
      <c r="Z110" s="21">
        <v>3650</v>
      </c>
      <c r="AA110" s="22">
        <v>100</v>
      </c>
      <c r="AB110" s="23">
        <v>0.80</v>
      </c>
      <c r="AC110" s="24">
        <v>730</v>
      </c>
      <c r="AD110" s="25">
        <v>200</v>
      </c>
      <c r="AE110" s="26">
        <v>930</v>
      </c>
      <c r="AF110" s="27">
        <v>2720</v>
      </c>
      <c r="AG110" s="18" t="s">
        <v>80</v>
      </c>
      <c r="AH110" s="18" t="b">
        <v>1</v>
      </c>
      <c r="AI110" s="18" t="s">
        <v>961</v>
      </c>
      <c r="AJ110" s="18" t="b">
        <v>0</v>
      </c>
      <c r="AK110" s="18" t="b">
        <v>1</v>
      </c>
      <c r="AL110" s="18" t="b">
        <v>1</v>
      </c>
      <c r="AM110" s="18" t="b">
        <v>0</v>
      </c>
      <c r="AN110" s="18" t="s">
        <v>1236</v>
      </c>
      <c r="AO110" s="18">
        <v>5</v>
      </c>
      <c r="AP110" s="18" t="s">
        <v>1072</v>
      </c>
      <c r="AQ110" s="18">
        <v>90</v>
      </c>
      <c r="AR110" s="18" t="s">
        <v>172</v>
      </c>
      <c r="AS110" s="18" t="s">
        <v>1073</v>
      </c>
      <c r="AT110" s="48">
        <v>4550.80</v>
      </c>
    </row>
    <row r="111" spans="3:46" ht="15">
      <c r="C111" s="3" t="s">
        <v>1074</v>
      </c>
      <c r="D111" s="3" t="s">
        <v>1381</v>
      </c>
      <c r="E111" s="2" t="s">
        <v>1077</v>
      </c>
      <c r="F111" s="1" t="s">
        <v>67</v>
      </c>
      <c r="G111" s="1" t="s">
        <v>1078</v>
      </c>
      <c r="H111" s="1" t="s">
        <v>69</v>
      </c>
      <c r="I111" s="1" t="s">
        <v>1079</v>
      </c>
      <c r="J111" s="28" t="s">
        <v>865</v>
      </c>
      <c r="K111" s="29">
        <v>0.44791666666666669</v>
      </c>
      <c r="L111" s="2" t="s">
        <v>92</v>
      </c>
      <c r="M111" s="1" t="s">
        <v>92</v>
      </c>
      <c r="N111" s="1" t="s">
        <v>346</v>
      </c>
      <c r="O111" s="1" t="s">
        <v>346</v>
      </c>
      <c r="P111" s="1" t="s">
        <v>347</v>
      </c>
      <c r="Q111" s="1" t="s">
        <v>1080</v>
      </c>
      <c r="R111" s="1" t="s">
        <v>1080</v>
      </c>
      <c r="S111" s="1" t="s">
        <v>1081</v>
      </c>
      <c r="T111" s="1">
        <v>99204</v>
      </c>
      <c r="U111" s="1" t="s">
        <v>1082</v>
      </c>
      <c r="V111" s="1" t="s">
        <v>351</v>
      </c>
      <c r="W111" s="1" t="s">
        <v>57</v>
      </c>
      <c r="X111" s="1" t="s">
        <v>57</v>
      </c>
      <c r="Y111" s="1">
        <v>45</v>
      </c>
      <c r="Z111" s="17">
        <v>330</v>
      </c>
      <c r="AA111" s="8">
        <v>100</v>
      </c>
      <c r="AB111" s="9">
        <v>0.75</v>
      </c>
      <c r="AC111" s="7">
        <v>82.5</v>
      </c>
      <c r="AD111" s="15">
        <v>50</v>
      </c>
      <c r="AE111" s="16">
        <v>132.5</v>
      </c>
      <c r="AF111" s="14">
        <v>197.5</v>
      </c>
      <c r="AG111" s="1" t="s">
        <v>118</v>
      </c>
      <c r="AH111" s="1" t="b">
        <v>1</v>
      </c>
      <c r="AI111" s="1" t="s">
        <v>1083</v>
      </c>
      <c r="AJ111" s="1" t="b">
        <v>0</v>
      </c>
      <c r="AK111" s="1" t="b">
        <v>0</v>
      </c>
      <c r="AL111" s="1" t="b">
        <v>1</v>
      </c>
      <c r="AM111" s="1" t="b">
        <v>0</v>
      </c>
      <c r="AN111" s="1" t="s">
        <v>1236</v>
      </c>
      <c r="AO111" s="1">
        <v>4</v>
      </c>
      <c r="AP111" s="1" t="s">
        <v>1084</v>
      </c>
      <c r="AQ111" s="1">
        <v>91</v>
      </c>
      <c r="AR111" s="1" t="s">
        <v>61</v>
      </c>
      <c r="AS111" s="1" t="s">
        <v>1085</v>
      </c>
      <c r="AT111" s="33">
        <v>460.02500000000003</v>
      </c>
    </row>
    <row r="112" spans="3:46" ht="15">
      <c r="C112" s="19" t="s">
        <v>1118</v>
      </c>
      <c r="D112" s="19" t="s">
        <v>1382</v>
      </c>
      <c r="E112" s="20" t="s">
        <v>1121</v>
      </c>
      <c r="F112" s="18" t="s">
        <v>67</v>
      </c>
      <c r="G112" s="18" t="s">
        <v>1122</v>
      </c>
      <c r="H112" s="18" t="s">
        <v>47</v>
      </c>
      <c r="I112" s="18" t="s">
        <v>1123</v>
      </c>
      <c r="J112" s="32" t="s">
        <v>1124</v>
      </c>
      <c r="K112" s="31">
        <v>0.5</v>
      </c>
      <c r="L112" s="20" t="s">
        <v>92</v>
      </c>
      <c r="M112" s="18" t="s">
        <v>92</v>
      </c>
      <c r="N112" s="18" t="s">
        <v>321</v>
      </c>
      <c r="O112" s="18" t="s">
        <v>321</v>
      </c>
      <c r="P112" s="18" t="s">
        <v>322</v>
      </c>
      <c r="Q112" s="18" t="s">
        <v>323</v>
      </c>
      <c r="R112" s="18" t="s">
        <v>323</v>
      </c>
      <c r="S112" s="18" t="s">
        <v>324</v>
      </c>
      <c r="T112" s="18">
        <v>99204</v>
      </c>
      <c r="U112" s="18" t="s">
        <v>1125</v>
      </c>
      <c r="V112" s="18" t="s">
        <v>57</v>
      </c>
      <c r="W112" s="18" t="s">
        <v>57</v>
      </c>
      <c r="X112" s="18" t="s">
        <v>57</v>
      </c>
      <c r="Y112" s="18">
        <v>50</v>
      </c>
      <c r="Z112" s="21">
        <v>310</v>
      </c>
      <c r="AA112" s="22">
        <v>100</v>
      </c>
      <c r="AB112" s="23">
        <v>0.85</v>
      </c>
      <c r="AC112" s="24">
        <v>46.5</v>
      </c>
      <c r="AD112" s="25">
        <v>30</v>
      </c>
      <c r="AE112" s="26">
        <v>76.5</v>
      </c>
      <c r="AF112" s="27">
        <v>233.5</v>
      </c>
      <c r="AG112" s="18" t="s">
        <v>58</v>
      </c>
      <c r="AH112" s="18" t="b">
        <v>1</v>
      </c>
      <c r="AI112" s="18" t="s">
        <v>1126</v>
      </c>
      <c r="AJ112" s="18" t="b">
        <v>0</v>
      </c>
      <c r="AK112" s="18" t="b">
        <v>0</v>
      </c>
      <c r="AL112" s="18" t="b">
        <v>1</v>
      </c>
      <c r="AM112" s="18" t="b">
        <v>0</v>
      </c>
      <c r="AN112" s="18" t="s">
        <v>1236</v>
      </c>
      <c r="AO112" s="18">
        <v>4</v>
      </c>
      <c r="AP112" s="18" t="s">
        <v>1127</v>
      </c>
      <c r="AQ112" s="18">
        <v>89</v>
      </c>
      <c r="AR112" s="18" t="s">
        <v>61</v>
      </c>
      <c r="AS112" s="18" t="s">
        <v>1128</v>
      </c>
      <c r="AT112" s="48">
        <v>383.865</v>
      </c>
    </row>
    <row r="113" spans="3:46" ht="15">
      <c r="C113" s="3" t="s">
        <v>1129</v>
      </c>
      <c r="D113" s="3" t="s">
        <v>1383</v>
      </c>
      <c r="E113" s="2">
        <v>21499</v>
      </c>
      <c r="F113" s="1" t="s">
        <v>45</v>
      </c>
      <c r="G113" s="1" t="s">
        <v>1132</v>
      </c>
      <c r="H113" s="1" t="s">
        <v>89</v>
      </c>
      <c r="I113" s="1" t="s">
        <v>1133</v>
      </c>
      <c r="J113" s="28" t="s">
        <v>1134</v>
      </c>
      <c r="K113" s="29">
        <v>0.65625</v>
      </c>
      <c r="L113" s="2" t="s">
        <v>144</v>
      </c>
      <c r="M113" s="1" t="s">
        <v>144</v>
      </c>
      <c r="N113" s="1" t="s">
        <v>93</v>
      </c>
      <c r="O113" s="1" t="s">
        <v>93</v>
      </c>
      <c r="P113" s="1" t="s">
        <v>94</v>
      </c>
      <c r="Q113" s="1" t="s">
        <v>1135</v>
      </c>
      <c r="R113" s="1" t="s">
        <v>1135</v>
      </c>
      <c r="S113" s="1" t="s">
        <v>1136</v>
      </c>
      <c r="T113" s="1">
        <v>99223</v>
      </c>
      <c r="U113" s="1" t="s">
        <v>1137</v>
      </c>
      <c r="V113" s="1" t="s">
        <v>57</v>
      </c>
      <c r="W113" s="1" t="s">
        <v>519</v>
      </c>
      <c r="X113" s="1">
        <v>27244</v>
      </c>
      <c r="Y113" s="1">
        <v>120</v>
      </c>
      <c r="Z113" s="17">
        <v>14200</v>
      </c>
      <c r="AA113" s="8">
        <v>100</v>
      </c>
      <c r="AB113" s="9">
        <v>0.80</v>
      </c>
      <c r="AC113" s="7">
        <v>2840</v>
      </c>
      <c r="AD113" s="15">
        <v>800</v>
      </c>
      <c r="AE113" s="16">
        <v>3640</v>
      </c>
      <c r="AF113" s="14">
        <v>10560</v>
      </c>
      <c r="AG113" s="1" t="s">
        <v>80</v>
      </c>
      <c r="AH113" s="1" t="b">
        <v>1</v>
      </c>
      <c r="AI113" s="1">
        <v>45449</v>
      </c>
      <c r="AJ113" s="1" t="b">
        <v>0</v>
      </c>
      <c r="AK113" s="1" t="b">
        <v>1</v>
      </c>
      <c r="AL113" s="1" t="b">
        <v>1</v>
      </c>
      <c r="AM113" s="1" t="b">
        <v>0</v>
      </c>
      <c r="AN113" s="1" t="s">
        <v>1236</v>
      </c>
      <c r="AO113" s="1">
        <v>5</v>
      </c>
      <c r="AP113" s="1" t="s">
        <v>1138</v>
      </c>
      <c r="AQ113" s="1">
        <v>83</v>
      </c>
      <c r="AR113" s="1" t="s">
        <v>172</v>
      </c>
      <c r="AS113" s="1" t="s">
        <v>1139</v>
      </c>
      <c r="AT113" s="33">
        <v>17726.400000000001</v>
      </c>
    </row>
    <row r="114" spans="3:46" ht="15">
      <c r="C114" s="49" t="s">
        <v>1174</v>
      </c>
      <c r="D114" s="49" t="s">
        <v>1384</v>
      </c>
      <c r="E114" s="51">
        <v>35410</v>
      </c>
      <c r="F114" s="50" t="s">
        <v>67</v>
      </c>
      <c r="G114" s="50" t="s">
        <v>1176</v>
      </c>
      <c r="H114" s="50" t="s">
        <v>69</v>
      </c>
      <c r="I114" s="50" t="s">
        <v>1177</v>
      </c>
      <c r="J114" s="52" t="s">
        <v>1178</v>
      </c>
      <c r="K114" s="53">
        <v>0.58333333333333337</v>
      </c>
      <c r="L114" s="51" t="s">
        <v>92</v>
      </c>
      <c r="M114" s="50" t="s">
        <v>92</v>
      </c>
      <c r="N114" s="50" t="s">
        <v>194</v>
      </c>
      <c r="O114" s="50" t="s">
        <v>194</v>
      </c>
      <c r="P114" s="50" t="s">
        <v>195</v>
      </c>
      <c r="Q114" s="50" t="s">
        <v>1179</v>
      </c>
      <c r="R114" s="50" t="s">
        <v>1179</v>
      </c>
      <c r="S114" s="50" t="s">
        <v>1180</v>
      </c>
      <c r="T114" s="50">
        <v>99204</v>
      </c>
      <c r="U114" s="50" t="s">
        <v>1181</v>
      </c>
      <c r="V114" s="50" t="s">
        <v>57</v>
      </c>
      <c r="W114" s="50" t="s">
        <v>1182</v>
      </c>
      <c r="X114" s="50" t="s">
        <v>57</v>
      </c>
      <c r="Y114" s="50">
        <v>60</v>
      </c>
      <c r="Z114" s="54">
        <v>850</v>
      </c>
      <c r="AA114" s="55">
        <v>100</v>
      </c>
      <c r="AB114" s="56">
        <v>0.70</v>
      </c>
      <c r="AC114" s="57">
        <v>255</v>
      </c>
      <c r="AD114" s="58">
        <v>90</v>
      </c>
      <c r="AE114" s="59">
        <v>345</v>
      </c>
      <c r="AF114" s="60">
        <v>505</v>
      </c>
      <c r="AG114" s="50" t="s">
        <v>58</v>
      </c>
      <c r="AH114" s="50" t="b">
        <v>1</v>
      </c>
      <c r="AI114" s="50" t="s">
        <v>1183</v>
      </c>
      <c r="AJ114" s="50" t="b">
        <v>0</v>
      </c>
      <c r="AK114" s="50" t="b">
        <v>0</v>
      </c>
      <c r="AL114" s="50" t="b">
        <v>1</v>
      </c>
      <c r="AM114" s="50" t="b">
        <v>0</v>
      </c>
      <c r="AN114" s="50" t="s">
        <v>1236</v>
      </c>
      <c r="AO114" s="50">
        <v>4</v>
      </c>
      <c r="AP114" s="50" t="s">
        <v>1184</v>
      </c>
      <c r="AQ114" s="50">
        <v>90</v>
      </c>
      <c r="AR114" s="50" t="s">
        <v>153</v>
      </c>
      <c r="AS114" s="50" t="s">
        <v>1185</v>
      </c>
      <c r="AT114" s="61">
        <v>1189.05</v>
      </c>
    </row>
    <row r="118" spans="3:5" ht="15">
      <c r="C118" s="67" t="s">
        <v>1385</v>
      </c>
      <c r="D118" s="67"/>
      <c r="E118" s="67"/>
    </row>
    <row r="119" spans="3:5" ht="15">
      <c r="C119" s="67"/>
      <c r="D119" s="67"/>
      <c r="E119" s="67"/>
    </row>
    <row r="121" spans="3:4" ht="15">
      <c r="C121" s="34" t="s">
        <v>1386</v>
      </c>
      <c r="D121" s="63" t="s">
        <v>1387</v>
      </c>
    </row>
    <row r="122" spans="3:4" ht="15">
      <c r="C122" s="1" t="s">
        <v>51</v>
      </c>
      <c r="D122" s="65">
        <v>4</v>
      </c>
    </row>
    <row r="123" spans="3:4" ht="15">
      <c r="C123" s="1" t="s">
        <v>73</v>
      </c>
      <c r="D123" s="64">
        <v>4.04</v>
      </c>
    </row>
    <row r="124" spans="3:4" ht="15">
      <c r="C124" s="1" t="s">
        <v>93</v>
      </c>
      <c r="D124" s="18">
        <v>4.05</v>
      </c>
    </row>
    <row r="125" spans="3:4" ht="15">
      <c r="C125" s="1" t="s">
        <v>130</v>
      </c>
      <c r="D125" s="18">
        <v>4.05</v>
      </c>
    </row>
    <row r="126" spans="3:4" ht="15">
      <c r="C126" s="1" t="s">
        <v>145</v>
      </c>
      <c r="D126" s="18">
        <v>4.04</v>
      </c>
    </row>
    <row r="127" spans="3:4" ht="15">
      <c r="C127" s="1" t="s">
        <v>162</v>
      </c>
      <c r="D127" s="18">
        <v>4.0199999999999996</v>
      </c>
    </row>
    <row r="128" spans="3:4" ht="15">
      <c r="C128" s="1" t="s">
        <v>181</v>
      </c>
      <c r="D128" s="18">
        <v>4.05</v>
      </c>
    </row>
    <row r="129" spans="3:4" ht="15">
      <c r="C129" s="1" t="s">
        <v>194</v>
      </c>
      <c r="D129" s="18">
        <v>4.0199999999999996</v>
      </c>
    </row>
    <row r="130" spans="3:4" ht="15">
      <c r="C130" s="1" t="s">
        <v>228</v>
      </c>
      <c r="D130" s="18">
        <v>4.01</v>
      </c>
    </row>
    <row r="131" spans="3:4" ht="15">
      <c r="C131" s="1" t="s">
        <v>245</v>
      </c>
      <c r="D131" s="18">
        <v>4.01</v>
      </c>
    </row>
    <row r="132" spans="3:4" ht="15">
      <c r="C132" s="1" t="s">
        <v>258</v>
      </c>
      <c r="D132" s="18">
        <v>4.01</v>
      </c>
    </row>
    <row r="133" spans="3:4" ht="15">
      <c r="C133" s="1" t="s">
        <v>273</v>
      </c>
      <c r="D133" s="18">
        <v>4.0599999999999996</v>
      </c>
    </row>
    <row r="134" spans="3:4" ht="15">
      <c r="C134" s="1" t="s">
        <v>286</v>
      </c>
      <c r="D134" s="18">
        <v>4.05</v>
      </c>
    </row>
    <row r="135" spans="3:4" ht="15">
      <c r="C135" s="1" t="s">
        <v>309</v>
      </c>
      <c r="D135" s="18">
        <v>4.01</v>
      </c>
    </row>
    <row r="136" spans="3:4" ht="15">
      <c r="C136" s="1" t="s">
        <v>321</v>
      </c>
      <c r="D136" s="66">
        <v>4</v>
      </c>
    </row>
    <row r="137" spans="3:4" ht="15">
      <c r="C137" s="1" t="s">
        <v>346</v>
      </c>
      <c r="D137" s="18">
        <v>4.04</v>
      </c>
    </row>
    <row r="142" spans="3:12" ht="18.75" customHeight="1">
      <c r="C142" s="67" t="s">
        <v>1388</v>
      </c>
      <c r="D142" s="67"/>
      <c r="J142" s="34" t="s">
        <v>14</v>
      </c>
      <c r="K142" s="34" t="s">
        <v>1389</v>
      </c>
      <c r="L142" s="36" t="s">
        <v>1390</v>
      </c>
    </row>
    <row r="143" spans="3:12" ht="18.75" customHeight="1">
      <c r="C143" s="67"/>
      <c r="D143" s="67"/>
      <c r="J143" s="73" t="s">
        <v>52</v>
      </c>
      <c r="K143" s="71" t="s">
        <v>1391</v>
      </c>
      <c r="L143" s="74" t="s">
        <v>51</v>
      </c>
    </row>
    <row r="144" spans="10:12" ht="15">
      <c r="J144" s="73" t="s">
        <v>74</v>
      </c>
      <c r="K144" s="71" t="s">
        <v>1392</v>
      </c>
      <c r="L144" s="74" t="s">
        <v>73</v>
      </c>
    </row>
    <row r="145" spans="3:12" ht="15">
      <c r="C145" s="5" t="s">
        <v>1198</v>
      </c>
      <c r="D145" s="4" t="s">
        <v>1492</v>
      </c>
      <c r="E145" s="5" t="s">
        <v>1390</v>
      </c>
      <c r="J145" s="73" t="s">
        <v>94</v>
      </c>
      <c r="K145" s="71" t="s">
        <v>1393</v>
      </c>
      <c r="L145" s="74" t="s">
        <v>93</v>
      </c>
    </row>
    <row r="146" spans="3:12" ht="15">
      <c r="C146" s="70" t="s">
        <v>979</v>
      </c>
      <c r="D146" s="71" t="str">
        <f>VLOOKUP($C$146,$J$142:$L$260,MATCH(K142,$J$142:$L$142,0))</f>
        <v>Dr. Ruby Wallace</v>
      </c>
      <c r="E146" s="71" t="str">
        <f>VLOOKUP($C$146,$J$142:$L$260,MATCH(L142,$J$142:$L$142,0))</f>
        <v>Gastroenterology</v>
      </c>
      <c r="J146" s="73" t="s">
        <v>113</v>
      </c>
      <c r="K146" s="71" t="s">
        <v>1394</v>
      </c>
      <c r="L146" s="74" t="s">
        <v>1395</v>
      </c>
    </row>
    <row r="147" spans="10:12" ht="15">
      <c r="J147" s="73" t="s">
        <v>131</v>
      </c>
      <c r="K147" s="71" t="s">
        <v>1396</v>
      </c>
      <c r="L147" s="74" t="s">
        <v>130</v>
      </c>
    </row>
    <row r="148" spans="10:12" ht="15">
      <c r="J148" s="73" t="s">
        <v>146</v>
      </c>
      <c r="K148" s="71" t="s">
        <v>1397</v>
      </c>
      <c r="L148" s="74" t="s">
        <v>145</v>
      </c>
    </row>
    <row r="149" spans="10:12" ht="15">
      <c r="J149" s="73" t="s">
        <v>163</v>
      </c>
      <c r="K149" s="71" t="s">
        <v>1398</v>
      </c>
      <c r="L149" s="74" t="s">
        <v>162</v>
      </c>
    </row>
    <row r="150" spans="10:12" ht="15">
      <c r="J150" s="73" t="s">
        <v>182</v>
      </c>
      <c r="K150" s="71" t="s">
        <v>1399</v>
      </c>
      <c r="L150" s="74" t="s">
        <v>181</v>
      </c>
    </row>
    <row r="151" spans="10:12" ht="15">
      <c r="J151" s="73" t="s">
        <v>195</v>
      </c>
      <c r="K151" s="71" t="s">
        <v>1400</v>
      </c>
      <c r="L151" s="74" t="s">
        <v>194</v>
      </c>
    </row>
    <row r="152" spans="10:12" ht="15">
      <c r="J152" s="73" t="s">
        <v>214</v>
      </c>
      <c r="K152" s="71" t="s">
        <v>1401</v>
      </c>
      <c r="L152" s="74" t="s">
        <v>213</v>
      </c>
    </row>
    <row r="153" spans="10:12" ht="15">
      <c r="J153" s="73" t="s">
        <v>229</v>
      </c>
      <c r="K153" s="71" t="s">
        <v>1402</v>
      </c>
      <c r="L153" s="74" t="s">
        <v>228</v>
      </c>
    </row>
    <row r="154" spans="10:12" ht="15">
      <c r="J154" s="73" t="s">
        <v>246</v>
      </c>
      <c r="K154" s="71" t="s">
        <v>1403</v>
      </c>
      <c r="L154" s="74" t="s">
        <v>245</v>
      </c>
    </row>
    <row r="155" spans="10:12" ht="15">
      <c r="J155" s="73" t="s">
        <v>259</v>
      </c>
      <c r="K155" s="71" t="s">
        <v>1404</v>
      </c>
      <c r="L155" s="74" t="s">
        <v>258</v>
      </c>
    </row>
    <row r="156" spans="10:12" ht="15">
      <c r="J156" s="73" t="s">
        <v>274</v>
      </c>
      <c r="K156" s="71" t="s">
        <v>1405</v>
      </c>
      <c r="L156" s="74" t="s">
        <v>273</v>
      </c>
    </row>
    <row r="157" spans="10:12" ht="15">
      <c r="J157" s="73" t="s">
        <v>287</v>
      </c>
      <c r="K157" s="71" t="s">
        <v>1406</v>
      </c>
      <c r="L157" s="74" t="s">
        <v>286</v>
      </c>
    </row>
    <row r="158" spans="10:12" ht="15">
      <c r="J158" s="73" t="s">
        <v>310</v>
      </c>
      <c r="K158" s="71" t="s">
        <v>1407</v>
      </c>
      <c r="L158" s="74" t="s">
        <v>309</v>
      </c>
    </row>
    <row r="159" spans="10:12" ht="15">
      <c r="J159" s="73" t="s">
        <v>322</v>
      </c>
      <c r="K159" s="71" t="s">
        <v>1408</v>
      </c>
      <c r="L159" s="74" t="s">
        <v>321</v>
      </c>
    </row>
    <row r="160" spans="10:12" ht="15">
      <c r="J160" s="73" t="s">
        <v>347</v>
      </c>
      <c r="K160" s="71" t="s">
        <v>1409</v>
      </c>
      <c r="L160" s="74" t="s">
        <v>346</v>
      </c>
    </row>
    <row r="161" spans="10:12" ht="15">
      <c r="J161" s="73" t="s">
        <v>48</v>
      </c>
      <c r="K161" s="71" t="s">
        <v>1410</v>
      </c>
      <c r="L161" s="74" t="s">
        <v>51</v>
      </c>
    </row>
    <row r="162" spans="10:12" ht="15">
      <c r="J162" s="73" t="s">
        <v>70</v>
      </c>
      <c r="K162" s="71" t="s">
        <v>1411</v>
      </c>
      <c r="L162" s="74" t="s">
        <v>73</v>
      </c>
    </row>
    <row r="163" spans="10:12" ht="15">
      <c r="J163" s="73" t="s">
        <v>90</v>
      </c>
      <c r="K163" s="71" t="s">
        <v>1412</v>
      </c>
      <c r="L163" s="74" t="s">
        <v>93</v>
      </c>
    </row>
    <row r="164" spans="10:12" ht="15">
      <c r="J164" s="73" t="s">
        <v>109</v>
      </c>
      <c r="K164" s="71" t="s">
        <v>1413</v>
      </c>
      <c r="L164" s="74" t="s">
        <v>1395</v>
      </c>
    </row>
    <row r="165" spans="10:12" ht="15">
      <c r="J165" s="73" t="s">
        <v>128</v>
      </c>
      <c r="K165" s="71" t="s">
        <v>1414</v>
      </c>
      <c r="L165" s="74" t="s">
        <v>130</v>
      </c>
    </row>
    <row r="166" spans="10:12" ht="15">
      <c r="J166" s="73" t="s">
        <v>142</v>
      </c>
      <c r="K166" s="71" t="s">
        <v>1415</v>
      </c>
      <c r="L166" s="74" t="s">
        <v>145</v>
      </c>
    </row>
    <row r="167" spans="10:12" ht="15">
      <c r="J167" s="73" t="s">
        <v>160</v>
      </c>
      <c r="K167" s="71" t="s">
        <v>1416</v>
      </c>
      <c r="L167" s="74" t="s">
        <v>162</v>
      </c>
    </row>
    <row r="168" spans="10:12" ht="15">
      <c r="J168" s="73" t="s">
        <v>178</v>
      </c>
      <c r="K168" s="71" t="s">
        <v>1417</v>
      </c>
      <c r="L168" s="74" t="s">
        <v>181</v>
      </c>
    </row>
    <row r="169" spans="10:12" ht="15">
      <c r="J169" s="73" t="s">
        <v>193</v>
      </c>
      <c r="K169" s="71" t="s">
        <v>1418</v>
      </c>
      <c r="L169" s="74" t="s">
        <v>194</v>
      </c>
    </row>
    <row r="170" spans="10:12" ht="15">
      <c r="J170" s="73" t="s">
        <v>210</v>
      </c>
      <c r="K170" s="71" t="s">
        <v>1419</v>
      </c>
      <c r="L170" s="74" t="s">
        <v>213</v>
      </c>
    </row>
    <row r="171" spans="10:12" ht="15">
      <c r="J171" s="73" t="s">
        <v>226</v>
      </c>
      <c r="K171" s="71" t="s">
        <v>1420</v>
      </c>
      <c r="L171" s="74" t="s">
        <v>228</v>
      </c>
    </row>
    <row r="172" spans="10:12" ht="15">
      <c r="J172" s="73" t="s">
        <v>243</v>
      </c>
      <c r="K172" s="71" t="s">
        <v>1421</v>
      </c>
      <c r="L172" s="74" t="s">
        <v>245</v>
      </c>
    </row>
    <row r="173" spans="10:12" ht="15">
      <c r="J173" s="73" t="s">
        <v>256</v>
      </c>
      <c r="K173" s="71" t="s">
        <v>1422</v>
      </c>
      <c r="L173" s="74" t="s">
        <v>258</v>
      </c>
    </row>
    <row r="174" spans="10:12" ht="15">
      <c r="J174" s="73" t="s">
        <v>272</v>
      </c>
      <c r="K174" s="71" t="s">
        <v>1423</v>
      </c>
      <c r="L174" s="74" t="s">
        <v>273</v>
      </c>
    </row>
    <row r="175" spans="10:12" ht="15">
      <c r="J175" s="73" t="s">
        <v>285</v>
      </c>
      <c r="K175" s="71" t="s">
        <v>1424</v>
      </c>
      <c r="L175" s="74" t="s">
        <v>286</v>
      </c>
    </row>
    <row r="176" spans="10:12" ht="15">
      <c r="J176" s="73" t="s">
        <v>297</v>
      </c>
      <c r="K176" s="71" t="s">
        <v>1425</v>
      </c>
      <c r="L176" s="74" t="s">
        <v>309</v>
      </c>
    </row>
    <row r="177" spans="10:12" ht="15">
      <c r="J177" s="73" t="s">
        <v>308</v>
      </c>
      <c r="K177" s="71" t="s">
        <v>1426</v>
      </c>
      <c r="L177" s="74" t="s">
        <v>321</v>
      </c>
    </row>
    <row r="178" spans="10:12" ht="15">
      <c r="J178" s="73" t="s">
        <v>320</v>
      </c>
      <c r="K178" s="71" t="s">
        <v>1427</v>
      </c>
      <c r="L178" s="74" t="s">
        <v>346</v>
      </c>
    </row>
    <row r="179" spans="10:12" ht="15">
      <c r="J179" s="73" t="s">
        <v>333</v>
      </c>
      <c r="K179" s="71" t="s">
        <v>1428</v>
      </c>
      <c r="L179" s="74" t="s">
        <v>93</v>
      </c>
    </row>
    <row r="180" spans="10:12" ht="15">
      <c r="J180" s="73" t="s">
        <v>345</v>
      </c>
      <c r="K180" s="71" t="s">
        <v>1429</v>
      </c>
      <c r="L180" s="74" t="s">
        <v>346</v>
      </c>
    </row>
    <row r="181" spans="10:12" ht="15">
      <c r="J181" s="73" t="s">
        <v>359</v>
      </c>
      <c r="K181" s="71" t="s">
        <v>1430</v>
      </c>
      <c r="L181" s="74" t="s">
        <v>73</v>
      </c>
    </row>
    <row r="182" spans="10:12" ht="15">
      <c r="J182" s="73" t="s">
        <v>369</v>
      </c>
      <c r="K182" s="71" t="s">
        <v>1431</v>
      </c>
      <c r="L182" s="74" t="s">
        <v>145</v>
      </c>
    </row>
    <row r="183" spans="10:12" ht="15">
      <c r="J183" s="73" t="s">
        <v>382</v>
      </c>
      <c r="K183" s="71" t="s">
        <v>1432</v>
      </c>
      <c r="L183" s="74" t="s">
        <v>130</v>
      </c>
    </row>
    <row r="184" spans="10:12" ht="15">
      <c r="J184" s="73" t="s">
        <v>395</v>
      </c>
      <c r="K184" s="71" t="s">
        <v>1433</v>
      </c>
      <c r="L184" s="74" t="s">
        <v>245</v>
      </c>
    </row>
    <row r="185" spans="10:12" ht="15">
      <c r="J185" s="73" t="s">
        <v>405</v>
      </c>
      <c r="K185" s="71" t="s">
        <v>1434</v>
      </c>
      <c r="L185" s="74" t="s">
        <v>1395</v>
      </c>
    </row>
    <row r="186" spans="10:12" ht="15">
      <c r="J186" s="73" t="s">
        <v>416</v>
      </c>
      <c r="K186" s="71" t="s">
        <v>1435</v>
      </c>
      <c r="L186" s="74" t="s">
        <v>213</v>
      </c>
    </row>
    <row r="187" spans="10:12" ht="15">
      <c r="J187" s="73" t="s">
        <v>425</v>
      </c>
      <c r="K187" s="71" t="s">
        <v>1436</v>
      </c>
      <c r="L187" s="74" t="s">
        <v>194</v>
      </c>
    </row>
    <row r="188" spans="10:12" ht="15">
      <c r="J188" s="73" t="s">
        <v>439</v>
      </c>
      <c r="K188" s="71" t="s">
        <v>1437</v>
      </c>
      <c r="L188" s="74" t="s">
        <v>181</v>
      </c>
    </row>
    <row r="189" spans="10:12" ht="15">
      <c r="J189" s="73" t="s">
        <v>448</v>
      </c>
      <c r="K189" s="71" t="s">
        <v>1438</v>
      </c>
      <c r="L189" s="74" t="s">
        <v>286</v>
      </c>
    </row>
    <row r="190" spans="10:12" ht="15">
      <c r="J190" s="73" t="s">
        <v>456</v>
      </c>
      <c r="K190" s="71" t="s">
        <v>1439</v>
      </c>
      <c r="L190" s="74" t="s">
        <v>273</v>
      </c>
    </row>
    <row r="191" spans="10:12" ht="15">
      <c r="J191" s="73" t="s">
        <v>468</v>
      </c>
      <c r="K191" s="71" t="s">
        <v>1440</v>
      </c>
      <c r="L191" s="74" t="s">
        <v>309</v>
      </c>
    </row>
    <row r="192" spans="2:12" ht="15">
      <c r="B192" s="67" t="s">
        <v>1493</v>
      </c>
      <c r="C192" s="67"/>
      <c r="D192" s="67"/>
      <c r="E192" s="67"/>
      <c r="G192" s="5" t="s">
        <v>1213</v>
      </c>
      <c r="H192" s="5" t="s">
        <v>1203</v>
      </c>
      <c r="J192" s="73" t="s">
        <v>480</v>
      </c>
      <c r="K192" s="71" t="s">
        <v>1441</v>
      </c>
      <c r="L192" s="74" t="s">
        <v>258</v>
      </c>
    </row>
    <row r="193" spans="2:12" ht="15">
      <c r="B193" s="67"/>
      <c r="C193" s="67"/>
      <c r="D193" s="67"/>
      <c r="E193" s="67"/>
      <c r="G193" s="70" t="s">
        <v>54</v>
      </c>
      <c r="H193" s="70" t="s">
        <v>53</v>
      </c>
      <c r="J193" s="73" t="s">
        <v>491</v>
      </c>
      <c r="K193" s="71" t="s">
        <v>1442</v>
      </c>
      <c r="L193" s="74" t="s">
        <v>228</v>
      </c>
    </row>
    <row r="194" spans="7:12" ht="15">
      <c r="G194" s="78" t="s">
        <v>76</v>
      </c>
      <c r="H194" s="78" t="s">
        <v>75</v>
      </c>
      <c r="J194" s="73" t="s">
        <v>504</v>
      </c>
      <c r="K194" s="71" t="s">
        <v>1443</v>
      </c>
      <c r="L194" s="74" t="s">
        <v>346</v>
      </c>
    </row>
    <row r="195" spans="3:12" ht="15">
      <c r="C195" s="5" t="s">
        <v>1203</v>
      </c>
      <c r="D195" s="5" t="s">
        <v>1213</v>
      </c>
      <c r="G195" s="70" t="s">
        <v>96</v>
      </c>
      <c r="H195" s="70" t="s">
        <v>95</v>
      </c>
      <c r="J195" s="73" t="s">
        <v>515</v>
      </c>
      <c r="K195" s="71" t="s">
        <v>1444</v>
      </c>
      <c r="L195" s="74" t="s">
        <v>93</v>
      </c>
    </row>
    <row r="196" spans="3:12" ht="15">
      <c r="C196" s="70" t="s">
        <v>96</v>
      </c>
      <c r="D196" s="70" t="str">
        <f>VLOOKUP(C196,G192:H262,2,FALSE)</f>
        <v>Osteoarthritis</v>
      </c>
      <c r="G196" s="78" t="s">
        <v>115</v>
      </c>
      <c r="H196" s="78" t="s">
        <v>114</v>
      </c>
      <c r="J196" s="73" t="s">
        <v>527</v>
      </c>
      <c r="K196" s="71" t="s">
        <v>1445</v>
      </c>
      <c r="L196" s="74" t="s">
        <v>181</v>
      </c>
    </row>
    <row r="197" spans="7:12" ht="15">
      <c r="G197" s="70" t="s">
        <v>133</v>
      </c>
      <c r="H197" s="70" t="s">
        <v>132</v>
      </c>
      <c r="J197" s="73" t="s">
        <v>535</v>
      </c>
      <c r="K197" s="71" t="s">
        <v>1446</v>
      </c>
      <c r="L197" s="74" t="s">
        <v>321</v>
      </c>
    </row>
    <row r="198" spans="7:12" ht="15">
      <c r="G198" s="78" t="s">
        <v>148</v>
      </c>
      <c r="H198" s="78" t="s">
        <v>147</v>
      </c>
      <c r="J198" s="73" t="s">
        <v>546</v>
      </c>
      <c r="K198" s="71" t="s">
        <v>1447</v>
      </c>
      <c r="L198" s="74" t="s">
        <v>162</v>
      </c>
    </row>
    <row r="199" spans="7:12" ht="15">
      <c r="G199" s="70" t="s">
        <v>165</v>
      </c>
      <c r="H199" s="70" t="s">
        <v>164</v>
      </c>
      <c r="J199" s="73" t="s">
        <v>558</v>
      </c>
      <c r="K199" s="71" t="s">
        <v>1448</v>
      </c>
      <c r="L199" s="74" t="s">
        <v>245</v>
      </c>
    </row>
    <row r="200" spans="7:12" ht="15">
      <c r="G200" s="78" t="s">
        <v>184</v>
      </c>
      <c r="H200" s="78" t="s">
        <v>183</v>
      </c>
      <c r="J200" s="73" t="s">
        <v>568</v>
      </c>
      <c r="K200" s="71" t="s">
        <v>1449</v>
      </c>
      <c r="L200" s="74" t="s">
        <v>130</v>
      </c>
    </row>
    <row r="201" spans="7:12" ht="15">
      <c r="G201" s="70" t="s">
        <v>197</v>
      </c>
      <c r="H201" s="70" t="s">
        <v>196</v>
      </c>
      <c r="J201" s="73" t="s">
        <v>580</v>
      </c>
      <c r="K201" s="71" t="s">
        <v>1450</v>
      </c>
      <c r="L201" s="74" t="s">
        <v>73</v>
      </c>
    </row>
    <row r="202" spans="7:12" ht="15">
      <c r="G202" s="78" t="s">
        <v>216</v>
      </c>
      <c r="H202" s="78" t="s">
        <v>215</v>
      </c>
      <c r="J202" s="73" t="s">
        <v>592</v>
      </c>
      <c r="K202" s="71" t="s">
        <v>1451</v>
      </c>
      <c r="L202" s="74" t="s">
        <v>145</v>
      </c>
    </row>
    <row r="203" spans="7:12" ht="15">
      <c r="G203" s="70" t="s">
        <v>231</v>
      </c>
      <c r="H203" s="70" t="s">
        <v>230</v>
      </c>
      <c r="J203" s="73" t="s">
        <v>603</v>
      </c>
      <c r="K203" s="71" t="s">
        <v>1452</v>
      </c>
      <c r="L203" s="74" t="s">
        <v>194</v>
      </c>
    </row>
    <row r="204" spans="7:12" ht="15">
      <c r="G204" s="78" t="s">
        <v>248</v>
      </c>
      <c r="H204" s="78" t="s">
        <v>247</v>
      </c>
      <c r="J204" s="73" t="s">
        <v>615</v>
      </c>
      <c r="K204" s="71" t="s">
        <v>1453</v>
      </c>
      <c r="L204" s="74" t="s">
        <v>245</v>
      </c>
    </row>
    <row r="205" spans="7:12" ht="15">
      <c r="G205" s="70" t="s">
        <v>261</v>
      </c>
      <c r="H205" s="70" t="s">
        <v>260</v>
      </c>
      <c r="J205" s="73" t="s">
        <v>627</v>
      </c>
      <c r="K205" s="71" t="s">
        <v>1454</v>
      </c>
      <c r="L205" s="74" t="s">
        <v>1395</v>
      </c>
    </row>
    <row r="206" spans="7:12" ht="15">
      <c r="G206" s="78" t="s">
        <v>276</v>
      </c>
      <c r="H206" s="78" t="s">
        <v>275</v>
      </c>
      <c r="J206" s="73" t="s">
        <v>637</v>
      </c>
      <c r="K206" s="71" t="s">
        <v>1455</v>
      </c>
      <c r="L206" s="74" t="s">
        <v>213</v>
      </c>
    </row>
    <row r="207" spans="7:12" ht="15">
      <c r="G207" s="70" t="s">
        <v>289</v>
      </c>
      <c r="H207" s="70" t="s">
        <v>288</v>
      </c>
      <c r="J207" s="73" t="s">
        <v>645</v>
      </c>
      <c r="K207" s="71" t="s">
        <v>1456</v>
      </c>
      <c r="L207" s="74" t="s">
        <v>258</v>
      </c>
    </row>
    <row r="208" spans="7:12" ht="15">
      <c r="G208" s="78" t="s">
        <v>299</v>
      </c>
      <c r="H208" s="78" t="s">
        <v>298</v>
      </c>
      <c r="J208" s="73" t="s">
        <v>659</v>
      </c>
      <c r="K208" s="71" t="s">
        <v>1457</v>
      </c>
      <c r="L208" s="74" t="s">
        <v>181</v>
      </c>
    </row>
    <row r="209" spans="7:12" ht="15">
      <c r="G209" s="70" t="s">
        <v>312</v>
      </c>
      <c r="H209" s="70" t="s">
        <v>311</v>
      </c>
      <c r="J209" s="73" t="s">
        <v>670</v>
      </c>
      <c r="K209" s="71" t="s">
        <v>1458</v>
      </c>
      <c r="L209" s="74" t="s">
        <v>286</v>
      </c>
    </row>
    <row r="210" spans="7:12" ht="15">
      <c r="G210" s="78" t="s">
        <v>324</v>
      </c>
      <c r="H210" s="78" t="s">
        <v>323</v>
      </c>
      <c r="J210" s="73" t="s">
        <v>682</v>
      </c>
      <c r="K210" s="71" t="s">
        <v>1459</v>
      </c>
      <c r="L210" s="74" t="s">
        <v>273</v>
      </c>
    </row>
    <row r="211" spans="7:12" ht="15">
      <c r="G211" s="70" t="s">
        <v>335</v>
      </c>
      <c r="H211" s="70" t="s">
        <v>334</v>
      </c>
      <c r="J211" s="73" t="s">
        <v>695</v>
      </c>
      <c r="K211" s="71" t="s">
        <v>1460</v>
      </c>
      <c r="L211" s="74" t="s">
        <v>309</v>
      </c>
    </row>
    <row r="212" spans="7:12" ht="15">
      <c r="G212" s="78" t="s">
        <v>349</v>
      </c>
      <c r="H212" s="78" t="s">
        <v>348</v>
      </c>
      <c r="J212" s="73" t="s">
        <v>707</v>
      </c>
      <c r="K212" s="71" t="s">
        <v>1461</v>
      </c>
      <c r="L212" s="74" t="s">
        <v>346</v>
      </c>
    </row>
    <row r="213" spans="7:12" ht="15">
      <c r="G213" s="78" t="s">
        <v>372</v>
      </c>
      <c r="H213" s="78" t="s">
        <v>371</v>
      </c>
      <c r="J213" s="73" t="s">
        <v>717</v>
      </c>
      <c r="K213" s="71" t="s">
        <v>1462</v>
      </c>
      <c r="L213" s="74" t="s">
        <v>228</v>
      </c>
    </row>
    <row r="214" spans="7:12" ht="15">
      <c r="G214" s="70" t="s">
        <v>385</v>
      </c>
      <c r="H214" s="70" t="s">
        <v>384</v>
      </c>
      <c r="J214" s="73" t="s">
        <v>730</v>
      </c>
      <c r="K214" s="71" t="s">
        <v>1463</v>
      </c>
      <c r="L214" s="74" t="s">
        <v>162</v>
      </c>
    </row>
    <row r="215" spans="7:12" ht="15">
      <c r="G215" s="78" t="s">
        <v>397</v>
      </c>
      <c r="H215" s="78" t="s">
        <v>396</v>
      </c>
      <c r="J215" s="73" t="s">
        <v>740</v>
      </c>
      <c r="K215" s="71" t="s">
        <v>1464</v>
      </c>
      <c r="L215" s="74" t="s">
        <v>93</v>
      </c>
    </row>
    <row r="216" spans="7:12" ht="15">
      <c r="G216" s="70" t="s">
        <v>407</v>
      </c>
      <c r="H216" s="70" t="s">
        <v>406</v>
      </c>
      <c r="J216" s="73" t="s">
        <v>751</v>
      </c>
      <c r="K216" s="71" t="s">
        <v>1465</v>
      </c>
      <c r="L216" s="74" t="s">
        <v>181</v>
      </c>
    </row>
    <row r="217" spans="7:12" ht="15">
      <c r="G217" s="70" t="s">
        <v>428</v>
      </c>
      <c r="H217" s="70" t="s">
        <v>427</v>
      </c>
      <c r="J217" s="73" t="s">
        <v>761</v>
      </c>
      <c r="K217" s="71" t="s">
        <v>1466</v>
      </c>
      <c r="L217" s="74" t="s">
        <v>321</v>
      </c>
    </row>
    <row r="218" spans="7:12" ht="15">
      <c r="G218" s="78" t="s">
        <v>458</v>
      </c>
      <c r="H218" s="78" t="s">
        <v>457</v>
      </c>
      <c r="J218" s="73" t="s">
        <v>772</v>
      </c>
      <c r="K218" s="71" t="s">
        <v>1467</v>
      </c>
      <c r="L218" s="74" t="s">
        <v>130</v>
      </c>
    </row>
    <row r="219" spans="7:12" ht="15">
      <c r="G219" s="70" t="s">
        <v>470</v>
      </c>
      <c r="H219" s="70" t="s">
        <v>469</v>
      </c>
      <c r="J219" s="73" t="s">
        <v>782</v>
      </c>
      <c r="K219" s="71" t="s">
        <v>1468</v>
      </c>
      <c r="L219" s="74" t="s">
        <v>245</v>
      </c>
    </row>
    <row r="220" spans="7:12" ht="15">
      <c r="G220" s="78" t="s">
        <v>483</v>
      </c>
      <c r="H220" s="78" t="s">
        <v>482</v>
      </c>
      <c r="J220" s="73" t="s">
        <v>792</v>
      </c>
      <c r="K220" s="71" t="s">
        <v>1469</v>
      </c>
      <c r="L220" s="74" t="s">
        <v>73</v>
      </c>
    </row>
    <row r="221" spans="7:12" ht="15">
      <c r="G221" s="70" t="s">
        <v>494</v>
      </c>
      <c r="H221" s="70" t="s">
        <v>493</v>
      </c>
      <c r="J221" s="73" t="s">
        <v>804</v>
      </c>
      <c r="K221" s="71" t="s">
        <v>1470</v>
      </c>
      <c r="L221" s="74" t="s">
        <v>194</v>
      </c>
    </row>
    <row r="222" spans="7:12" ht="15">
      <c r="G222" s="78" t="s">
        <v>506</v>
      </c>
      <c r="H222" s="78" t="s">
        <v>505</v>
      </c>
      <c r="J222" s="73" t="s">
        <v>812</v>
      </c>
      <c r="K222" s="71" t="s">
        <v>1471</v>
      </c>
      <c r="L222" s="74" t="s">
        <v>145</v>
      </c>
    </row>
    <row r="223" spans="7:12" ht="15">
      <c r="G223" s="70" t="s">
        <v>517</v>
      </c>
      <c r="H223" s="70" t="s">
        <v>516</v>
      </c>
      <c r="J223" s="73" t="s">
        <v>821</v>
      </c>
      <c r="K223" s="71" t="s">
        <v>1472</v>
      </c>
      <c r="L223" s="74" t="s">
        <v>273</v>
      </c>
    </row>
    <row r="224" spans="7:12" ht="15">
      <c r="G224" s="78" t="s">
        <v>184</v>
      </c>
      <c r="H224" s="78" t="s">
        <v>528</v>
      </c>
      <c r="J224" s="73" t="s">
        <v>833</v>
      </c>
      <c r="K224" s="71" t="s">
        <v>1473</v>
      </c>
      <c r="L224" s="74" t="s">
        <v>258</v>
      </c>
    </row>
    <row r="225" spans="7:12" ht="15">
      <c r="G225" s="70" t="s">
        <v>537</v>
      </c>
      <c r="H225" s="70" t="s">
        <v>536</v>
      </c>
      <c r="J225" s="73" t="s">
        <v>841</v>
      </c>
      <c r="K225" s="71" t="s">
        <v>1474</v>
      </c>
      <c r="L225" s="74" t="s">
        <v>213</v>
      </c>
    </row>
    <row r="226" spans="7:12" ht="15">
      <c r="G226" s="78" t="s">
        <v>548</v>
      </c>
      <c r="H226" s="78" t="s">
        <v>547</v>
      </c>
      <c r="J226" s="73" t="s">
        <v>852</v>
      </c>
      <c r="K226" s="71" t="s">
        <v>1475</v>
      </c>
      <c r="L226" s="74" t="s">
        <v>181</v>
      </c>
    </row>
    <row r="227" spans="7:12" ht="15">
      <c r="G227" s="70" t="s">
        <v>560</v>
      </c>
      <c r="H227" s="70" t="s">
        <v>559</v>
      </c>
      <c r="J227" s="73" t="s">
        <v>862</v>
      </c>
      <c r="K227" s="71" t="s">
        <v>1476</v>
      </c>
      <c r="L227" s="74" t="s">
        <v>228</v>
      </c>
    </row>
    <row r="228" spans="7:12" ht="15">
      <c r="G228" s="78" t="s">
        <v>570</v>
      </c>
      <c r="H228" s="78" t="s">
        <v>569</v>
      </c>
      <c r="J228" s="73" t="s">
        <v>872</v>
      </c>
      <c r="K228" s="71" t="s">
        <v>1477</v>
      </c>
      <c r="L228" s="74" t="s">
        <v>286</v>
      </c>
    </row>
    <row r="229" spans="7:12" ht="15">
      <c r="G229" s="70" t="s">
        <v>582</v>
      </c>
      <c r="H229" s="70" t="s">
        <v>581</v>
      </c>
      <c r="J229" s="73" t="s">
        <v>881</v>
      </c>
      <c r="K229" s="71" t="s">
        <v>1478</v>
      </c>
      <c r="L229" s="74" t="s">
        <v>346</v>
      </c>
    </row>
    <row r="230" spans="7:12" ht="15">
      <c r="G230" s="78" t="s">
        <v>594</v>
      </c>
      <c r="H230" s="78" t="s">
        <v>593</v>
      </c>
      <c r="J230" s="73" t="s">
        <v>889</v>
      </c>
      <c r="K230" s="71" t="s">
        <v>1479</v>
      </c>
      <c r="L230" s="74" t="s">
        <v>309</v>
      </c>
    </row>
    <row r="231" spans="7:12" ht="15">
      <c r="G231" s="70" t="s">
        <v>605</v>
      </c>
      <c r="H231" s="70" t="s">
        <v>604</v>
      </c>
      <c r="J231" s="73" t="s">
        <v>897</v>
      </c>
      <c r="K231" s="71" t="s">
        <v>1480</v>
      </c>
      <c r="L231" s="74" t="s">
        <v>73</v>
      </c>
    </row>
    <row r="232" spans="7:12" ht="15">
      <c r="G232" s="78" t="s">
        <v>617</v>
      </c>
      <c r="H232" s="78" t="s">
        <v>616</v>
      </c>
      <c r="J232" s="73" t="s">
        <v>908</v>
      </c>
      <c r="K232" s="71" t="s">
        <v>1481</v>
      </c>
      <c r="L232" s="74" t="s">
        <v>321</v>
      </c>
    </row>
    <row r="233" spans="7:12" ht="15">
      <c r="G233" s="70" t="s">
        <v>647</v>
      </c>
      <c r="H233" s="70" t="s">
        <v>646</v>
      </c>
      <c r="J233" s="73" t="s">
        <v>920</v>
      </c>
      <c r="K233" s="71" t="s">
        <v>1482</v>
      </c>
      <c r="L233" s="74" t="s">
        <v>245</v>
      </c>
    </row>
    <row r="234" spans="7:12" ht="15">
      <c r="G234" s="78" t="s">
        <v>661</v>
      </c>
      <c r="H234" s="78" t="s">
        <v>660</v>
      </c>
      <c r="J234" s="73" t="s">
        <v>932</v>
      </c>
      <c r="K234" s="71" t="s">
        <v>1483</v>
      </c>
      <c r="L234" s="74" t="s">
        <v>93</v>
      </c>
    </row>
    <row r="235" spans="7:12" ht="15">
      <c r="G235" s="70" t="s">
        <v>673</v>
      </c>
      <c r="H235" s="70" t="s">
        <v>672</v>
      </c>
      <c r="J235" s="73" t="s">
        <v>944</v>
      </c>
      <c r="K235" s="71" t="s">
        <v>1484</v>
      </c>
      <c r="L235" s="74" t="s">
        <v>181</v>
      </c>
    </row>
    <row r="236" spans="7:12" ht="15">
      <c r="G236" s="78" t="s">
        <v>684</v>
      </c>
      <c r="H236" s="78" t="s">
        <v>683</v>
      </c>
      <c r="J236" s="73" t="s">
        <v>956</v>
      </c>
      <c r="K236" s="71" t="s">
        <v>1485</v>
      </c>
      <c r="L236" s="74" t="s">
        <v>130</v>
      </c>
    </row>
    <row r="237" spans="7:12" ht="15">
      <c r="G237" s="70" t="s">
        <v>698</v>
      </c>
      <c r="H237" s="70" t="s">
        <v>697</v>
      </c>
      <c r="J237" s="73" t="s">
        <v>969</v>
      </c>
      <c r="K237" s="71" t="s">
        <v>1486</v>
      </c>
      <c r="L237" s="74" t="s">
        <v>162</v>
      </c>
    </row>
    <row r="238" spans="7:12" ht="15">
      <c r="G238" s="78" t="s">
        <v>506</v>
      </c>
      <c r="H238" s="78" t="s">
        <v>708</v>
      </c>
      <c r="J238" s="73" t="s">
        <v>979</v>
      </c>
      <c r="K238" s="71" t="s">
        <v>1487</v>
      </c>
      <c r="L238" s="74" t="s">
        <v>258</v>
      </c>
    </row>
    <row r="239" spans="7:12" ht="15">
      <c r="G239" s="70" t="s">
        <v>720</v>
      </c>
      <c r="H239" s="70" t="s">
        <v>719</v>
      </c>
      <c r="J239" s="73" t="s">
        <v>990</v>
      </c>
      <c r="K239" s="71" t="s">
        <v>1488</v>
      </c>
      <c r="L239" s="74" t="s">
        <v>194</v>
      </c>
    </row>
    <row r="240" spans="7:12" ht="15">
      <c r="G240" s="70" t="s">
        <v>742</v>
      </c>
      <c r="H240" s="70" t="s">
        <v>741</v>
      </c>
      <c r="J240" s="73" t="s">
        <v>998</v>
      </c>
      <c r="K240" s="71" t="s">
        <v>1489</v>
      </c>
      <c r="L240" s="74" t="s">
        <v>73</v>
      </c>
    </row>
    <row r="241" spans="7:12" ht="15">
      <c r="G241" s="78" t="s">
        <v>753</v>
      </c>
      <c r="H241" s="78" t="s">
        <v>752</v>
      </c>
      <c r="J241" s="73" t="s">
        <v>1005</v>
      </c>
      <c r="K241" s="71" t="s">
        <v>1490</v>
      </c>
      <c r="L241" s="74" t="s">
        <v>145</v>
      </c>
    </row>
    <row r="242" spans="7:12" ht="15">
      <c r="G242" s="70" t="s">
        <v>763</v>
      </c>
      <c r="H242" s="70" t="s">
        <v>762</v>
      </c>
      <c r="J242" s="75" t="s">
        <v>1014</v>
      </c>
      <c r="K242" s="76" t="s">
        <v>1491</v>
      </c>
      <c r="L242" s="77" t="s">
        <v>273</v>
      </c>
    </row>
    <row r="243" spans="7:8" ht="15">
      <c r="G243" s="70" t="s">
        <v>784</v>
      </c>
      <c r="H243" s="70" t="s">
        <v>783</v>
      </c>
    </row>
    <row r="244" spans="7:8" ht="15">
      <c r="G244" s="78" t="s">
        <v>794</v>
      </c>
      <c r="H244" s="78" t="s">
        <v>793</v>
      </c>
    </row>
    <row r="245" spans="7:8" ht="15">
      <c r="G245" s="70" t="s">
        <v>823</v>
      </c>
      <c r="H245" s="70" t="s">
        <v>822</v>
      </c>
    </row>
    <row r="246" spans="7:8" ht="15">
      <c r="G246" s="78" t="s">
        <v>261</v>
      </c>
      <c r="H246" s="78" t="s">
        <v>834</v>
      </c>
    </row>
    <row r="247" spans="7:8" ht="15">
      <c r="G247" s="70" t="s">
        <v>843</v>
      </c>
      <c r="H247" s="70" t="s">
        <v>842</v>
      </c>
    </row>
    <row r="248" spans="7:8" ht="15">
      <c r="G248" s="78" t="s">
        <v>855</v>
      </c>
      <c r="H248" s="78" t="s">
        <v>854</v>
      </c>
    </row>
    <row r="249" spans="7:8" ht="15">
      <c r="G249" s="70" t="s">
        <v>899</v>
      </c>
      <c r="H249" s="70" t="s">
        <v>898</v>
      </c>
    </row>
    <row r="250" spans="7:8" ht="15">
      <c r="G250" s="78" t="s">
        <v>910</v>
      </c>
      <c r="H250" s="78" t="s">
        <v>909</v>
      </c>
    </row>
    <row r="251" spans="7:8" ht="15">
      <c r="G251" s="70" t="s">
        <v>923</v>
      </c>
      <c r="H251" s="70" t="s">
        <v>922</v>
      </c>
    </row>
    <row r="252" spans="7:8" ht="15">
      <c r="G252" s="78" t="s">
        <v>935</v>
      </c>
      <c r="H252" s="78" t="s">
        <v>934</v>
      </c>
    </row>
    <row r="253" spans="7:8" ht="15">
      <c r="G253" s="70" t="s">
        <v>947</v>
      </c>
      <c r="H253" s="70" t="s">
        <v>946</v>
      </c>
    </row>
    <row r="254" spans="7:8" ht="15">
      <c r="G254" s="78" t="s">
        <v>958</v>
      </c>
      <c r="H254" s="78" t="s">
        <v>957</v>
      </c>
    </row>
    <row r="255" spans="7:8" ht="15">
      <c r="G255" s="78" t="s">
        <v>981</v>
      </c>
      <c r="H255" s="78" t="s">
        <v>980</v>
      </c>
    </row>
    <row r="256" spans="7:8" ht="15">
      <c r="G256" s="78" t="s">
        <v>647</v>
      </c>
      <c r="H256" s="78" t="s">
        <v>1048</v>
      </c>
    </row>
    <row r="257" spans="7:8" ht="15">
      <c r="G257" s="70" t="s">
        <v>1063</v>
      </c>
      <c r="H257" s="70" t="s">
        <v>1062</v>
      </c>
    </row>
    <row r="258" spans="7:8" ht="15">
      <c r="G258" s="70" t="s">
        <v>1081</v>
      </c>
      <c r="H258" s="70" t="s">
        <v>1080</v>
      </c>
    </row>
    <row r="259" spans="7:8" ht="15">
      <c r="G259" s="70" t="s">
        <v>548</v>
      </c>
      <c r="H259" s="70" t="s">
        <v>1103</v>
      </c>
    </row>
    <row r="260" spans="7:8" ht="15">
      <c r="G260" s="78" t="s">
        <v>1136</v>
      </c>
      <c r="H260" s="78" t="s">
        <v>1135</v>
      </c>
    </row>
    <row r="261" spans="7:8" ht="15">
      <c r="G261" s="70" t="s">
        <v>1180</v>
      </c>
      <c r="H261" s="70" t="s">
        <v>1179</v>
      </c>
    </row>
  </sheetData>
  <sheetProtection/>
  <mergeCells count="6">
    <mergeCell ref="B192:E193"/>
    <mergeCell ref="C118:E119"/>
    <mergeCell ref="C63:G64"/>
    <mergeCell ref="I3:O4"/>
    <mergeCell ref="C73:G74"/>
    <mergeCell ref="C142:D143"/>
  </mergeCells>
  <dataValidations count="2">
    <dataValidation type="list" allowBlank="1" showInputMessage="1" showErrorMessage="1" sqref="C146">
      <formula1>$J$143:$J$242</formula1>
    </dataValidation>
    <dataValidation type="list" allowBlank="1" showInputMessage="1" showErrorMessage="1" sqref="C196">
      <formula1>$G$193:$G$261</formula1>
    </dataValidation>
  </dataValidations>
  <pageMargins left="0.7" right="0.7" top="0.75" bottom="0.75" header="0.3" footer="0.3"/>
  <tableParts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Dummy-data</vt:lpstr>
      <vt:lpstr>Working-data</vt:lpstr>
      <vt:lpstr>Cleaned-data</vt:lpstr>
      <vt:lpstr>Filtered-data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Digital Boy</dc:creator>
  <cp:keywords/>
  <dc:description/>
  <cp:lastModifiedBy>Digital Boy</cp:lastModifiedBy>
  <dcterms:created xsi:type="dcterms:W3CDTF">2026-02-03T15:29:33Z</dcterms:created>
  <dcterms:modified xsi:type="dcterms:W3CDTF">2026-02-11T15:41:02Z</dcterms:modified>
  <cp:category/>
</cp:coreProperties>
</file>