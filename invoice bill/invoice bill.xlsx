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 COMPUTER\Downloads\Documents\Excel space\"/>
    </mc:Choice>
  </mc:AlternateContent>
  <xr:revisionPtr revIDLastSave="0" documentId="13_ncr:1_{80E6A511-A488-4528-A8BA-A349374E5AA5}" xr6:coauthVersionLast="47" xr6:coauthVersionMax="47" xr10:uidLastSave="{00000000-0000-0000-0000-000000000000}"/>
  <bookViews>
    <workbookView xWindow="-120" yWindow="-120" windowWidth="20730" windowHeight="11160" xr2:uid="{1275AFCA-DE74-4E3F-8274-B7387677F1C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32" i="1"/>
  <c r="F31" i="1"/>
  <c r="F30" i="1"/>
  <c r="F29" i="1"/>
  <c r="F21" i="1"/>
  <c r="F22" i="1"/>
  <c r="E24" i="1"/>
  <c r="F24" i="1" s="1"/>
  <c r="E25" i="1"/>
  <c r="F25" i="1" s="1"/>
  <c r="E26" i="1"/>
  <c r="F26" i="1" s="1"/>
  <c r="E21" i="1"/>
  <c r="E20" i="1"/>
  <c r="F20" i="1" s="1"/>
  <c r="E22" i="1"/>
  <c r="E23" i="1"/>
  <c r="F23" i="1" s="1"/>
  <c r="E19" i="1"/>
  <c r="F19" i="1" s="1"/>
  <c r="F1" i="1"/>
  <c r="F27" i="1" l="1"/>
</calcChain>
</file>

<file path=xl/sharedStrings.xml><?xml version="1.0" encoding="utf-8"?>
<sst xmlns="http://schemas.openxmlformats.org/spreadsheetml/2006/main" count="48" uniqueCount="39">
  <si>
    <t>Amount</t>
  </si>
  <si>
    <t>Sr no.</t>
  </si>
  <si>
    <t>Particulars</t>
  </si>
  <si>
    <t>Quantity</t>
  </si>
  <si>
    <t>Price</t>
  </si>
  <si>
    <t>Knowledge of Digital World</t>
  </si>
  <si>
    <t>Nasim chawk Pashtoon Abad Quetta, Pakistan</t>
  </si>
  <si>
    <t>03333323405 | 0343452439</t>
  </si>
  <si>
    <t>www.knowledgeofdigitalworld.com</t>
  </si>
  <si>
    <t>Name</t>
  </si>
  <si>
    <t xml:space="preserve">GSTIN </t>
  </si>
  <si>
    <t>Adress</t>
  </si>
  <si>
    <t>Receipt no.</t>
  </si>
  <si>
    <t>Sadeeq ullah</t>
  </si>
  <si>
    <t>Customer signature</t>
  </si>
  <si>
    <t>Signature &amp; stamp</t>
  </si>
  <si>
    <t>Note:-</t>
  </si>
  <si>
    <t>1)</t>
  </si>
  <si>
    <t>2)</t>
  </si>
  <si>
    <t>Product Name</t>
  </si>
  <si>
    <t>Unit Price</t>
  </si>
  <si>
    <t>Laptop Pro X1</t>
  </si>
  <si>
    <t>Ergonomic Chair</t>
  </si>
  <si>
    <t>Wireless Mouse M1</t>
  </si>
  <si>
    <t>Executive Desk</t>
  </si>
  <si>
    <t>A4 Printer Paper (Box)</t>
  </si>
  <si>
    <t>4K Monitor 27"</t>
  </si>
  <si>
    <t>Adjustable Stand</t>
  </si>
  <si>
    <t>Webcam HD200</t>
  </si>
  <si>
    <t>Gel Pens (Pack)</t>
  </si>
  <si>
    <t>Filing Cabinet</t>
  </si>
  <si>
    <t>Date:</t>
  </si>
  <si>
    <t>Total</t>
  </si>
  <si>
    <t>Discount</t>
  </si>
  <si>
    <t>Taxable value</t>
  </si>
  <si>
    <t>CGST</t>
  </si>
  <si>
    <t>IGST</t>
  </si>
  <si>
    <t>SGST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</si>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</sst>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Elephant"/>
      <family val="1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rgb="FF1B1C1D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1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 indent="15"/>
    </xf>
    <xf numFmtId="0" fontId="2" fillId="0" borderId="6" xfId="0" applyFont="1" applyBorder="1" applyAlignment="1">
      <alignment horizontal="left" indent="15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5" xfId="0" applyNumberFormat="1" applyFont="1" applyBorder="1" applyAlignment="1">
      <alignment horizontal="left" indent="2"/>
    </xf>
    <xf numFmtId="9" fontId="0" fillId="0" borderId="4" xfId="2" applyFont="1" applyBorder="1" applyAlignment="1">
      <alignment horizontal="center"/>
    </xf>
    <xf numFmtId="0" fontId="0" fillId="0" borderId="0" xfId="0" applyAlignment="1">
      <alignment horizontal="left" indent="5"/>
    </xf>
    <xf numFmtId="0" fontId="1" fillId="0" borderId="0" xfId="0" applyFont="1" applyAlignment="1">
      <alignment horizontal="left" indent="2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685803</xdr:colOff>
      <xdr:row>0</xdr:row>
      <xdr:rowOff>0</xdr:rowOff>
    </xdr:from>
    <xdr:to>
      <xdr:col>3</xdr:col>
      <xdr:colOff>552451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C54145-A31B-A640-C462-AA6A1E71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8" y="0"/>
          <a:ext cx="1390648" cy="10382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nowledgeofdigitalworl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766A-1DD2-4561-A770-74468DEA17C0}">
  <dimension ref="A1:F42"/>
  <sheetViews>
    <sheetView tabSelected="1" zoomScaleNormal="100" workbookViewId="0">
      <selection activeCell="C15" sqref="C15:F15"/>
    </sheetView>
  </sheetViews>
  <sheetFormatPr defaultRowHeight="15" x14ac:dyDescent="0.25"/>
  <cols>
    <col min="1" max="1" width="11.7109375" customWidth="1"/>
    <col min="2" max="2" width="11.85546875" customWidth="1"/>
    <col min="3" max="3" width="22.85546875" customWidth="1"/>
    <col min="4" max="4" width="12.140625" customWidth="1"/>
    <col min="5" max="5" width="17.42578125" customWidth="1"/>
    <col min="6" max="6" width="14.85546875" customWidth="1"/>
    <col min="7" max="7" width="9.140625" customWidth="1"/>
  </cols>
  <sheetData>
    <row r="1" spans="2:6" x14ac:dyDescent="0.25">
      <c r="E1" s="12" t="s">
        <v>31</v>
      </c>
      <c r="F1" s="11">
        <f ca="1">TODAY()</f>
        <v>45990</v>
      </c>
    </row>
    <row r="7" spans="2:6" ht="25.5" customHeight="1" x14ac:dyDescent="0.25">
      <c r="B7" s="17" t="s">
        <v>5</v>
      </c>
      <c r="C7" s="17"/>
      <c r="D7" s="17"/>
      <c r="E7" s="17"/>
    </row>
    <row r="8" spans="2:6" ht="18.75" customHeight="1" x14ac:dyDescent="0.25">
      <c r="B8" s="18" t="s">
        <v>6</v>
      </c>
      <c r="C8" s="18"/>
      <c r="D8" s="18"/>
      <c r="E8" s="18"/>
    </row>
    <row r="9" spans="2:6" ht="18.75" customHeight="1" x14ac:dyDescent="0.25">
      <c r="B9" s="18" t="s">
        <v>7</v>
      </c>
      <c r="C9" s="18"/>
      <c r="D9" s="18"/>
      <c r="E9" s="18"/>
    </row>
    <row r="10" spans="2:6" ht="18.75" customHeight="1" x14ac:dyDescent="0.25">
      <c r="B10" s="19" t="s">
        <v>8</v>
      </c>
      <c r="C10" s="18"/>
      <c r="D10" s="18"/>
      <c r="E10" s="18"/>
    </row>
    <row r="13" spans="2:6" x14ac:dyDescent="0.25">
      <c r="B13" s="2" t="s">
        <v>9</v>
      </c>
      <c r="C13" s="5" t="s">
        <v>13</v>
      </c>
      <c r="E13" s="36" t="s">
        <v>12</v>
      </c>
      <c r="F13" s="35">
        <v>1</v>
      </c>
    </row>
    <row r="14" spans="2:6" x14ac:dyDescent="0.25">
      <c r="B14" s="2" t="s">
        <v>10</v>
      </c>
      <c r="C14" s="5">
        <v>29340985485</v>
      </c>
    </row>
    <row r="15" spans="2:6" x14ac:dyDescent="0.25">
      <c r="B15" s="2" t="s">
        <v>11</v>
      </c>
      <c r="C15" s="20" t="s">
        <v>6</v>
      </c>
      <c r="D15" s="20"/>
      <c r="E15" s="20"/>
      <c r="F15" s="20"/>
    </row>
    <row r="17" spans="1:6" ht="15.75" thickBot="1" x14ac:dyDescent="0.3"/>
    <row r="18" spans="1:6" ht="20.25" customHeight="1" thickBot="1" x14ac:dyDescent="0.35">
      <c r="A18" s="6" t="s">
        <v>1</v>
      </c>
      <c r="B18" s="25" t="s">
        <v>2</v>
      </c>
      <c r="C18" s="25"/>
      <c r="D18" s="6" t="s">
        <v>3</v>
      </c>
      <c r="E18" s="6" t="s">
        <v>4</v>
      </c>
      <c r="F18" s="26" t="s">
        <v>0</v>
      </c>
    </row>
    <row r="19" spans="1:6" ht="20.25" customHeight="1" x14ac:dyDescent="0.25">
      <c r="A19" s="3"/>
      <c r="B19" s="23" t="s">
        <v>30</v>
      </c>
      <c r="C19" s="24"/>
      <c r="D19" s="30">
        <v>3</v>
      </c>
      <c r="E19" s="1">
        <f>VLOOKUP(B19,Sheet2!$A$1:$B$11,2,0)</f>
        <v>200</v>
      </c>
      <c r="F19" s="31">
        <f>D19*E19</f>
        <v>600</v>
      </c>
    </row>
    <row r="20" spans="1:6" ht="20.25" customHeight="1" x14ac:dyDescent="0.25">
      <c r="A20" s="3"/>
      <c r="B20" s="23" t="s">
        <v>29</v>
      </c>
      <c r="C20" s="24"/>
      <c r="D20" s="30"/>
      <c r="E20" s="1">
        <f>VLOOKUP(B20,Sheet2!$A$1:$B$11,2,0)</f>
        <v>5</v>
      </c>
      <c r="F20" s="30">
        <f t="shared" ref="F20:F26" si="0">D20*E20</f>
        <v>0</v>
      </c>
    </row>
    <row r="21" spans="1:6" ht="20.25" customHeight="1" x14ac:dyDescent="0.25">
      <c r="A21" s="3"/>
      <c r="B21" s="23" t="s">
        <v>29</v>
      </c>
      <c r="C21" s="24"/>
      <c r="D21" s="30">
        <v>23</v>
      </c>
      <c r="E21" s="1">
        <f>VLOOKUP(B21,Sheet2!$A$1:$B$11,2,0)</f>
        <v>5</v>
      </c>
      <c r="F21" s="30">
        <f t="shared" si="0"/>
        <v>115</v>
      </c>
    </row>
    <row r="22" spans="1:6" ht="20.25" customHeight="1" x14ac:dyDescent="0.25">
      <c r="A22" s="3"/>
      <c r="B22" s="23" t="s">
        <v>30</v>
      </c>
      <c r="C22" s="24"/>
      <c r="D22" s="30"/>
      <c r="E22" s="1">
        <f>VLOOKUP(B22,Sheet2!A1:B11,2,0)</f>
        <v>200</v>
      </c>
      <c r="F22" s="30">
        <f t="shared" si="0"/>
        <v>0</v>
      </c>
    </row>
    <row r="23" spans="1:6" ht="20.25" customHeight="1" x14ac:dyDescent="0.25">
      <c r="A23" s="3"/>
      <c r="B23" s="23" t="s">
        <v>23</v>
      </c>
      <c r="C23" s="24"/>
      <c r="D23" s="30"/>
      <c r="E23" s="1">
        <f>VLOOKUP(B23,Sheet2!$A$1:$B$11,2,0)</f>
        <v>25</v>
      </c>
      <c r="F23" s="30">
        <f t="shared" si="0"/>
        <v>0</v>
      </c>
    </row>
    <row r="24" spans="1:6" ht="20.25" customHeight="1" x14ac:dyDescent="0.25">
      <c r="A24" s="3"/>
      <c r="B24" s="23" t="s">
        <v>29</v>
      </c>
      <c r="C24" s="24"/>
      <c r="D24" s="30"/>
      <c r="E24" s="1">
        <f>VLOOKUP(B24,Sheet2!$A$1:$B$11,2,0)</f>
        <v>5</v>
      </c>
      <c r="F24" s="30">
        <f t="shared" si="0"/>
        <v>0</v>
      </c>
    </row>
    <row r="25" spans="1:6" ht="20.25" customHeight="1" x14ac:dyDescent="0.25">
      <c r="A25" s="3"/>
      <c r="B25" s="23" t="s">
        <v>22</v>
      </c>
      <c r="C25" s="24"/>
      <c r="D25" s="30">
        <v>7</v>
      </c>
      <c r="E25" s="1">
        <f>VLOOKUP(B25,Sheet2!$A$1:$B$11,2,0)</f>
        <v>150</v>
      </c>
      <c r="F25" s="30">
        <f t="shared" si="0"/>
        <v>1050</v>
      </c>
    </row>
    <row r="26" spans="1:6" ht="20.25" customHeight="1" x14ac:dyDescent="0.25">
      <c r="A26" s="3"/>
      <c r="B26" s="23" t="s">
        <v>25</v>
      </c>
      <c r="C26" s="24"/>
      <c r="D26" s="30"/>
      <c r="E26" s="1">
        <f>VLOOKUP(B26,Sheet2!$A$1:$B$11,2,0)</f>
        <v>15</v>
      </c>
      <c r="F26" s="30">
        <f t="shared" si="0"/>
        <v>0</v>
      </c>
    </row>
    <row r="27" spans="1:6" ht="20.25" customHeight="1" x14ac:dyDescent="0.25">
      <c r="A27" s="3"/>
      <c r="B27" s="21" t="s">
        <v>32</v>
      </c>
      <c r="C27" s="22"/>
      <c r="D27" s="3"/>
      <c r="F27" s="32">
        <f>SUM(F19:F26)</f>
        <v>1765</v>
      </c>
    </row>
    <row r="28" spans="1:6" ht="20.25" customHeight="1" x14ac:dyDescent="0.25">
      <c r="A28" s="3"/>
      <c r="B28" s="21" t="s">
        <v>33</v>
      </c>
      <c r="C28" s="22"/>
      <c r="D28" s="3"/>
      <c r="F28" s="30">
        <v>200</v>
      </c>
    </row>
    <row r="29" spans="1:6" ht="20.25" customHeight="1" x14ac:dyDescent="0.25">
      <c r="A29" s="3"/>
      <c r="B29" s="21" t="s">
        <v>34</v>
      </c>
      <c r="C29" s="22"/>
      <c r="D29" s="3"/>
      <c r="F29" s="30">
        <f>F27-F28</f>
        <v>1565</v>
      </c>
    </row>
    <row r="30" spans="1:6" ht="20.25" customHeight="1" x14ac:dyDescent="0.25">
      <c r="A30" s="3"/>
      <c r="B30" s="21" t="s">
        <v>35</v>
      </c>
      <c r="C30" s="22"/>
      <c r="D30" s="34">
        <v>0.04</v>
      </c>
      <c r="F30" s="30">
        <f>F29*D30</f>
        <v>62.6</v>
      </c>
    </row>
    <row r="31" spans="1:6" ht="20.25" customHeight="1" x14ac:dyDescent="0.25">
      <c r="A31" s="3"/>
      <c r="B31" s="21" t="s">
        <v>37</v>
      </c>
      <c r="C31" s="22"/>
      <c r="D31" s="34">
        <v>0.05</v>
      </c>
      <c r="F31" s="30">
        <f>F30*D31</f>
        <v>3.1300000000000003</v>
      </c>
    </row>
    <row r="32" spans="1:6" ht="20.25" customHeight="1" x14ac:dyDescent="0.25">
      <c r="A32" s="3"/>
      <c r="B32" s="21" t="s">
        <v>36</v>
      </c>
      <c r="C32" s="22"/>
      <c r="D32" s="34">
        <v>0.06</v>
      </c>
      <c r="F32" s="30">
        <f>F31*D32</f>
        <v>0.18780000000000002</v>
      </c>
    </row>
    <row r="33" spans="1:6" ht="20.25" customHeight="1" x14ac:dyDescent="0.25">
      <c r="A33" s="3"/>
      <c r="B33" s="23"/>
      <c r="C33" s="24"/>
      <c r="D33" s="3"/>
      <c r="F33" s="30"/>
    </row>
    <row r="34" spans="1:6" ht="20.25" customHeight="1" thickBot="1" x14ac:dyDescent="0.4">
      <c r="A34" s="27" t="s">
        <v>38</v>
      </c>
      <c r="B34" s="28"/>
      <c r="C34" s="28"/>
      <c r="D34" s="28"/>
      <c r="E34" s="29"/>
      <c r="F34" s="33">
        <f>ROUND(SUM(F28:F33),0)</f>
        <v>1831</v>
      </c>
    </row>
    <row r="36" spans="1:6" x14ac:dyDescent="0.25">
      <c r="B36" s="14"/>
      <c r="C36" s="14"/>
      <c r="E36" s="14"/>
      <c r="F36" s="14"/>
    </row>
    <row r="37" spans="1:6" ht="15.75" thickBot="1" x14ac:dyDescent="0.3">
      <c r="B37" s="15"/>
      <c r="C37" s="15"/>
      <c r="E37" s="15"/>
      <c r="F37" s="15"/>
    </row>
    <row r="38" spans="1:6" x14ac:dyDescent="0.25">
      <c r="B38" s="16" t="s">
        <v>14</v>
      </c>
      <c r="C38" s="16"/>
      <c r="E38" s="16" t="s">
        <v>15</v>
      </c>
      <c r="F38" s="16"/>
    </row>
    <row r="40" spans="1:6" x14ac:dyDescent="0.25">
      <c r="B40" t="s">
        <v>16</v>
      </c>
    </row>
    <row r="41" spans="1:6" x14ac:dyDescent="0.25">
      <c r="B41" s="13" t="s">
        <v>17</v>
      </c>
      <c r="C41" s="13"/>
      <c r="D41" s="13"/>
      <c r="E41" s="13"/>
      <c r="F41" s="13"/>
    </row>
    <row r="42" spans="1:6" x14ac:dyDescent="0.25">
      <c r="B42" s="13" t="s">
        <v>18</v>
      </c>
      <c r="C42" s="13"/>
      <c r="D42" s="13"/>
      <c r="E42" s="13"/>
      <c r="F42" s="13"/>
    </row>
  </sheetData>
  <mergeCells count="28">
    <mergeCell ref="B27:C27"/>
    <mergeCell ref="A34:E34"/>
    <mergeCell ref="B22:C22"/>
    <mergeCell ref="B23:C23"/>
    <mergeCell ref="B24:C24"/>
    <mergeCell ref="B25:C25"/>
    <mergeCell ref="B26:C26"/>
    <mergeCell ref="B19:C19"/>
    <mergeCell ref="B7:E7"/>
    <mergeCell ref="B8:E8"/>
    <mergeCell ref="B9:E9"/>
    <mergeCell ref="B10:E10"/>
    <mergeCell ref="C15:F15"/>
    <mergeCell ref="B28:C28"/>
    <mergeCell ref="B29:C29"/>
    <mergeCell ref="B30:C30"/>
    <mergeCell ref="B31:C31"/>
    <mergeCell ref="B32:C32"/>
    <mergeCell ref="B33:C33"/>
    <mergeCell ref="B18:C18"/>
    <mergeCell ref="B20:C20"/>
    <mergeCell ref="B21:C21"/>
    <mergeCell ref="B41:F41"/>
    <mergeCell ref="B42:F42"/>
    <mergeCell ref="B36:C37"/>
    <mergeCell ref="E36:F37"/>
    <mergeCell ref="B38:C38"/>
    <mergeCell ref="E38:F38"/>
  </mergeCells>
  <hyperlinks>
    <hyperlink ref="B10" r:id="rId1" xr:uid="{8012F758-2B27-41A4-925D-89947B6E81D5}"/>
  </hyperlinks>
  <pageMargins left="0.25" right="0.25" top="0.75" bottom="0.75" header="0.3" footer="0.3"/>
  <pageSetup paperSize="9" orientation="portrait" r:id="rId2"/>
  <ignoredErrors>
    <ignoredError sqref="E22" 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3533B0-EE1A-4391-84DB-9730150AAECB}">
          <x14:formula1>
            <xm:f>Sheet2!$A$2:$A$11</xm:f>
          </x14:formula1>
          <xm:sqref>B19:C26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57AD-6BBF-46AD-A8D1-953C17CC2E12}">
  <dimension ref="A1:B11"/>
  <sheetViews>
    <sheetView topLeftCell="A7" workbookViewId="0">
      <selection activeCell="A11" sqref="A11"/>
    </sheetView>
  </sheetViews>
  <sheetFormatPr defaultRowHeight="15" x14ac:dyDescent="0.25"/>
  <cols>
    <col min="1" max="1" width="17.140625" customWidth="1"/>
    <col min="2" max="2" width="12" style="1" customWidth="1"/>
  </cols>
  <sheetData>
    <row r="1" spans="1:2" s="4" customFormat="1" ht="33" customHeight="1" thickBot="1" x14ac:dyDescent="0.3">
      <c r="A1" s="9" t="s">
        <v>19</v>
      </c>
      <c r="B1" s="8" t="s">
        <v>20</v>
      </c>
    </row>
    <row r="2" spans="1:2" s="4" customFormat="1" ht="33" customHeight="1" thickBot="1" x14ac:dyDescent="0.3">
      <c r="A2" s="10" t="s">
        <v>21</v>
      </c>
      <c r="B2" s="7">
        <v>1200</v>
      </c>
    </row>
    <row r="3" spans="1:2" s="4" customFormat="1" ht="33" customHeight="1" thickBot="1" x14ac:dyDescent="0.3">
      <c r="A3" s="10" t="s">
        <v>22</v>
      </c>
      <c r="B3" s="7">
        <v>150</v>
      </c>
    </row>
    <row r="4" spans="1:2" s="4" customFormat="1" ht="33" customHeight="1" thickBot="1" x14ac:dyDescent="0.3">
      <c r="A4" s="10" t="s">
        <v>23</v>
      </c>
      <c r="B4" s="7">
        <v>25</v>
      </c>
    </row>
    <row r="5" spans="1:2" s="4" customFormat="1" ht="33" customHeight="1" thickBot="1" x14ac:dyDescent="0.3">
      <c r="A5" s="10" t="s">
        <v>24</v>
      </c>
      <c r="B5" s="7">
        <v>800</v>
      </c>
    </row>
    <row r="6" spans="1:2" s="4" customFormat="1" ht="33" customHeight="1" thickBot="1" x14ac:dyDescent="0.3">
      <c r="A6" s="10" t="s">
        <v>25</v>
      </c>
      <c r="B6" s="7">
        <v>15</v>
      </c>
    </row>
    <row r="7" spans="1:2" s="4" customFormat="1" ht="33" customHeight="1" thickBot="1" x14ac:dyDescent="0.3">
      <c r="A7" s="10" t="s">
        <v>26</v>
      </c>
      <c r="B7" s="7">
        <v>350</v>
      </c>
    </row>
    <row r="8" spans="1:2" s="4" customFormat="1" ht="33" customHeight="1" thickBot="1" x14ac:dyDescent="0.3">
      <c r="A8" s="10" t="s">
        <v>27</v>
      </c>
      <c r="B8" s="7">
        <v>50</v>
      </c>
    </row>
    <row r="9" spans="1:2" s="4" customFormat="1" ht="33" customHeight="1" thickBot="1" x14ac:dyDescent="0.3">
      <c r="A9" s="10" t="s">
        <v>28</v>
      </c>
      <c r="B9" s="7">
        <v>40</v>
      </c>
    </row>
    <row r="10" spans="1:2" s="4" customFormat="1" ht="33" customHeight="1" thickBot="1" x14ac:dyDescent="0.3">
      <c r="A10" s="10" t="s">
        <v>29</v>
      </c>
      <c r="B10" s="7">
        <v>5</v>
      </c>
    </row>
    <row r="11" spans="1:2" s="4" customFormat="1" ht="33" customHeight="1" thickBot="1" x14ac:dyDescent="0.3">
      <c r="A11" s="10" t="s">
        <v>30</v>
      </c>
      <c r="B11" s="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Boy</dc:creator>
  <cp:lastModifiedBy>Digital Boy</cp:lastModifiedBy>
  <cp:lastPrinted>2025-11-29T08:04:51Z</cp:lastPrinted>
  <dcterms:created xsi:type="dcterms:W3CDTF">2025-11-28T02:50:52Z</dcterms:created>
  <dcterms:modified xsi:type="dcterms:W3CDTF">2025-11-29T08:17:35Z</dcterms:modified>
</cp:coreProperties>
</file>